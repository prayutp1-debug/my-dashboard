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yutp\Downloads\"/>
    </mc:Choice>
  </mc:AlternateContent>
  <xr:revisionPtr revIDLastSave="0" documentId="13_ncr:1_{0D79D1EF-BBA3-427B-83D9-A375068B8186}" xr6:coauthVersionLast="36" xr6:coauthVersionMax="36" xr10:uidLastSave="{00000000-0000-0000-0000-000000000000}"/>
  <bookViews>
    <workbookView xWindow="0" yWindow="0" windowWidth="19200" windowHeight="8130" xr2:uid="{1BF71F7D-11EF-4D41-AE11-7895A33073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01" i="1" l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700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974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518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446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14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4" i="1"/>
  <c r="B5" i="1"/>
  <c r="B6" i="1"/>
  <c r="B7" i="1"/>
  <c r="B3" i="1"/>
  <c r="A1963" i="1"/>
  <c r="A1962" i="1"/>
  <c r="A1961" i="1"/>
  <c r="A1960" i="1"/>
  <c r="A1959" i="1"/>
  <c r="A1957" i="1"/>
  <c r="A1956" i="1"/>
  <c r="A1955" i="1"/>
  <c r="A1954" i="1"/>
  <c r="A1953" i="1"/>
  <c r="A1951" i="1"/>
  <c r="A1950" i="1"/>
  <c r="A1949" i="1"/>
  <c r="A1948" i="1"/>
  <c r="A1947" i="1"/>
  <c r="A1945" i="1"/>
  <c r="A1944" i="1"/>
  <c r="A1943" i="1"/>
  <c r="A1942" i="1"/>
  <c r="A1941" i="1"/>
  <c r="A1939" i="1"/>
  <c r="A1938" i="1"/>
  <c r="A1937" i="1"/>
  <c r="A1936" i="1"/>
  <c r="A1935" i="1"/>
  <c r="A1933" i="1"/>
  <c r="A1932" i="1"/>
  <c r="A1931" i="1"/>
  <c r="A1930" i="1"/>
  <c r="A1929" i="1"/>
  <c r="A1927" i="1"/>
  <c r="A1926" i="1"/>
  <c r="A1925" i="1"/>
  <c r="A1924" i="1"/>
  <c r="A1923" i="1"/>
  <c r="A1921" i="1"/>
  <c r="A1920" i="1"/>
  <c r="A1919" i="1"/>
  <c r="A1918" i="1"/>
  <c r="A1917" i="1"/>
  <c r="A1915" i="1"/>
  <c r="A1914" i="1"/>
  <c r="A1913" i="1"/>
  <c r="A1912" i="1"/>
  <c r="A1911" i="1"/>
  <c r="A1909" i="1"/>
  <c r="A1908" i="1"/>
  <c r="A1907" i="1"/>
  <c r="A1906" i="1"/>
  <c r="A1905" i="1"/>
  <c r="A1903" i="1"/>
  <c r="A1902" i="1"/>
  <c r="A1901" i="1"/>
  <c r="A1900" i="1"/>
  <c r="A1899" i="1"/>
  <c r="A1897" i="1"/>
  <c r="A1896" i="1"/>
  <c r="A1895" i="1"/>
  <c r="A1894" i="1"/>
  <c r="A1893" i="1"/>
  <c r="A1891" i="1"/>
  <c r="A1890" i="1"/>
  <c r="A1889" i="1"/>
  <c r="A1888" i="1"/>
  <c r="A1887" i="1"/>
  <c r="A1885" i="1"/>
  <c r="A1884" i="1"/>
  <c r="A1883" i="1"/>
  <c r="A1882" i="1"/>
  <c r="A1881" i="1"/>
  <c r="A1879" i="1"/>
  <c r="A1878" i="1"/>
  <c r="A1877" i="1"/>
  <c r="A1876" i="1"/>
  <c r="A1875" i="1"/>
  <c r="A1873" i="1"/>
  <c r="A1872" i="1"/>
  <c r="A1871" i="1"/>
  <c r="A1870" i="1"/>
  <c r="A1869" i="1"/>
  <c r="A1867" i="1"/>
  <c r="A1866" i="1"/>
  <c r="A1865" i="1"/>
  <c r="A1864" i="1"/>
  <c r="A1863" i="1"/>
  <c r="A1861" i="1"/>
  <c r="A1860" i="1"/>
  <c r="A1859" i="1"/>
  <c r="A1858" i="1"/>
  <c r="A1857" i="1"/>
  <c r="A1855" i="1"/>
  <c r="A1854" i="1"/>
  <c r="A1853" i="1"/>
  <c r="A1852" i="1"/>
  <c r="A1851" i="1"/>
  <c r="A1849" i="1"/>
  <c r="A1848" i="1"/>
  <c r="A1847" i="1"/>
  <c r="A1846" i="1"/>
  <c r="A1845" i="1"/>
  <c r="A1843" i="1"/>
  <c r="A1842" i="1"/>
  <c r="A1841" i="1"/>
  <c r="A1840" i="1"/>
  <c r="A1839" i="1"/>
  <c r="A1837" i="1"/>
  <c r="A1836" i="1"/>
  <c r="A1835" i="1"/>
  <c r="A1834" i="1"/>
  <c r="A1833" i="1"/>
  <c r="A1831" i="1"/>
  <c r="A1830" i="1"/>
  <c r="A1829" i="1"/>
  <c r="A1828" i="1"/>
  <c r="A1827" i="1"/>
  <c r="A1825" i="1"/>
  <c r="A1824" i="1"/>
  <c r="A1823" i="1"/>
  <c r="A1822" i="1"/>
  <c r="A1821" i="1"/>
  <c r="A1819" i="1"/>
  <c r="A1818" i="1"/>
  <c r="A1817" i="1"/>
  <c r="A1816" i="1"/>
  <c r="A1815" i="1"/>
  <c r="A1813" i="1"/>
  <c r="A1812" i="1"/>
  <c r="A1811" i="1"/>
  <c r="A1810" i="1"/>
  <c r="A1809" i="1"/>
  <c r="A1807" i="1"/>
  <c r="A1806" i="1"/>
  <c r="A1805" i="1"/>
  <c r="A1804" i="1"/>
  <c r="A1803" i="1"/>
  <c r="A1801" i="1"/>
  <c r="A1800" i="1"/>
  <c r="A1799" i="1"/>
  <c r="A1798" i="1"/>
  <c r="A1797" i="1"/>
  <c r="A1795" i="1"/>
  <c r="A1794" i="1"/>
  <c r="A1793" i="1"/>
  <c r="A1792" i="1"/>
  <c r="A1791" i="1"/>
  <c r="A1789" i="1"/>
  <c r="A1788" i="1"/>
  <c r="A1787" i="1"/>
  <c r="A1786" i="1"/>
  <c r="A1785" i="1"/>
  <c r="A1783" i="1"/>
  <c r="A1782" i="1"/>
  <c r="A1781" i="1"/>
  <c r="A1780" i="1"/>
  <c r="A1779" i="1"/>
  <c r="A1777" i="1"/>
  <c r="A1776" i="1"/>
  <c r="A1775" i="1"/>
  <c r="A1774" i="1"/>
  <c r="A1773" i="1"/>
  <c r="A1771" i="1"/>
  <c r="A1770" i="1"/>
  <c r="A1769" i="1"/>
  <c r="A1768" i="1"/>
  <c r="A1767" i="1"/>
  <c r="A1765" i="1"/>
  <c r="A1764" i="1"/>
  <c r="A1763" i="1"/>
  <c r="A1762" i="1"/>
  <c r="A1761" i="1"/>
  <c r="A1759" i="1"/>
  <c r="A1758" i="1"/>
  <c r="A1757" i="1"/>
  <c r="A1756" i="1"/>
  <c r="A1755" i="1"/>
  <c r="A1753" i="1"/>
  <c r="A1752" i="1"/>
  <c r="A1751" i="1"/>
  <c r="A1750" i="1"/>
  <c r="A1749" i="1"/>
  <c r="A1747" i="1"/>
  <c r="A1746" i="1"/>
  <c r="A1745" i="1"/>
  <c r="A1744" i="1"/>
  <c r="A1743" i="1"/>
  <c r="A1741" i="1"/>
  <c r="A1740" i="1"/>
  <c r="A1739" i="1"/>
  <c r="A1738" i="1"/>
  <c r="A1737" i="1"/>
  <c r="A1735" i="1"/>
  <c r="A1734" i="1"/>
  <c r="A1733" i="1"/>
  <c r="A1732" i="1"/>
  <c r="A1731" i="1"/>
  <c r="A1729" i="1"/>
  <c r="A1728" i="1"/>
  <c r="A1727" i="1"/>
  <c r="A1726" i="1"/>
  <c r="A1725" i="1"/>
  <c r="A1723" i="1"/>
  <c r="A1722" i="1"/>
  <c r="A1721" i="1"/>
  <c r="A1720" i="1"/>
  <c r="A1719" i="1"/>
  <c r="A1717" i="1"/>
  <c r="A1716" i="1"/>
  <c r="A1715" i="1"/>
  <c r="A1714" i="1"/>
  <c r="A1713" i="1"/>
  <c r="A1711" i="1"/>
  <c r="A1710" i="1"/>
  <c r="A1709" i="1"/>
  <c r="A1708" i="1"/>
  <c r="A1707" i="1"/>
  <c r="A1705" i="1"/>
  <c r="A1704" i="1"/>
  <c r="A1703" i="1"/>
  <c r="A1702" i="1"/>
  <c r="A1701" i="1"/>
  <c r="A1699" i="1"/>
  <c r="A1698" i="1"/>
  <c r="A1697" i="1"/>
  <c r="A1696" i="1"/>
  <c r="A1695" i="1"/>
  <c r="A1693" i="1"/>
  <c r="A1692" i="1"/>
  <c r="A1691" i="1"/>
  <c r="A1690" i="1"/>
  <c r="A1689" i="1"/>
  <c r="A1687" i="1"/>
  <c r="A1686" i="1"/>
  <c r="A1685" i="1"/>
  <c r="A1684" i="1"/>
  <c r="A1683" i="1"/>
  <c r="A1681" i="1"/>
  <c r="A1680" i="1"/>
  <c r="A1679" i="1"/>
  <c r="A1678" i="1"/>
  <c r="A1677" i="1"/>
  <c r="A1675" i="1"/>
  <c r="A1674" i="1"/>
  <c r="A1673" i="1"/>
  <c r="A1672" i="1"/>
  <c r="A1671" i="1"/>
  <c r="A1669" i="1"/>
  <c r="A1668" i="1"/>
  <c r="A1667" i="1"/>
  <c r="A1666" i="1"/>
  <c r="A1665" i="1"/>
  <c r="A1663" i="1"/>
  <c r="A1662" i="1"/>
  <c r="A1661" i="1"/>
  <c r="A1660" i="1"/>
  <c r="A1659" i="1"/>
  <c r="A1657" i="1"/>
  <c r="A1656" i="1"/>
  <c r="A1655" i="1"/>
  <c r="A1654" i="1"/>
  <c r="A1653" i="1"/>
  <c r="A1651" i="1"/>
  <c r="A1650" i="1"/>
  <c r="A1649" i="1"/>
  <c r="A1648" i="1"/>
  <c r="A1647" i="1"/>
  <c r="A1645" i="1"/>
  <c r="A1644" i="1"/>
  <c r="A1643" i="1"/>
  <c r="A1642" i="1"/>
  <c r="A1641" i="1"/>
  <c r="A1639" i="1"/>
  <c r="A1638" i="1"/>
  <c r="A1637" i="1"/>
  <c r="A1636" i="1"/>
  <c r="A1635" i="1"/>
  <c r="A1633" i="1"/>
  <c r="A1632" i="1"/>
  <c r="A1631" i="1"/>
  <c r="A1630" i="1"/>
  <c r="A1629" i="1"/>
  <c r="A1627" i="1"/>
  <c r="A1626" i="1"/>
  <c r="A1625" i="1"/>
  <c r="A1624" i="1"/>
  <c r="A1623" i="1"/>
  <c r="A1621" i="1"/>
  <c r="A1620" i="1"/>
  <c r="A1619" i="1"/>
  <c r="A1618" i="1"/>
  <c r="A1617" i="1"/>
  <c r="A1615" i="1"/>
  <c r="A1614" i="1"/>
  <c r="A1613" i="1"/>
  <c r="A1612" i="1"/>
  <c r="A1611" i="1"/>
  <c r="A1609" i="1"/>
  <c r="A1608" i="1"/>
  <c r="A1607" i="1"/>
  <c r="A1606" i="1"/>
  <c r="A1605" i="1"/>
  <c r="A1603" i="1"/>
  <c r="A1602" i="1"/>
  <c r="A1601" i="1"/>
  <c r="A1600" i="1"/>
  <c r="A1599" i="1"/>
  <c r="A1597" i="1"/>
  <c r="A1596" i="1"/>
  <c r="A1595" i="1"/>
  <c r="A1594" i="1"/>
  <c r="A1593" i="1"/>
  <c r="A1591" i="1"/>
  <c r="A1590" i="1"/>
  <c r="A1589" i="1"/>
  <c r="A1588" i="1"/>
  <c r="A1587" i="1"/>
  <c r="A1585" i="1"/>
  <c r="A1584" i="1"/>
  <c r="A1583" i="1"/>
  <c r="A1582" i="1"/>
  <c r="A1581" i="1"/>
  <c r="A1579" i="1"/>
  <c r="A1578" i="1"/>
  <c r="A1577" i="1"/>
  <c r="A1576" i="1"/>
  <c r="A1575" i="1"/>
  <c r="A1573" i="1"/>
  <c r="A1572" i="1"/>
  <c r="A1571" i="1"/>
  <c r="A1570" i="1"/>
  <c r="A1569" i="1"/>
  <c r="A1567" i="1"/>
  <c r="A1566" i="1"/>
  <c r="A1565" i="1"/>
  <c r="A1564" i="1"/>
  <c r="A1563" i="1"/>
  <c r="A1561" i="1"/>
  <c r="A1560" i="1"/>
  <c r="A1559" i="1"/>
  <c r="A1558" i="1"/>
  <c r="A1557" i="1"/>
  <c r="A1555" i="1"/>
  <c r="A1554" i="1"/>
  <c r="A1553" i="1"/>
  <c r="A1552" i="1"/>
  <c r="A1551" i="1"/>
  <c r="A1549" i="1"/>
  <c r="A1548" i="1"/>
  <c r="A1547" i="1"/>
  <c r="A1546" i="1"/>
  <c r="A1545" i="1"/>
  <c r="A1543" i="1"/>
  <c r="A1542" i="1"/>
  <c r="A1541" i="1"/>
  <c r="A1540" i="1"/>
  <c r="A1539" i="1"/>
  <c r="A1537" i="1"/>
  <c r="A1536" i="1"/>
  <c r="A1535" i="1"/>
  <c r="A1534" i="1"/>
  <c r="A1533" i="1"/>
  <c r="A1531" i="1"/>
  <c r="A1530" i="1"/>
  <c r="A1529" i="1"/>
  <c r="A1528" i="1"/>
  <c r="A1527" i="1"/>
  <c r="A1525" i="1"/>
  <c r="A1524" i="1"/>
  <c r="A1523" i="1"/>
  <c r="A1522" i="1"/>
  <c r="A1521" i="1"/>
  <c r="A1519" i="1"/>
  <c r="A1518" i="1"/>
  <c r="A1517" i="1"/>
  <c r="A1516" i="1"/>
  <c r="A1515" i="1"/>
  <c r="A1513" i="1"/>
  <c r="A1512" i="1"/>
  <c r="A1511" i="1"/>
  <c r="A1510" i="1"/>
  <c r="A1509" i="1"/>
  <c r="A1507" i="1"/>
  <c r="A1506" i="1"/>
  <c r="A1505" i="1"/>
  <c r="A1504" i="1"/>
  <c r="A1503" i="1"/>
  <c r="A1501" i="1"/>
  <c r="A1500" i="1"/>
  <c r="A1499" i="1"/>
  <c r="A1498" i="1"/>
  <c r="A1497" i="1"/>
  <c r="A1495" i="1"/>
  <c r="A1494" i="1"/>
  <c r="A1493" i="1"/>
  <c r="A1492" i="1"/>
  <c r="A1491" i="1"/>
  <c r="A1489" i="1"/>
  <c r="A1488" i="1"/>
  <c r="A1487" i="1"/>
  <c r="A1486" i="1"/>
  <c r="A1485" i="1"/>
  <c r="A1483" i="1"/>
  <c r="A1482" i="1"/>
  <c r="A1481" i="1"/>
  <c r="A1480" i="1"/>
  <c r="A1479" i="1"/>
  <c r="A1477" i="1"/>
  <c r="A1476" i="1"/>
  <c r="A1475" i="1"/>
  <c r="A1474" i="1"/>
  <c r="A1473" i="1"/>
  <c r="A1471" i="1"/>
  <c r="A1470" i="1"/>
  <c r="A1469" i="1"/>
  <c r="A1468" i="1"/>
  <c r="A1467" i="1"/>
  <c r="A1465" i="1"/>
  <c r="A1464" i="1"/>
  <c r="A1463" i="1"/>
  <c r="A1462" i="1"/>
  <c r="A1461" i="1"/>
  <c r="A1459" i="1"/>
  <c r="A1458" i="1"/>
  <c r="A1457" i="1"/>
  <c r="A1456" i="1"/>
  <c r="A1455" i="1"/>
  <c r="A1453" i="1"/>
  <c r="A1452" i="1"/>
  <c r="A1451" i="1"/>
  <c r="A1450" i="1"/>
  <c r="A1449" i="1"/>
  <c r="A1447" i="1"/>
  <c r="A1446" i="1"/>
  <c r="A1445" i="1"/>
  <c r="A1444" i="1"/>
  <c r="A1443" i="1"/>
  <c r="A1441" i="1"/>
  <c r="A1440" i="1"/>
  <c r="A1439" i="1"/>
  <c r="A1438" i="1"/>
  <c r="A1437" i="1"/>
  <c r="A1435" i="1"/>
  <c r="A1434" i="1"/>
  <c r="A1433" i="1"/>
  <c r="A1432" i="1"/>
  <c r="A1431" i="1"/>
  <c r="A1429" i="1"/>
  <c r="A1428" i="1"/>
  <c r="A1427" i="1"/>
  <c r="A1426" i="1"/>
  <c r="A1425" i="1"/>
  <c r="A1423" i="1"/>
  <c r="A1422" i="1"/>
  <c r="A1421" i="1"/>
  <c r="A1420" i="1"/>
  <c r="A1419" i="1"/>
  <c r="A1417" i="1"/>
  <c r="A1416" i="1"/>
  <c r="A1415" i="1"/>
  <c r="A1414" i="1"/>
  <c r="A1413" i="1"/>
  <c r="A1411" i="1"/>
  <c r="A1410" i="1"/>
  <c r="A1409" i="1"/>
  <c r="A1408" i="1"/>
  <c r="A1407" i="1"/>
  <c r="A1405" i="1"/>
  <c r="A1404" i="1"/>
  <c r="A1403" i="1"/>
  <c r="A1402" i="1"/>
  <c r="A1401" i="1"/>
  <c r="A1399" i="1"/>
  <c r="A1398" i="1"/>
  <c r="A1397" i="1"/>
  <c r="A1396" i="1"/>
  <c r="A1395" i="1"/>
  <c r="A1393" i="1"/>
  <c r="A1392" i="1"/>
  <c r="A1391" i="1"/>
  <c r="A1390" i="1"/>
  <c r="A1389" i="1"/>
  <c r="A1387" i="1"/>
  <c r="A1386" i="1"/>
  <c r="A1385" i="1"/>
  <c r="A1384" i="1"/>
  <c r="A1383" i="1"/>
  <c r="A1381" i="1"/>
  <c r="A1380" i="1"/>
  <c r="A1379" i="1"/>
  <c r="A1378" i="1"/>
  <c r="A1377" i="1"/>
  <c r="A1375" i="1"/>
  <c r="A1374" i="1"/>
  <c r="A1373" i="1"/>
  <c r="A1372" i="1"/>
  <c r="A1371" i="1"/>
  <c r="A1369" i="1"/>
  <c r="A1368" i="1"/>
  <c r="A1367" i="1"/>
  <c r="A1366" i="1"/>
  <c r="A1365" i="1"/>
  <c r="A1363" i="1"/>
  <c r="A1362" i="1"/>
  <c r="A1361" i="1"/>
  <c r="A1360" i="1"/>
  <c r="A1359" i="1"/>
  <c r="A1357" i="1"/>
  <c r="A1356" i="1"/>
  <c r="A1355" i="1"/>
  <c r="A1354" i="1"/>
  <c r="A1353" i="1"/>
  <c r="A1351" i="1"/>
  <c r="A1350" i="1"/>
  <c r="A1349" i="1"/>
  <c r="A1348" i="1"/>
  <c r="A1347" i="1"/>
  <c r="A1345" i="1"/>
  <c r="A1344" i="1"/>
  <c r="A1343" i="1"/>
  <c r="A1342" i="1"/>
  <c r="A1341" i="1"/>
  <c r="A1339" i="1"/>
  <c r="A1338" i="1"/>
  <c r="A1337" i="1"/>
  <c r="A1336" i="1"/>
  <c r="A1335" i="1"/>
  <c r="A1333" i="1"/>
  <c r="A1332" i="1"/>
  <c r="A1331" i="1"/>
  <c r="A1330" i="1"/>
  <c r="A1329" i="1"/>
  <c r="A1327" i="1"/>
  <c r="A1326" i="1"/>
  <c r="A1325" i="1"/>
  <c r="A1324" i="1"/>
  <c r="A1323" i="1"/>
  <c r="A1321" i="1"/>
  <c r="A1320" i="1"/>
  <c r="A1319" i="1"/>
  <c r="A1318" i="1"/>
  <c r="A1317" i="1"/>
  <c r="A1315" i="1"/>
  <c r="A1314" i="1"/>
  <c r="A1313" i="1"/>
  <c r="A1312" i="1"/>
  <c r="A1311" i="1"/>
  <c r="A1309" i="1"/>
  <c r="A1308" i="1"/>
  <c r="A1307" i="1"/>
  <c r="A1306" i="1"/>
  <c r="A1305" i="1"/>
  <c r="A1303" i="1"/>
  <c r="A1302" i="1"/>
  <c r="A1301" i="1"/>
  <c r="A1300" i="1"/>
  <c r="A1299" i="1"/>
  <c r="A1297" i="1"/>
  <c r="A1296" i="1"/>
  <c r="A1295" i="1"/>
  <c r="A1294" i="1"/>
  <c r="A1293" i="1"/>
  <c r="A1291" i="1"/>
  <c r="A1290" i="1"/>
  <c r="A1289" i="1"/>
  <c r="A1288" i="1"/>
  <c r="A1287" i="1"/>
  <c r="A1285" i="1"/>
  <c r="A1284" i="1"/>
  <c r="A1283" i="1"/>
  <c r="A1282" i="1"/>
  <c r="A1281" i="1"/>
  <c r="A1279" i="1"/>
  <c r="A1278" i="1"/>
  <c r="A1277" i="1"/>
  <c r="A1276" i="1"/>
  <c r="A1275" i="1"/>
  <c r="A1273" i="1"/>
  <c r="A1272" i="1"/>
  <c r="A1271" i="1"/>
  <c r="A1270" i="1"/>
  <c r="A1269" i="1"/>
  <c r="A1267" i="1"/>
  <c r="A1266" i="1"/>
  <c r="A1265" i="1"/>
  <c r="A1264" i="1"/>
  <c r="A1263" i="1"/>
  <c r="A1261" i="1"/>
  <c r="A1260" i="1"/>
  <c r="A1259" i="1"/>
  <c r="A1258" i="1"/>
  <c r="A1257" i="1"/>
  <c r="A1255" i="1"/>
  <c r="A1254" i="1"/>
  <c r="A1253" i="1"/>
  <c r="A1252" i="1"/>
  <c r="A1251" i="1"/>
  <c r="A1249" i="1"/>
  <c r="A1248" i="1"/>
  <c r="A1247" i="1"/>
  <c r="A1246" i="1"/>
  <c r="A1245" i="1"/>
  <c r="A1243" i="1"/>
  <c r="A1242" i="1"/>
  <c r="A1241" i="1"/>
  <c r="A1240" i="1"/>
  <c r="A1239" i="1"/>
  <c r="A1237" i="1"/>
  <c r="A1236" i="1"/>
  <c r="A1235" i="1"/>
  <c r="A1234" i="1"/>
  <c r="A1233" i="1"/>
  <c r="A1231" i="1"/>
  <c r="A1230" i="1"/>
  <c r="A1229" i="1"/>
  <c r="A1228" i="1"/>
  <c r="A1227" i="1"/>
  <c r="A1225" i="1"/>
  <c r="A1224" i="1"/>
  <c r="A1223" i="1"/>
  <c r="A1222" i="1"/>
  <c r="A1221" i="1"/>
  <c r="A1219" i="1"/>
  <c r="A1218" i="1"/>
  <c r="A1217" i="1"/>
  <c r="A1216" i="1"/>
  <c r="A1215" i="1"/>
  <c r="A1213" i="1"/>
  <c r="A1212" i="1"/>
  <c r="A1211" i="1"/>
  <c r="A1210" i="1"/>
  <c r="A1209" i="1"/>
  <c r="A1207" i="1"/>
  <c r="A1206" i="1"/>
  <c r="A1205" i="1"/>
  <c r="A1204" i="1"/>
  <c r="A1203" i="1"/>
  <c r="A1201" i="1"/>
  <c r="A1200" i="1"/>
  <c r="A1199" i="1"/>
  <c r="A1198" i="1"/>
  <c r="A1197" i="1"/>
  <c r="A1195" i="1"/>
  <c r="A1194" i="1"/>
  <c r="A1193" i="1"/>
  <c r="A1192" i="1"/>
  <c r="A1191" i="1"/>
  <c r="A1189" i="1"/>
  <c r="A1188" i="1"/>
  <c r="A1187" i="1"/>
  <c r="A1186" i="1"/>
  <c r="A1185" i="1"/>
  <c r="A1183" i="1"/>
  <c r="A1182" i="1"/>
  <c r="A1181" i="1"/>
  <c r="A1180" i="1"/>
  <c r="A1179" i="1"/>
  <c r="A1177" i="1"/>
  <c r="A1176" i="1"/>
  <c r="A1175" i="1"/>
  <c r="A1174" i="1"/>
  <c r="A1173" i="1"/>
  <c r="A1171" i="1"/>
  <c r="A1170" i="1"/>
  <c r="A1169" i="1"/>
  <c r="A1168" i="1"/>
  <c r="A1167" i="1"/>
  <c r="A1165" i="1"/>
  <c r="A1164" i="1"/>
  <c r="A1163" i="1"/>
  <c r="A1162" i="1"/>
  <c r="A1161" i="1"/>
  <c r="A1159" i="1"/>
  <c r="A1158" i="1"/>
  <c r="A1157" i="1"/>
  <c r="A1156" i="1"/>
  <c r="A1155" i="1"/>
  <c r="A1153" i="1"/>
  <c r="A1152" i="1"/>
  <c r="A1151" i="1"/>
  <c r="A1150" i="1"/>
  <c r="A1149" i="1"/>
  <c r="A1147" i="1"/>
  <c r="A1146" i="1"/>
  <c r="A1145" i="1"/>
  <c r="A1144" i="1"/>
  <c r="A1143" i="1"/>
  <c r="A1141" i="1"/>
  <c r="A1140" i="1"/>
  <c r="A1139" i="1"/>
  <c r="A1138" i="1"/>
  <c r="A1137" i="1"/>
  <c r="A1135" i="1"/>
  <c r="A1134" i="1"/>
  <c r="A1133" i="1"/>
  <c r="A1132" i="1"/>
  <c r="A1131" i="1"/>
  <c r="A1129" i="1"/>
  <c r="A1128" i="1"/>
  <c r="A1127" i="1"/>
  <c r="A1126" i="1"/>
  <c r="A1125" i="1"/>
  <c r="A1123" i="1"/>
  <c r="A1122" i="1"/>
  <c r="A1121" i="1"/>
  <c r="A1120" i="1"/>
  <c r="A1119" i="1"/>
  <c r="A1117" i="1"/>
  <c r="A1116" i="1"/>
  <c r="A1115" i="1"/>
  <c r="A1114" i="1"/>
  <c r="A1113" i="1"/>
  <c r="A1111" i="1"/>
  <c r="A1110" i="1"/>
  <c r="A1109" i="1"/>
  <c r="A1108" i="1"/>
  <c r="A1107" i="1"/>
  <c r="A1105" i="1"/>
  <c r="A1104" i="1"/>
  <c r="A1103" i="1"/>
  <c r="A1102" i="1"/>
  <c r="A1101" i="1"/>
  <c r="A1099" i="1"/>
  <c r="A1098" i="1"/>
  <c r="A1097" i="1"/>
  <c r="A1096" i="1"/>
  <c r="A1095" i="1"/>
  <c r="A1093" i="1"/>
  <c r="A1092" i="1"/>
  <c r="A1091" i="1"/>
  <c r="A1090" i="1"/>
  <c r="A1089" i="1"/>
  <c r="A1087" i="1"/>
  <c r="A1086" i="1"/>
  <c r="A1085" i="1"/>
  <c r="A1084" i="1"/>
  <c r="A1083" i="1"/>
  <c r="A1081" i="1"/>
  <c r="A1080" i="1"/>
  <c r="A1079" i="1"/>
  <c r="A1078" i="1"/>
  <c r="A1077" i="1"/>
  <c r="A1075" i="1"/>
  <c r="A1074" i="1"/>
  <c r="A1073" i="1"/>
  <c r="A1072" i="1"/>
  <c r="A1071" i="1"/>
  <c r="A1069" i="1"/>
  <c r="A1068" i="1"/>
  <c r="A1067" i="1"/>
  <c r="A1066" i="1"/>
  <c r="A1065" i="1"/>
  <c r="A1063" i="1"/>
  <c r="A1062" i="1"/>
  <c r="A1061" i="1"/>
  <c r="A1060" i="1"/>
  <c r="A1059" i="1"/>
  <c r="A1057" i="1"/>
  <c r="A1056" i="1"/>
  <c r="A1055" i="1"/>
  <c r="A1054" i="1"/>
  <c r="A1053" i="1"/>
  <c r="A1051" i="1"/>
  <c r="A1050" i="1"/>
  <c r="A1049" i="1"/>
  <c r="A1048" i="1"/>
  <c r="A1047" i="1"/>
  <c r="A1045" i="1"/>
  <c r="A1044" i="1"/>
  <c r="A1043" i="1"/>
  <c r="A1042" i="1"/>
  <c r="A1041" i="1"/>
  <c r="A1039" i="1"/>
  <c r="A1038" i="1"/>
  <c r="A1037" i="1"/>
  <c r="A1036" i="1"/>
  <c r="A1035" i="1"/>
  <c r="A1033" i="1"/>
  <c r="A1032" i="1"/>
  <c r="A1031" i="1"/>
  <c r="A1030" i="1"/>
  <c r="A1029" i="1"/>
  <c r="A1027" i="1"/>
  <c r="A1026" i="1"/>
  <c r="A1025" i="1"/>
  <c r="A1024" i="1"/>
  <c r="A1023" i="1"/>
  <c r="A1021" i="1"/>
  <c r="A1020" i="1"/>
  <c r="A1019" i="1"/>
  <c r="A1018" i="1"/>
  <c r="A1017" i="1"/>
  <c r="A1015" i="1"/>
  <c r="A1014" i="1"/>
  <c r="A1013" i="1"/>
  <c r="A1012" i="1"/>
  <c r="A1011" i="1"/>
  <c r="A1009" i="1"/>
  <c r="A1008" i="1"/>
  <c r="A1007" i="1"/>
  <c r="A1006" i="1"/>
  <c r="A1005" i="1"/>
  <c r="A1003" i="1"/>
  <c r="A1002" i="1"/>
  <c r="A1001" i="1"/>
  <c r="A1000" i="1"/>
  <c r="A999" i="1"/>
  <c r="A997" i="1"/>
  <c r="A996" i="1"/>
  <c r="A995" i="1"/>
  <c r="A994" i="1"/>
  <c r="A993" i="1"/>
  <c r="A991" i="1"/>
  <c r="A990" i="1"/>
  <c r="A989" i="1"/>
  <c r="A988" i="1"/>
  <c r="A987" i="1"/>
  <c r="A985" i="1"/>
  <c r="A984" i="1"/>
  <c r="A983" i="1"/>
  <c r="A982" i="1"/>
  <c r="A981" i="1"/>
  <c r="A979" i="1"/>
  <c r="A978" i="1"/>
  <c r="A977" i="1"/>
  <c r="A976" i="1"/>
  <c r="A975" i="1"/>
  <c r="A973" i="1"/>
  <c r="A972" i="1"/>
  <c r="A971" i="1"/>
  <c r="A970" i="1"/>
  <c r="A969" i="1"/>
  <c r="A967" i="1"/>
  <c r="A966" i="1"/>
  <c r="A965" i="1"/>
  <c r="A964" i="1"/>
  <c r="A963" i="1"/>
  <c r="A961" i="1"/>
  <c r="A960" i="1"/>
  <c r="A959" i="1"/>
  <c r="A958" i="1"/>
  <c r="A957" i="1"/>
  <c r="A955" i="1"/>
  <c r="A954" i="1"/>
  <c r="A953" i="1"/>
  <c r="A952" i="1"/>
  <c r="A951" i="1"/>
  <c r="A949" i="1"/>
  <c r="A948" i="1"/>
  <c r="A947" i="1"/>
  <c r="A946" i="1"/>
  <c r="A945" i="1"/>
  <c r="A943" i="1"/>
  <c r="A942" i="1"/>
  <c r="A941" i="1"/>
  <c r="A940" i="1"/>
  <c r="A939" i="1"/>
  <c r="A937" i="1"/>
  <c r="A936" i="1"/>
  <c r="A935" i="1"/>
  <c r="A934" i="1"/>
  <c r="A933" i="1"/>
  <c r="A931" i="1"/>
  <c r="A930" i="1"/>
  <c r="A929" i="1"/>
  <c r="A928" i="1"/>
  <c r="A927" i="1"/>
  <c r="A925" i="1"/>
  <c r="A924" i="1"/>
  <c r="A923" i="1"/>
  <c r="A922" i="1"/>
  <c r="A921" i="1"/>
  <c r="A919" i="1"/>
  <c r="A918" i="1"/>
  <c r="A917" i="1"/>
  <c r="A916" i="1"/>
  <c r="A915" i="1"/>
  <c r="A913" i="1"/>
  <c r="A912" i="1"/>
  <c r="A911" i="1"/>
  <c r="A910" i="1"/>
  <c r="A909" i="1"/>
  <c r="A907" i="1"/>
  <c r="A906" i="1"/>
  <c r="A905" i="1"/>
  <c r="A904" i="1"/>
  <c r="A903" i="1"/>
  <c r="A901" i="1"/>
  <c r="A900" i="1"/>
  <c r="A899" i="1"/>
  <c r="A898" i="1"/>
  <c r="A897" i="1"/>
  <c r="A895" i="1"/>
  <c r="A894" i="1"/>
  <c r="A893" i="1"/>
  <c r="A892" i="1"/>
  <c r="A891" i="1"/>
  <c r="A889" i="1"/>
  <c r="A888" i="1"/>
  <c r="A887" i="1"/>
  <c r="A886" i="1"/>
  <c r="A885" i="1"/>
  <c r="A883" i="1"/>
  <c r="A882" i="1"/>
  <c r="A881" i="1"/>
  <c r="A880" i="1"/>
  <c r="A879" i="1"/>
  <c r="A877" i="1"/>
  <c r="A876" i="1"/>
  <c r="A875" i="1"/>
  <c r="A874" i="1"/>
  <c r="A873" i="1"/>
  <c r="A871" i="1"/>
  <c r="A870" i="1"/>
  <c r="A869" i="1"/>
  <c r="A868" i="1"/>
  <c r="A867" i="1"/>
  <c r="A865" i="1"/>
  <c r="A864" i="1"/>
  <c r="A863" i="1"/>
  <c r="A862" i="1"/>
  <c r="A861" i="1"/>
  <c r="A859" i="1"/>
  <c r="A858" i="1"/>
  <c r="A857" i="1"/>
  <c r="A856" i="1"/>
  <c r="A855" i="1"/>
  <c r="A853" i="1"/>
  <c r="A852" i="1"/>
  <c r="A851" i="1"/>
  <c r="A850" i="1"/>
  <c r="A849" i="1"/>
  <c r="A847" i="1"/>
  <c r="A846" i="1"/>
  <c r="A845" i="1"/>
  <c r="A844" i="1"/>
  <c r="A843" i="1"/>
  <c r="A841" i="1"/>
  <c r="A840" i="1"/>
  <c r="A839" i="1"/>
  <c r="A838" i="1"/>
  <c r="A837" i="1"/>
  <c r="A835" i="1"/>
  <c r="A834" i="1"/>
  <c r="A833" i="1"/>
  <c r="A832" i="1"/>
  <c r="A831" i="1"/>
  <c r="A829" i="1"/>
  <c r="A828" i="1"/>
  <c r="A827" i="1"/>
  <c r="A826" i="1"/>
  <c r="A825" i="1"/>
  <c r="A823" i="1"/>
  <c r="A822" i="1"/>
  <c r="A821" i="1"/>
  <c r="A820" i="1"/>
  <c r="A819" i="1"/>
  <c r="A817" i="1"/>
  <c r="A816" i="1"/>
  <c r="A815" i="1"/>
  <c r="A814" i="1"/>
  <c r="A813" i="1"/>
  <c r="A811" i="1"/>
  <c r="A810" i="1"/>
  <c r="A809" i="1"/>
  <c r="A808" i="1"/>
  <c r="A807" i="1"/>
  <c r="A805" i="1"/>
  <c r="A804" i="1"/>
  <c r="A803" i="1"/>
  <c r="A802" i="1"/>
  <c r="A801" i="1"/>
  <c r="A799" i="1"/>
  <c r="A798" i="1"/>
  <c r="A797" i="1"/>
  <c r="A796" i="1"/>
  <c r="A795" i="1"/>
  <c r="A793" i="1"/>
  <c r="A792" i="1"/>
  <c r="A791" i="1"/>
  <c r="A790" i="1"/>
  <c r="A789" i="1"/>
  <c r="A787" i="1"/>
  <c r="A786" i="1"/>
  <c r="A785" i="1"/>
  <c r="A784" i="1"/>
  <c r="A783" i="1"/>
  <c r="A781" i="1"/>
  <c r="A780" i="1"/>
  <c r="A779" i="1"/>
  <c r="A778" i="1"/>
  <c r="A777" i="1"/>
  <c r="A775" i="1"/>
  <c r="A774" i="1"/>
  <c r="A773" i="1"/>
  <c r="A772" i="1"/>
  <c r="A771" i="1"/>
  <c r="A769" i="1"/>
  <c r="A768" i="1"/>
  <c r="A767" i="1"/>
  <c r="A766" i="1"/>
  <c r="A765" i="1"/>
  <c r="A763" i="1"/>
  <c r="A762" i="1"/>
  <c r="A761" i="1"/>
  <c r="A760" i="1"/>
  <c r="A759" i="1"/>
  <c r="A757" i="1"/>
  <c r="A756" i="1"/>
  <c r="A755" i="1"/>
  <c r="A754" i="1"/>
  <c r="A753" i="1"/>
  <c r="A751" i="1"/>
  <c r="A750" i="1"/>
  <c r="A749" i="1"/>
  <c r="A748" i="1"/>
  <c r="A747" i="1"/>
  <c r="A745" i="1"/>
  <c r="A744" i="1"/>
  <c r="A743" i="1"/>
  <c r="A742" i="1"/>
  <c r="A741" i="1"/>
  <c r="A739" i="1"/>
  <c r="A738" i="1"/>
  <c r="A737" i="1"/>
  <c r="A736" i="1"/>
  <c r="A735" i="1"/>
  <c r="A733" i="1"/>
  <c r="A732" i="1"/>
  <c r="A731" i="1"/>
  <c r="A730" i="1"/>
  <c r="A729" i="1"/>
  <c r="A727" i="1"/>
  <c r="A726" i="1"/>
  <c r="A725" i="1"/>
  <c r="A724" i="1"/>
  <c r="A723" i="1"/>
  <c r="A721" i="1"/>
  <c r="A720" i="1"/>
  <c r="A719" i="1"/>
  <c r="A718" i="1"/>
  <c r="A717" i="1"/>
  <c r="A715" i="1"/>
  <c r="A714" i="1"/>
  <c r="A713" i="1"/>
  <c r="A712" i="1"/>
  <c r="A711" i="1"/>
  <c r="A709" i="1"/>
  <c r="A708" i="1"/>
  <c r="A707" i="1"/>
  <c r="A706" i="1"/>
  <c r="A705" i="1"/>
  <c r="A703" i="1"/>
  <c r="A702" i="1"/>
  <c r="A701" i="1"/>
  <c r="A700" i="1"/>
  <c r="A699" i="1"/>
  <c r="A697" i="1"/>
  <c r="A696" i="1"/>
  <c r="A695" i="1"/>
  <c r="A694" i="1"/>
  <c r="A693" i="1"/>
  <c r="A691" i="1"/>
  <c r="A690" i="1"/>
  <c r="A689" i="1"/>
  <c r="A688" i="1"/>
  <c r="A687" i="1"/>
  <c r="A685" i="1"/>
  <c r="A684" i="1"/>
  <c r="A683" i="1"/>
  <c r="A682" i="1"/>
  <c r="A681" i="1"/>
  <c r="A679" i="1"/>
  <c r="A678" i="1"/>
  <c r="A677" i="1"/>
  <c r="A676" i="1"/>
  <c r="A675" i="1"/>
  <c r="A673" i="1"/>
  <c r="A672" i="1"/>
  <c r="A671" i="1"/>
  <c r="A670" i="1"/>
  <c r="A669" i="1"/>
  <c r="A667" i="1"/>
  <c r="A666" i="1"/>
  <c r="A665" i="1"/>
  <c r="A664" i="1"/>
  <c r="A663" i="1"/>
  <c r="A661" i="1"/>
  <c r="A660" i="1"/>
  <c r="A659" i="1"/>
  <c r="A658" i="1"/>
  <c r="A657" i="1"/>
  <c r="A655" i="1"/>
  <c r="A654" i="1"/>
  <c r="A653" i="1"/>
  <c r="A652" i="1"/>
  <c r="A651" i="1"/>
  <c r="A649" i="1"/>
  <c r="A648" i="1"/>
  <c r="A647" i="1"/>
  <c r="A646" i="1"/>
  <c r="A645" i="1"/>
  <c r="A643" i="1"/>
  <c r="A642" i="1"/>
  <c r="A641" i="1"/>
  <c r="A640" i="1"/>
  <c r="A639" i="1"/>
  <c r="A637" i="1"/>
  <c r="A636" i="1"/>
  <c r="A635" i="1"/>
  <c r="A634" i="1"/>
  <c r="A633" i="1"/>
  <c r="A631" i="1"/>
  <c r="A630" i="1"/>
  <c r="A629" i="1"/>
  <c r="A628" i="1"/>
  <c r="A627" i="1"/>
  <c r="A625" i="1"/>
  <c r="A624" i="1"/>
  <c r="A623" i="1"/>
  <c r="A622" i="1"/>
  <c r="A621" i="1"/>
  <c r="A619" i="1"/>
  <c r="A618" i="1"/>
  <c r="A617" i="1"/>
  <c r="A616" i="1"/>
  <c r="A615" i="1"/>
  <c r="A613" i="1"/>
  <c r="A612" i="1"/>
  <c r="A611" i="1"/>
  <c r="A610" i="1"/>
  <c r="A609" i="1"/>
  <c r="A607" i="1"/>
  <c r="A606" i="1"/>
  <c r="A605" i="1"/>
  <c r="A604" i="1"/>
  <c r="A603" i="1"/>
  <c r="A601" i="1"/>
  <c r="A600" i="1"/>
  <c r="A599" i="1"/>
  <c r="A598" i="1"/>
  <c r="A597" i="1"/>
  <c r="A595" i="1"/>
  <c r="A594" i="1"/>
  <c r="A593" i="1"/>
  <c r="A592" i="1"/>
  <c r="A591" i="1"/>
  <c r="A589" i="1"/>
  <c r="A588" i="1"/>
  <c r="A587" i="1"/>
  <c r="A586" i="1"/>
  <c r="A585" i="1"/>
  <c r="A583" i="1"/>
  <c r="A582" i="1"/>
  <c r="A581" i="1"/>
  <c r="A580" i="1"/>
  <c r="A579" i="1"/>
  <c r="A577" i="1"/>
  <c r="A576" i="1"/>
  <c r="A575" i="1"/>
  <c r="A574" i="1"/>
  <c r="A573" i="1"/>
  <c r="A571" i="1"/>
  <c r="A570" i="1"/>
  <c r="A569" i="1"/>
  <c r="A568" i="1"/>
  <c r="A567" i="1"/>
  <c r="A565" i="1"/>
  <c r="A564" i="1"/>
  <c r="A563" i="1"/>
  <c r="A562" i="1"/>
  <c r="A561" i="1"/>
  <c r="A559" i="1"/>
  <c r="A558" i="1"/>
  <c r="A557" i="1"/>
  <c r="A556" i="1"/>
  <c r="A555" i="1"/>
  <c r="A553" i="1"/>
  <c r="A552" i="1"/>
  <c r="A551" i="1"/>
  <c r="A550" i="1"/>
  <c r="A549" i="1"/>
  <c r="A547" i="1"/>
  <c r="A546" i="1"/>
  <c r="A545" i="1"/>
  <c r="A544" i="1"/>
  <c r="A543" i="1"/>
  <c r="A541" i="1"/>
  <c r="A540" i="1"/>
  <c r="A539" i="1"/>
  <c r="A538" i="1"/>
  <c r="A537" i="1"/>
  <c r="A535" i="1"/>
  <c r="A534" i="1"/>
  <c r="A533" i="1"/>
  <c r="A532" i="1"/>
  <c r="A531" i="1"/>
  <c r="A529" i="1"/>
  <c r="A528" i="1"/>
  <c r="A527" i="1"/>
  <c r="A526" i="1"/>
  <c r="A525" i="1"/>
  <c r="A523" i="1"/>
  <c r="A522" i="1"/>
  <c r="A521" i="1"/>
  <c r="A520" i="1"/>
  <c r="A519" i="1"/>
  <c r="A517" i="1"/>
  <c r="A516" i="1"/>
  <c r="A515" i="1"/>
  <c r="A514" i="1"/>
  <c r="A513" i="1"/>
  <c r="A511" i="1"/>
  <c r="A510" i="1"/>
  <c r="A509" i="1"/>
  <c r="A508" i="1"/>
  <c r="A507" i="1"/>
  <c r="A505" i="1"/>
  <c r="A504" i="1"/>
  <c r="A503" i="1"/>
  <c r="A502" i="1"/>
  <c r="A501" i="1"/>
  <c r="A499" i="1"/>
  <c r="A498" i="1"/>
  <c r="A497" i="1"/>
  <c r="A496" i="1"/>
  <c r="A495" i="1"/>
  <c r="A493" i="1"/>
  <c r="A492" i="1"/>
  <c r="A491" i="1"/>
  <c r="A490" i="1"/>
  <c r="A489" i="1"/>
  <c r="A487" i="1"/>
  <c r="A486" i="1"/>
  <c r="A485" i="1"/>
  <c r="A484" i="1"/>
  <c r="A483" i="1"/>
  <c r="A481" i="1"/>
  <c r="A480" i="1"/>
  <c r="A479" i="1"/>
  <c r="A478" i="1"/>
  <c r="A477" i="1"/>
  <c r="A475" i="1"/>
  <c r="A474" i="1"/>
  <c r="A473" i="1"/>
  <c r="A472" i="1"/>
  <c r="A471" i="1"/>
  <c r="A469" i="1"/>
  <c r="A468" i="1"/>
  <c r="A467" i="1"/>
  <c r="A466" i="1"/>
  <c r="A465" i="1"/>
  <c r="A463" i="1"/>
  <c r="A462" i="1"/>
  <c r="A461" i="1"/>
  <c r="A460" i="1"/>
  <c r="A459" i="1"/>
  <c r="A457" i="1"/>
  <c r="A456" i="1"/>
  <c r="A455" i="1"/>
  <c r="A454" i="1"/>
  <c r="A453" i="1"/>
  <c r="A451" i="1"/>
  <c r="A450" i="1"/>
  <c r="A449" i="1"/>
  <c r="A448" i="1"/>
  <c r="A447" i="1"/>
  <c r="A445" i="1"/>
  <c r="A444" i="1"/>
  <c r="A443" i="1"/>
  <c r="A442" i="1"/>
  <c r="A441" i="1"/>
  <c r="A439" i="1"/>
  <c r="A438" i="1"/>
  <c r="A437" i="1"/>
  <c r="A436" i="1"/>
  <c r="A435" i="1"/>
  <c r="A433" i="1"/>
  <c r="A432" i="1"/>
  <c r="A431" i="1"/>
  <c r="A430" i="1"/>
  <c r="A429" i="1"/>
  <c r="A427" i="1"/>
  <c r="A426" i="1"/>
  <c r="A425" i="1"/>
  <c r="A424" i="1"/>
  <c r="A423" i="1"/>
  <c r="A421" i="1"/>
  <c r="A420" i="1"/>
  <c r="A419" i="1"/>
  <c r="A418" i="1"/>
  <c r="A417" i="1"/>
  <c r="A415" i="1"/>
  <c r="A414" i="1"/>
  <c r="A413" i="1"/>
  <c r="A412" i="1"/>
  <c r="A411" i="1"/>
  <c r="A409" i="1"/>
  <c r="A408" i="1"/>
  <c r="A407" i="1"/>
  <c r="A406" i="1"/>
  <c r="A405" i="1"/>
  <c r="A403" i="1"/>
  <c r="A402" i="1"/>
  <c r="A401" i="1"/>
  <c r="A400" i="1"/>
  <c r="A399" i="1"/>
  <c r="A397" i="1"/>
  <c r="A396" i="1"/>
  <c r="A395" i="1"/>
  <c r="A394" i="1"/>
  <c r="A393" i="1"/>
  <c r="A391" i="1"/>
  <c r="A390" i="1"/>
  <c r="A389" i="1"/>
  <c r="A388" i="1"/>
  <c r="A387" i="1"/>
  <c r="A385" i="1"/>
  <c r="A384" i="1"/>
  <c r="A383" i="1"/>
  <c r="A382" i="1"/>
  <c r="A381" i="1"/>
  <c r="A379" i="1"/>
  <c r="A378" i="1"/>
  <c r="A377" i="1"/>
  <c r="A376" i="1"/>
  <c r="A375" i="1"/>
  <c r="A373" i="1"/>
  <c r="A372" i="1"/>
  <c r="A371" i="1"/>
  <c r="A370" i="1"/>
  <c r="A369" i="1"/>
  <c r="A367" i="1"/>
  <c r="A366" i="1"/>
  <c r="A365" i="1"/>
  <c r="A364" i="1"/>
  <c r="A363" i="1"/>
  <c r="A361" i="1"/>
  <c r="A360" i="1"/>
  <c r="A359" i="1"/>
  <c r="A358" i="1"/>
  <c r="A357" i="1"/>
  <c r="A355" i="1"/>
  <c r="A354" i="1"/>
  <c r="A353" i="1"/>
  <c r="A352" i="1"/>
  <c r="A351" i="1"/>
  <c r="A349" i="1"/>
  <c r="A348" i="1"/>
  <c r="A347" i="1"/>
  <c r="A346" i="1"/>
  <c r="A345" i="1"/>
  <c r="A343" i="1"/>
  <c r="A342" i="1"/>
  <c r="A341" i="1"/>
  <c r="A340" i="1"/>
  <c r="A339" i="1"/>
  <c r="A337" i="1"/>
  <c r="A336" i="1"/>
  <c r="A335" i="1"/>
  <c r="A334" i="1"/>
  <c r="A333" i="1"/>
  <c r="A331" i="1"/>
  <c r="A330" i="1"/>
  <c r="A329" i="1"/>
  <c r="A328" i="1"/>
  <c r="A327" i="1"/>
  <c r="A325" i="1"/>
  <c r="A324" i="1"/>
  <c r="A323" i="1"/>
  <c r="A322" i="1"/>
  <c r="A321" i="1"/>
  <c r="A319" i="1"/>
  <c r="A318" i="1"/>
  <c r="A317" i="1"/>
  <c r="A316" i="1"/>
  <c r="A315" i="1"/>
  <c r="A313" i="1"/>
  <c r="A312" i="1"/>
  <c r="A311" i="1"/>
  <c r="A310" i="1"/>
  <c r="A309" i="1"/>
  <c r="A307" i="1"/>
  <c r="A306" i="1"/>
  <c r="A305" i="1"/>
  <c r="A304" i="1"/>
  <c r="A303" i="1"/>
  <c r="A301" i="1"/>
  <c r="A300" i="1"/>
  <c r="A299" i="1"/>
  <c r="A298" i="1"/>
  <c r="A297" i="1"/>
  <c r="A295" i="1"/>
  <c r="A294" i="1"/>
  <c r="A293" i="1"/>
  <c r="A292" i="1"/>
  <c r="A291" i="1"/>
  <c r="A289" i="1"/>
  <c r="A288" i="1"/>
  <c r="A287" i="1"/>
  <c r="A286" i="1"/>
  <c r="A285" i="1"/>
  <c r="A283" i="1"/>
  <c r="A282" i="1"/>
  <c r="A281" i="1"/>
  <c r="A280" i="1"/>
  <c r="A279" i="1"/>
  <c r="A277" i="1"/>
  <c r="A276" i="1"/>
  <c r="A275" i="1"/>
  <c r="A274" i="1"/>
  <c r="A273" i="1"/>
  <c r="A271" i="1"/>
  <c r="A270" i="1"/>
  <c r="A269" i="1"/>
  <c r="A268" i="1"/>
  <c r="A267" i="1"/>
  <c r="A265" i="1"/>
  <c r="A264" i="1"/>
  <c r="A263" i="1"/>
  <c r="A262" i="1"/>
  <c r="A261" i="1"/>
  <c r="A259" i="1"/>
  <c r="A258" i="1"/>
  <c r="A257" i="1"/>
  <c r="A256" i="1"/>
  <c r="A255" i="1"/>
  <c r="A253" i="1"/>
  <c r="A252" i="1"/>
  <c r="A251" i="1"/>
  <c r="A250" i="1"/>
  <c r="A249" i="1"/>
  <c r="A247" i="1"/>
  <c r="A246" i="1"/>
  <c r="A245" i="1"/>
  <c r="A244" i="1"/>
  <c r="A243" i="1"/>
  <c r="A241" i="1"/>
  <c r="A240" i="1"/>
  <c r="A239" i="1"/>
  <c r="A238" i="1"/>
  <c r="A237" i="1"/>
  <c r="A235" i="1"/>
  <c r="A234" i="1"/>
  <c r="A233" i="1"/>
  <c r="A232" i="1"/>
  <c r="A231" i="1"/>
  <c r="A229" i="1"/>
  <c r="A228" i="1"/>
  <c r="A227" i="1"/>
  <c r="A226" i="1"/>
  <c r="A225" i="1"/>
  <c r="A223" i="1"/>
  <c r="A222" i="1"/>
  <c r="A221" i="1"/>
  <c r="A220" i="1"/>
  <c r="A219" i="1"/>
  <c r="A217" i="1"/>
  <c r="A216" i="1"/>
  <c r="A215" i="1"/>
  <c r="A214" i="1"/>
  <c r="A213" i="1"/>
  <c r="A211" i="1"/>
  <c r="A210" i="1"/>
  <c r="A209" i="1"/>
  <c r="A208" i="1"/>
  <c r="A207" i="1"/>
  <c r="A205" i="1"/>
  <c r="A204" i="1"/>
  <c r="A203" i="1"/>
  <c r="A202" i="1"/>
  <c r="A201" i="1"/>
  <c r="A199" i="1"/>
  <c r="A198" i="1"/>
  <c r="A197" i="1"/>
  <c r="A196" i="1"/>
  <c r="A195" i="1"/>
  <c r="A193" i="1"/>
  <c r="A192" i="1"/>
  <c r="A191" i="1"/>
  <c r="A190" i="1"/>
  <c r="A189" i="1"/>
  <c r="A187" i="1"/>
  <c r="A186" i="1"/>
  <c r="A185" i="1"/>
  <c r="A184" i="1"/>
  <c r="A183" i="1"/>
  <c r="A181" i="1"/>
  <c r="A180" i="1"/>
  <c r="A179" i="1"/>
  <c r="A178" i="1"/>
  <c r="A177" i="1"/>
  <c r="A175" i="1"/>
  <c r="A174" i="1"/>
  <c r="A173" i="1"/>
  <c r="A172" i="1"/>
  <c r="A171" i="1"/>
  <c r="A169" i="1"/>
  <c r="A168" i="1"/>
  <c r="A167" i="1"/>
  <c r="A166" i="1"/>
  <c r="A165" i="1"/>
  <c r="A163" i="1"/>
  <c r="A162" i="1"/>
  <c r="A161" i="1"/>
  <c r="A160" i="1"/>
  <c r="A159" i="1"/>
  <c r="A157" i="1"/>
  <c r="A156" i="1"/>
  <c r="A155" i="1"/>
  <c r="A154" i="1"/>
  <c r="A153" i="1"/>
  <c r="A151" i="1"/>
  <c r="A150" i="1"/>
  <c r="A149" i="1"/>
  <c r="A148" i="1"/>
  <c r="A147" i="1"/>
  <c r="A145" i="1"/>
  <c r="A144" i="1"/>
  <c r="A143" i="1"/>
  <c r="A142" i="1"/>
  <c r="A141" i="1"/>
  <c r="A139" i="1"/>
  <c r="A138" i="1"/>
  <c r="A137" i="1"/>
  <c r="A136" i="1"/>
  <c r="A135" i="1"/>
  <c r="A133" i="1"/>
  <c r="A132" i="1"/>
  <c r="A131" i="1"/>
  <c r="A130" i="1"/>
  <c r="A129" i="1"/>
  <c r="A127" i="1"/>
  <c r="A126" i="1"/>
  <c r="A125" i="1"/>
  <c r="A124" i="1"/>
  <c r="A123" i="1"/>
  <c r="A121" i="1"/>
  <c r="A120" i="1"/>
  <c r="A119" i="1"/>
  <c r="A118" i="1"/>
  <c r="A117" i="1"/>
  <c r="A115" i="1"/>
  <c r="A114" i="1"/>
  <c r="A113" i="1"/>
  <c r="A112" i="1"/>
  <c r="A111" i="1"/>
  <c r="A109" i="1"/>
  <c r="A108" i="1"/>
  <c r="A107" i="1"/>
  <c r="A106" i="1"/>
  <c r="A105" i="1"/>
  <c r="A103" i="1"/>
  <c r="A102" i="1"/>
  <c r="A101" i="1"/>
  <c r="A100" i="1"/>
  <c r="A99" i="1"/>
  <c r="A97" i="1"/>
  <c r="A96" i="1"/>
  <c r="A95" i="1"/>
  <c r="A94" i="1"/>
  <c r="A93" i="1"/>
  <c r="A91" i="1"/>
  <c r="A90" i="1"/>
  <c r="A89" i="1"/>
  <c r="A88" i="1"/>
  <c r="A87" i="1"/>
  <c r="A85" i="1"/>
  <c r="A84" i="1"/>
  <c r="A83" i="1"/>
  <c r="A82" i="1"/>
  <c r="A81" i="1"/>
  <c r="A79" i="1"/>
  <c r="A78" i="1"/>
  <c r="A77" i="1"/>
  <c r="A76" i="1"/>
  <c r="A75" i="1"/>
  <c r="A73" i="1"/>
  <c r="A72" i="1"/>
  <c r="A71" i="1"/>
  <c r="A70" i="1"/>
  <c r="A69" i="1"/>
  <c r="A67" i="1"/>
  <c r="A66" i="1"/>
  <c r="A65" i="1"/>
  <c r="A64" i="1"/>
  <c r="A63" i="1"/>
  <c r="A61" i="1"/>
  <c r="A60" i="1"/>
  <c r="A59" i="1"/>
  <c r="A58" i="1"/>
  <c r="A57" i="1"/>
  <c r="A55" i="1"/>
  <c r="A54" i="1"/>
  <c r="A53" i="1"/>
  <c r="A52" i="1"/>
  <c r="A51" i="1"/>
  <c r="A49" i="1"/>
  <c r="A48" i="1"/>
  <c r="A47" i="1"/>
  <c r="A46" i="1"/>
  <c r="A45" i="1"/>
  <c r="A43" i="1"/>
  <c r="A42" i="1"/>
  <c r="A41" i="1"/>
  <c r="A40" i="1"/>
  <c r="A39" i="1"/>
  <c r="A37" i="1"/>
  <c r="A36" i="1"/>
  <c r="A35" i="1"/>
  <c r="A34" i="1"/>
  <c r="A33" i="1"/>
  <c r="A31" i="1"/>
  <c r="A30" i="1"/>
  <c r="A29" i="1"/>
  <c r="A28" i="1"/>
  <c r="A27" i="1"/>
  <c r="A25" i="1"/>
  <c r="A24" i="1"/>
  <c r="A23" i="1"/>
  <c r="A22" i="1"/>
  <c r="A21" i="1"/>
  <c r="A19" i="1"/>
  <c r="A18" i="1"/>
  <c r="A17" i="1"/>
  <c r="A16" i="1"/>
  <c r="A15" i="1"/>
  <c r="A13" i="1"/>
  <c r="A12" i="1"/>
  <c r="A11" i="1"/>
  <c r="A10" i="1"/>
  <c r="A9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<sst xmlns="http://schemas.openxmlformats.org/spreadsheetml/2006/main" count="3796" uniqueCount="429">
  <si>
    <t>ดูกราฟ</t>
  </si>
  <si>
    <t>กิจการ</t>
  </si>
  <si>
    <t>ภาค</t>
  </si>
  <si>
    <t>แผนก</t>
  </si>
  <si>
    <t>โรงงาน</t>
  </si>
  <si>
    <t>คุณภาพคอนกรีต 3 เดือนล่าสุด</t>
  </si>
  <si>
    <t>ประเภท</t>
  </si>
  <si>
    <t>มกราคม 2026</t>
  </si>
  <si>
    <t>กุมภาพันธ์ 2026</t>
  </si>
  <si>
    <t>มีนาคม 2026</t>
  </si>
  <si>
    <t>เมษายน 2026</t>
  </si>
  <si>
    <t>พฤษภาคม 2026</t>
  </si>
  <si>
    <t>มิถุนายน 2026</t>
  </si>
  <si>
    <t>CPAC East</t>
  </si>
  <si>
    <t>East 1</t>
  </si>
  <si>
    <t>ผลิตกบินทร์บุรี</t>
  </si>
  <si>
    <t>13O4 : วี.เอส.คอนกรีต(Type X)</t>
  </si>
  <si>
    <t>ปรับปรุงเร่งด่วน</t>
  </si>
  <si>
    <t>จำนวนก้อนปูน</t>
  </si>
  <si>
    <t>Margin (ksc)</t>
  </si>
  <si>
    <t>SD (ksc)</t>
  </si>
  <si>
    <t>Cpk</t>
  </si>
  <si>
    <t>ระดับคุณภาพ</t>
  </si>
  <si>
    <t>ต่ำกว่าเกณฑ์</t>
  </si>
  <si>
    <t>สูงกว่าเกณฑ์</t>
  </si>
  <si>
    <t>ตามเกณฑ์</t>
  </si>
  <si>
    <t>13O7 : วี.เอส.คอนกรีต2 (Type X)</t>
  </si>
  <si>
    <t>ข้อมูลไม่พอ</t>
  </si>
  <si>
    <t>ผลิตลพบุรี</t>
  </si>
  <si>
    <t>13LX : High Speed 4-6 Qmix-X</t>
  </si>
  <si>
    <t>N/A</t>
  </si>
  <si>
    <t>ข้อมูลไม่มี</t>
  </si>
  <si>
    <t>FC015 : บ้านหมี่</t>
  </si>
  <si>
    <t>FC175 : พัฒนานิคม</t>
  </si>
  <si>
    <t>ให้รักษามาตรฐาน</t>
  </si>
  <si>
    <t>FC095 : มวกเหล็ก</t>
  </si>
  <si>
    <t>FC013 : ลำนารายณ์</t>
  </si>
  <si>
    <t>FC046 : วังม่วง</t>
  </si>
  <si>
    <t>FC390 : โคกสำโรง</t>
  </si>
  <si>
    <t>ลดต้นทุนได้</t>
  </si>
  <si>
    <t>ผลิตศรีมหาโพธิ</t>
  </si>
  <si>
    <t>FC323 : ตาพระยา</t>
  </si>
  <si>
    <t>FC056 : พนมสารคาม</t>
  </si>
  <si>
    <t>FC308 : วังสมบูรณ์</t>
  </si>
  <si>
    <t>13O6 : แปลงยาว Type X</t>
  </si>
  <si>
    <t>ผลิตไม่ถึง 10 วัน</t>
  </si>
  <si>
    <t>ปิดชั่วคราว</t>
  </si>
  <si>
    <t>ผลิตสระบุรี</t>
  </si>
  <si>
    <t>FC111 : ดาวเรือง</t>
  </si>
  <si>
    <t>13LW : ดาวเรือง X</t>
  </si>
  <si>
    <t>FC065 : บ้านนา</t>
  </si>
  <si>
    <t>FC209 : บ้านหมอ</t>
  </si>
  <si>
    <t>FC389 : บ้านหมอ 2</t>
  </si>
  <si>
    <t>East 2</t>
  </si>
  <si>
    <t>ผลิตฉะเชิงเทรา</t>
  </si>
  <si>
    <t>FC088 : บางน้ำเปรี้ยว</t>
  </si>
  <si>
    <t>FC309 : บางน้ำเปรี้ยว 2</t>
  </si>
  <si>
    <t>ผลิตพานทอง</t>
  </si>
  <si>
    <t>13LV : Qmix-X พานทอง</t>
  </si>
  <si>
    <t>13OR : กัญญาวีร์ - X</t>
  </si>
  <si>
    <t>13O8 : กัญญาวีร์ - X</t>
  </si>
  <si>
    <t>31IH : บางแสน 1(FC Type X)</t>
  </si>
  <si>
    <t>FC410 : บ้านบึง 3</t>
  </si>
  <si>
    <t>FC256 : บ้านบึง2</t>
  </si>
  <si>
    <t>FC228 : พนัสนิคม</t>
  </si>
  <si>
    <t>FC388 : หมอนนาง</t>
  </si>
  <si>
    <t>ผลิตศรีราชา</t>
  </si>
  <si>
    <t>13QY : Qmix-X บางละมุง</t>
  </si>
  <si>
    <t>FC068 : บ้านอำเภอ</t>
  </si>
  <si>
    <t>FC117 : บ้านอำเภอ2</t>
  </si>
  <si>
    <t>FC169 : มาบประชัน</t>
  </si>
  <si>
    <t>FC307 : มาบประชัน 2</t>
  </si>
  <si>
    <t>FC273 : สัตหีบ 2</t>
  </si>
  <si>
    <t>FC284 : สัตหีบ 3</t>
  </si>
  <si>
    <t>FC384 : สัตหีบ 4</t>
  </si>
  <si>
    <t>East 3</t>
  </si>
  <si>
    <t>ผลิตบ่อวิน</t>
  </si>
  <si>
    <t>13O5 : ซิโนมา Type X</t>
  </si>
  <si>
    <t>FC272 : หนองใหญ่ 2</t>
  </si>
  <si>
    <t>FC402 : หนองใหญ่ 3</t>
  </si>
  <si>
    <t>FC300 : หนองไผ่แก้ว</t>
  </si>
  <si>
    <t>FC406 : โรจนะหนองใหญ่</t>
  </si>
  <si>
    <t>ผลิตระยอง</t>
  </si>
  <si>
    <t>13QQ : QMix-X มาบตาพุด1 (TG)</t>
  </si>
  <si>
    <t>13QR : QMix-X มาบตาพุด2 (TG)</t>
  </si>
  <si>
    <t>FC399 : ตราด</t>
  </si>
  <si>
    <t>13O3 : บูรพา ท่าหลวง (FC Type X)</t>
  </si>
  <si>
    <t>13O2 : บูรพา ท่าใหม่(FC Type X)</t>
  </si>
  <si>
    <t>FC332 : วังจันทร์</t>
  </si>
  <si>
    <t>FC017 : สอยดาว</t>
  </si>
  <si>
    <t>FC043 : เกาะช้าง</t>
  </si>
  <si>
    <t>ผลิตอมตะซิตี้</t>
  </si>
  <si>
    <t>FC105 : นิคมพัฒนา</t>
  </si>
  <si>
    <t>FC401 : บ้านค่าย 2</t>
  </si>
  <si>
    <t>FC071 : ปลวกแดง</t>
  </si>
  <si>
    <t>CPAC West</t>
  </si>
  <si>
    <t>West 1</t>
  </si>
  <si>
    <t>Prod.อยุธยา</t>
  </si>
  <si>
    <t>13YQ : CO1 โรจนะ</t>
  </si>
  <si>
    <t>FC138 : หันตรา</t>
  </si>
  <si>
    <t>Prod.อ่างทอง</t>
  </si>
  <si>
    <t>FC214 : ดอนเจดีย์</t>
  </si>
  <si>
    <t>FC062 : ด่านช้าง</t>
  </si>
  <si>
    <t>FC249 : ด่านช้าง 2</t>
  </si>
  <si>
    <t>FC176 : บางตะเคียน</t>
  </si>
  <si>
    <t>FC142 : บางปลาม้า</t>
  </si>
  <si>
    <t>FC201 : ศรีประจันต์</t>
  </si>
  <si>
    <t>FC197 : สรรคบุรี</t>
  </si>
  <si>
    <t>FC248 : สองพี่น้อง</t>
  </si>
  <si>
    <t>FC299 : สองพี่น้อง 2</t>
  </si>
  <si>
    <t>FC092 : อู่ทอง</t>
  </si>
  <si>
    <t>West 2</t>
  </si>
  <si>
    <t>Prod.นครปฐม</t>
  </si>
  <si>
    <t>FC369 : FC กาญจนบุรี 2</t>
  </si>
  <si>
    <t>FC397 : FC ท่าม่วง</t>
  </si>
  <si>
    <t>FC069 : จอมบึง</t>
  </si>
  <si>
    <t>FC070 : ท่ามะกา</t>
  </si>
  <si>
    <t>FC254 : พนมทวน</t>
  </si>
  <si>
    <t>Prod.เพชรบุรี</t>
  </si>
  <si>
    <t>FC236 : ทับสะแก</t>
  </si>
  <si>
    <t>FC035 : บางสะพาน</t>
  </si>
  <si>
    <t>FC009 : ประจวบคีรีขันธ์</t>
  </si>
  <si>
    <t>FC137 : ห้วยมงคล</t>
  </si>
  <si>
    <t>FC158 : แก่งกระจาน</t>
  </si>
  <si>
    <t>CPAC Metro</t>
  </si>
  <si>
    <t>Metro 1</t>
  </si>
  <si>
    <t>Prod.บางซื่อ</t>
  </si>
  <si>
    <t>13JM : TG เสมียนนารี</t>
  </si>
  <si>
    <t>Prod.พระราม 4</t>
  </si>
  <si>
    <t>13JX : พระราม 3/3 ( TG)</t>
  </si>
  <si>
    <t>Prod.พระราม 9</t>
  </si>
  <si>
    <t>FC900 : โรงงานทดสอบ Franchise Bluenet</t>
  </si>
  <si>
    <t>Metro 2</t>
  </si>
  <si>
    <t>Prod.บางบัวทอง</t>
  </si>
  <si>
    <t>31EF : FC นพวงศ์</t>
  </si>
  <si>
    <t>Prod.รังสิต</t>
  </si>
  <si>
    <t>FC139 : คลอง 11</t>
  </si>
  <si>
    <t>Prod.รามอินทรา</t>
  </si>
  <si>
    <t>13JQ : บางเขน (TG)</t>
  </si>
  <si>
    <t>13JO : เทพรักษ์ ( TG)</t>
  </si>
  <si>
    <t>Metro 3</t>
  </si>
  <si>
    <t>Prod.บางนา</t>
  </si>
  <si>
    <t>13JF : Forestias 5 (TG)</t>
  </si>
  <si>
    <t>13IB : บางปู ( TG)</t>
  </si>
  <si>
    <t>Prod.สุวรรณภูมิ</t>
  </si>
  <si>
    <t>31EC : FC คลองด่าน</t>
  </si>
  <si>
    <t>31ED : FC หลวงแพ่ง</t>
  </si>
  <si>
    <t>13JJ : บางนา กม.35(TG)</t>
  </si>
  <si>
    <t>CPAC North</t>
  </si>
  <si>
    <t>North 1</t>
  </si>
  <si>
    <t>Prod.ลำปาง</t>
  </si>
  <si>
    <t>FC172 : งาว</t>
  </si>
  <si>
    <t>FC374 : ลำปาง-สบปราบ</t>
  </si>
  <si>
    <t>19FJ : ลำปาง-ห้างฉัตร(FC Co-Area Type X)</t>
  </si>
  <si>
    <t>19FD : ลำปาง-เกาะคา(FC Co-Area Type X)</t>
  </si>
  <si>
    <t>19FE : ลำปาง-แม่ทะ(ผาลาด)(FC Co-Area Type X)</t>
  </si>
  <si>
    <t>FC360 : วังเหนือ</t>
  </si>
  <si>
    <t>FC306 : แจ้ห่ม</t>
  </si>
  <si>
    <t>FC371 : แม่ใจ (Type M)</t>
  </si>
  <si>
    <t>Prod.เชียงราย</t>
  </si>
  <si>
    <t>19FH : OEM เชียงราย-นางแล</t>
  </si>
  <si>
    <t>FC280 : ป่าแดด</t>
  </si>
  <si>
    <t>FC372 : พญาเม็งราย (Type M)</t>
  </si>
  <si>
    <t>FC194 : พาน</t>
  </si>
  <si>
    <t>FC174 : เชียงของ</t>
  </si>
  <si>
    <t>FC204 : เชียงแสน</t>
  </si>
  <si>
    <t>FC265 : เทิง</t>
  </si>
  <si>
    <t>FC049 : แม่จัน</t>
  </si>
  <si>
    <t>FC048 : แม่สาย</t>
  </si>
  <si>
    <t>Prod.เชียงใหม่ 3</t>
  </si>
  <si>
    <t>FC408 : ปาย (Type M)</t>
  </si>
  <si>
    <t>FC146 : ฝาง 2</t>
  </si>
  <si>
    <t>FC322 : ฝาง-สันทราย</t>
  </si>
  <si>
    <t>FC216 : พร้าว</t>
  </si>
  <si>
    <t>FC348 : เชียงดาว</t>
  </si>
  <si>
    <t>FC195 : เวียงป่าเป้า</t>
  </si>
  <si>
    <t>FC247 : แม่สรวย</t>
  </si>
  <si>
    <t>FC404 : แม่สรวย 2</t>
  </si>
  <si>
    <t>FC205 : แม่สะเรียง</t>
  </si>
  <si>
    <t>FC368 : แม่ฮ่องสอน (Type M)</t>
  </si>
  <si>
    <t>FC364 : แม่แจ่ม (Type M)</t>
  </si>
  <si>
    <t>FC276 : ไชยปราการ</t>
  </si>
  <si>
    <t>Prod.เชียงใหม่1</t>
  </si>
  <si>
    <t>FC392 : สะเมิง (Type M)</t>
  </si>
  <si>
    <t>Prod.เชียงใหม่2</t>
  </si>
  <si>
    <t>FC297 : ลี้ 2</t>
  </si>
  <si>
    <t>FC393 : ลี้-แม่ตืน</t>
  </si>
  <si>
    <t>FC007 : ฮอด</t>
  </si>
  <si>
    <t>Prod.แพร่</t>
  </si>
  <si>
    <t>FC357 : ปง (FC Type M)</t>
  </si>
  <si>
    <t>FC057 : ปัว</t>
  </si>
  <si>
    <t>FC219 : เชียงคำ</t>
  </si>
  <si>
    <t>FC362 : เชียงม่วน (FC Type M)</t>
  </si>
  <si>
    <t>FC403 : เวียงสา 2(Type M)</t>
  </si>
  <si>
    <t>19AP : แพร่-ร้องกวาง(FC Co-Area Type X)</t>
  </si>
  <si>
    <t>North 2</t>
  </si>
  <si>
    <t>Prod.กำแพงเพชร</t>
  </si>
  <si>
    <t>19FC : QMix-แม่สอด(TG)</t>
  </si>
  <si>
    <t>FC045 : ขาณุวรลักษบุรี</t>
  </si>
  <si>
    <t>FC023 : คลองขลุง</t>
  </si>
  <si>
    <t>FC289 : คลองขลุง 2</t>
  </si>
  <si>
    <t>FC121 : คลองลาน</t>
  </si>
  <si>
    <t>FC303 : ตาคลี</t>
  </si>
  <si>
    <t>FC067 : ท่าตะโก</t>
  </si>
  <si>
    <t>FC333 : นครสวรรค์ ไบโอคอมเพล็ก</t>
  </si>
  <si>
    <t>FC293 : บรรพตพิสัย</t>
  </si>
  <si>
    <t>FC261 : ลาดยาว</t>
  </si>
  <si>
    <t>FC255 : หนองบัว</t>
  </si>
  <si>
    <t>FC382 : หนองบัว 2</t>
  </si>
  <si>
    <t>Prod.นครสวรรค์</t>
  </si>
  <si>
    <t>FC118 : บ้านไร่</t>
  </si>
  <si>
    <t>FC178 : บ้านไร่ 2</t>
  </si>
  <si>
    <t>Prod.พิษณุโลก</t>
  </si>
  <si>
    <t>19FL : QMix-พะเยา(TG)</t>
  </si>
  <si>
    <t>FC207 : กงไกรลาศ</t>
  </si>
  <si>
    <t>FC347 : ชาติตระการ(FC Type M)</t>
  </si>
  <si>
    <t>FC240 : ทรัพย์ไพรวัลย์</t>
  </si>
  <si>
    <t>FC187 : นครไทย</t>
  </si>
  <si>
    <t>FC208 : พรหมพิราม</t>
  </si>
  <si>
    <t>FC373 : เนินมะปราง (Type M)</t>
  </si>
  <si>
    <t>Prod.สุโขทัย</t>
  </si>
  <si>
    <t>FC094 : บางระกำ</t>
  </si>
  <si>
    <t>FC148 : พรานกระต่าย</t>
  </si>
  <si>
    <t>FC167 : พิชัย</t>
  </si>
  <si>
    <t>FC250 : ลานกระบือ</t>
  </si>
  <si>
    <t>Prod.เพชรบูรณ์</t>
  </si>
  <si>
    <t>FC246 : ชนแดน</t>
  </si>
  <si>
    <t>FC154 : ตะพานหิน</t>
  </si>
  <si>
    <t>FC153 : ทับคล้อ</t>
  </si>
  <si>
    <t>FC130 : วชิรบารมี</t>
  </si>
  <si>
    <t>FC259 : วังชมภู</t>
  </si>
  <si>
    <t>FC165 : วิเชียรบุรี</t>
  </si>
  <si>
    <t>FC025 : ศรีเทพ</t>
  </si>
  <si>
    <t>FC053 : หนองไผ่</t>
  </si>
  <si>
    <t>FC051 : หล่มสัก</t>
  </si>
  <si>
    <t>FC278 : เขาค้อ</t>
  </si>
  <si>
    <t>FC036 : เพชรบูรณ์</t>
  </si>
  <si>
    <t>FC101 : โพทะเล</t>
  </si>
  <si>
    <t>CPAC Northeast</t>
  </si>
  <si>
    <t>Northeast 1</t>
  </si>
  <si>
    <t>Prod.โคราช-ชัยภูมิ</t>
  </si>
  <si>
    <t>FC339 : FC คง</t>
  </si>
  <si>
    <t>FC376 : FC จัตุรัส</t>
  </si>
  <si>
    <t>FC266 : FC บัวใหญ่</t>
  </si>
  <si>
    <t>FC179 : FC บำเหน็จณรงค์</t>
  </si>
  <si>
    <t>FC274 : FC บ้านแท่น</t>
  </si>
  <si>
    <t>FC320 : FC ประทาย</t>
  </si>
  <si>
    <t>FC114 : FC สีดา</t>
  </si>
  <si>
    <t>FC014 : FC แก้งคร้อ</t>
  </si>
  <si>
    <t>FC385 : FC โนนไทย (At Site)</t>
  </si>
  <si>
    <t>FC394 : FC โนนไทย-พระทองคำ</t>
  </si>
  <si>
    <t>14J2 : โคราชบ้านโพธิ์ (OEM)</t>
  </si>
  <si>
    <t>Prod.โคราช-หัวทะเล</t>
  </si>
  <si>
    <t>FC157 : FC จักราช</t>
  </si>
  <si>
    <t>FC144 : FC ชุมพวง</t>
  </si>
  <si>
    <t>FC050 : FC พิมาย 2</t>
  </si>
  <si>
    <t>FC359 : FC เสิงสาง</t>
  </si>
  <si>
    <t>FC409 : FC โนนสูง</t>
  </si>
  <si>
    <t>Prod.โคราช-เขาใหญ่</t>
  </si>
  <si>
    <t>FC354 : FC ด่านขุนทด</t>
  </si>
  <si>
    <t>FC063 : FC ปากช่อง 2</t>
  </si>
  <si>
    <t>FC160 : FC ปากช่อง 3</t>
  </si>
  <si>
    <t>FC031 : FC สีคิ้ว</t>
  </si>
  <si>
    <t>FC411 : FC ห้วยบง</t>
  </si>
  <si>
    <t>Northeast 2</t>
  </si>
  <si>
    <t>FC. อุดรธานี</t>
  </si>
  <si>
    <t>FC358 : FC โพนพิสัย</t>
  </si>
  <si>
    <t>Prod.ขอนแก่น-กาฬสินธุ์</t>
  </si>
  <si>
    <t>FC375 : FC กระนวน</t>
  </si>
  <si>
    <t>ZZP2 : FC น้ำพอง (Type X)</t>
  </si>
  <si>
    <t>14EI : FC น้ำพองมิตรภาพ (Type x2)</t>
  </si>
  <si>
    <t>14IU : FC พล (Type X2)</t>
  </si>
  <si>
    <t>FC156 : FC มัญจาคีรี</t>
  </si>
  <si>
    <t>FC288 : FC ยางตลาด</t>
  </si>
  <si>
    <t>FC331 : FC หนองกุงศรี</t>
  </si>
  <si>
    <t>ZZP1 : FC เขื่อนอุบลรัตน์ (Type X)</t>
  </si>
  <si>
    <t>ZZS2 : FC โนนศิลา (Type N)</t>
  </si>
  <si>
    <t>FC141 : FCกาฬสินธุ์</t>
  </si>
  <si>
    <t>FC193 : FCสมเด็จ</t>
  </si>
  <si>
    <t>FC283 : FCหนองสองห้อง</t>
  </si>
  <si>
    <t>FC321 : FCแวงน้อย</t>
  </si>
  <si>
    <t>FC226 : FCแวงใหญ่</t>
  </si>
  <si>
    <t>Prod.ขอนแก่น</t>
  </si>
  <si>
    <t>ZZP3 : FC ขอนแก่น1 (Type X)</t>
  </si>
  <si>
    <t>ZZP4 : FC ขอนแก่น2 (Type X)</t>
  </si>
  <si>
    <t>ZZP5 : FC ท่าพระ (Type X)</t>
  </si>
  <si>
    <t>ZZS1 : FC ภูเวียง (Type N)</t>
  </si>
  <si>
    <t>ZZP8 : FC หนองเรือ (Type X)</t>
  </si>
  <si>
    <t>FC001 : FCชุมแพ</t>
  </si>
  <si>
    <t>FC243 : FCสีชมพู</t>
  </si>
  <si>
    <t>Prod.ร้อยเอ็ด</t>
  </si>
  <si>
    <t>14H8 : FC ร้อยเอ็ด3 Type N</t>
  </si>
  <si>
    <t>FC387 : FC อาจสามารถ</t>
  </si>
  <si>
    <t>FC324 : FCนาเชือก</t>
  </si>
  <si>
    <t>FC335 : FCพนมไพร 2</t>
  </si>
  <si>
    <t>FC329 : FCพยัคฆภูมิพิสัย</t>
  </si>
  <si>
    <t>FC313 : FCวาปีปทุม</t>
  </si>
  <si>
    <t>FC292 : FCสุวรรณภูมิ</t>
  </si>
  <si>
    <t>FC350 : FCเกษตรวิสัย</t>
  </si>
  <si>
    <t>FC351 : FCโพนทอง</t>
  </si>
  <si>
    <t>Prod.อุดรธานี</t>
  </si>
  <si>
    <t>FC377 : FC (M) กุดจับ</t>
  </si>
  <si>
    <t>FC380 : FC (M) สร้างคอม</t>
  </si>
  <si>
    <t>FC232 : FC บ้านผือ</t>
  </si>
  <si>
    <t>FC305 : FC วังสามหมอ</t>
  </si>
  <si>
    <t>FC260 : FC ศรีธาตุ</t>
  </si>
  <si>
    <t>FC395 : FC หนองคาย เลี่ยงเมือง</t>
  </si>
  <si>
    <t>FC412 : FC หนองหาน-ทล.2350</t>
  </si>
  <si>
    <t>ZZS4 : FC อุดร - นาข่า (Type N)</t>
  </si>
  <si>
    <t>ZZS5 : FC อุดร - นิคมสงเคราะห์ (Type N)</t>
  </si>
  <si>
    <t>14H5 : FC อุดร-มิตรภาพ คูย่งฮวด Type N</t>
  </si>
  <si>
    <t>14H4 : FC อุดร-สามพร้าว (Type N)</t>
  </si>
  <si>
    <t>31P2 : FC อุดรธานี (Type N)</t>
  </si>
  <si>
    <t>FC325 : FC เพ็ญ</t>
  </si>
  <si>
    <t>ZZTA : FC โนนสะอาด (Type X)</t>
  </si>
  <si>
    <t>Prod.เลย</t>
  </si>
  <si>
    <t>FC337 : FC (M) เชียงคาน</t>
  </si>
  <si>
    <t>FC089 : FC ท่าบ่อ</t>
  </si>
  <si>
    <t>FC296 : FC ปากชม</t>
  </si>
  <si>
    <t>FC286 : FC ภูกระดึง</t>
  </si>
  <si>
    <t>FC242 : FC ภูเรือ</t>
  </si>
  <si>
    <t>14H3 : FC วังสะพุง (Type X2)</t>
  </si>
  <si>
    <t>FC363 : FC ศรีบุญเรือง</t>
  </si>
  <si>
    <t>FC336 : FC สังคม</t>
  </si>
  <si>
    <t>FC379 : FC หนองบัวลำภู</t>
  </si>
  <si>
    <t>FC326 : FC หนองหิน</t>
  </si>
  <si>
    <t>ZZP6 : FC เมืองเลย2 (Type N)</t>
  </si>
  <si>
    <t>Northeast 3</t>
  </si>
  <si>
    <t>Prod.บุรีรัมย์</t>
  </si>
  <si>
    <t>FC113 : FC ท่าตูม</t>
  </si>
  <si>
    <t>FC081 : FC ปราสาท</t>
  </si>
  <si>
    <t>FC344 : FC ปะคำ</t>
  </si>
  <si>
    <t>FC291 : FC ละหานทราย</t>
  </si>
  <si>
    <t>FC147 : FC ลำปลายมาศ</t>
  </si>
  <si>
    <t>FC383 : FC ศีขรภูมิ</t>
  </si>
  <si>
    <t>FC090 : FC สุรินทร์</t>
  </si>
  <si>
    <t>FC245 : FC สุรินทร์ 2</t>
  </si>
  <si>
    <t>Prod.มุกดาหาร</t>
  </si>
  <si>
    <t>FC301 : FC ขุขันธ์</t>
  </si>
  <si>
    <t>FC400 : FC ชานุมาน</t>
  </si>
  <si>
    <t>FC143 : FC ธาตุพนม</t>
  </si>
  <si>
    <t>FC285 : FC ปทุมราชวงศา</t>
  </si>
  <si>
    <t>FC407 : FC ยโสธร 3</t>
  </si>
  <si>
    <t>FC415 : FC ราษีไศล</t>
  </si>
  <si>
    <t>FC136 : FC อำนาจเจริญ</t>
  </si>
  <si>
    <t>FC181 : FC อำนาจเจริญ 2</t>
  </si>
  <si>
    <t>FC378 : FC อำนาจเจริญ 3 -น้ำปลีก</t>
  </si>
  <si>
    <t>FC188 : FC เลิงนกทา</t>
  </si>
  <si>
    <t>FC370 : FC เสนางคนิคม</t>
  </si>
  <si>
    <t>FC269 : FC ไพรบึง</t>
  </si>
  <si>
    <t>Prod.สกลนคร</t>
  </si>
  <si>
    <t>FC314 : FC ท่าอุเทน</t>
  </si>
  <si>
    <t>14H7 : FC นครพนม 5 (Type N)</t>
  </si>
  <si>
    <t>ZZP9 : FC นครพนม3 (Type N)</t>
  </si>
  <si>
    <t>FC386 : FC นาหว้า</t>
  </si>
  <si>
    <t>FC018 : FC บึงกาฬ</t>
  </si>
  <si>
    <t>FC334 : FC บ้านม่วง</t>
  </si>
  <si>
    <t>FC258 : FC บ้านแพง</t>
  </si>
  <si>
    <t>FC267 : FC พรเจริญ</t>
  </si>
  <si>
    <t>FC405 : FC พังโคน 2</t>
  </si>
  <si>
    <t>FC192 : FC วานรนิวาส</t>
  </si>
  <si>
    <t>FC225 : FC ศรีวิไล</t>
  </si>
  <si>
    <t>FC330 : FC ศรีสงคราม</t>
  </si>
  <si>
    <t>FC022 : FC สว่างแดนดิน</t>
  </si>
  <si>
    <t>FC318 : FC อากาศอำนวย</t>
  </si>
  <si>
    <t>FC338 : FC เซกา-บึงโขงหลง</t>
  </si>
  <si>
    <t>FC391 : FC โซ่พิสัย</t>
  </si>
  <si>
    <t>FC361 : FC โพนสวรรค์</t>
  </si>
  <si>
    <t>Prod.อุบลราชธานี</t>
  </si>
  <si>
    <t>FC002 : FC กันทรลักษ์</t>
  </si>
  <si>
    <t>FC189 : FC ตระการพืชผล</t>
  </si>
  <si>
    <t>FC290 : FC น้ำยืน</t>
  </si>
  <si>
    <t>FC041 : FC ศรีสะเกษ</t>
  </si>
  <si>
    <t>FC268 : FC อุทุมพรพิสัย</t>
  </si>
  <si>
    <t>FC222 : FC เขมราฐ</t>
  </si>
  <si>
    <t>FC231 : FC โนนคูณ</t>
  </si>
  <si>
    <t>RMC - South Chain</t>
  </si>
  <si>
    <t>South 1</t>
  </si>
  <si>
    <t>Prod.ตรัง</t>
  </si>
  <si>
    <t>15DQ : (TG) ตรังภูทอง</t>
  </si>
  <si>
    <t>FC210 : ละงู</t>
  </si>
  <si>
    <t>FC082 : สตูล</t>
  </si>
  <si>
    <t>FC028 : เกาะลันตาใหญ่</t>
  </si>
  <si>
    <t>Prod.นครศรีธรรมราช</t>
  </si>
  <si>
    <t>15DL : (TG) PTG ทุ่งสง-นครศรีธรรมราช</t>
  </si>
  <si>
    <t>15DR : (TG) ไตรทอง</t>
  </si>
  <si>
    <t>FC366 : จุฬาภรณ์</t>
  </si>
  <si>
    <t>FC238 : ชะอวด</t>
  </si>
  <si>
    <t>FC310 : ชะอวด 2</t>
  </si>
  <si>
    <t>FC218 : บ่อล้อ</t>
  </si>
  <si>
    <t>FC027 : ระโนด</t>
  </si>
  <si>
    <t>FC058 : หัวไทร</t>
  </si>
  <si>
    <t>FC212 : หัวไทร 2</t>
  </si>
  <si>
    <t>Prod.สงขลา</t>
  </si>
  <si>
    <t>FC199 : นราธิวาส 2</t>
  </si>
  <si>
    <t>FC166 : บ่อทอง (จ.ปัตตานี)</t>
  </si>
  <si>
    <t>FC127 : ปัตตานี</t>
  </si>
  <si>
    <t>FC227 : สะเดา</t>
  </si>
  <si>
    <t>FC072 : สิงหนคร</t>
  </si>
  <si>
    <t>FC162 : สุไหงโกลก</t>
  </si>
  <si>
    <t>South 2</t>
  </si>
  <si>
    <t>Prod.ชุมพร</t>
  </si>
  <si>
    <t>3164 : FC ปากน้ำชุมพร (Type X )</t>
  </si>
  <si>
    <t>3168 : FC หนองขรี</t>
  </si>
  <si>
    <t>FC381 : ทุ่งตะโก</t>
  </si>
  <si>
    <t>FC129 : ทุ่งใหญ่</t>
  </si>
  <si>
    <t>FC253 : นาสาร</t>
  </si>
  <si>
    <t>FC356 : นาสาร 2</t>
  </si>
  <si>
    <t>FC295 : บางสวรรค์ 3</t>
  </si>
  <si>
    <t>FC287 : มาบอำมฤต</t>
  </si>
  <si>
    <t>FC282 : ระนอง</t>
  </si>
  <si>
    <t>FC040 : เชี่ยวหลาน</t>
  </si>
  <si>
    <t>FC396 : เวียงสระ</t>
  </si>
  <si>
    <t>FC029 : ไชยา</t>
  </si>
  <si>
    <t>Prod.ภูเก็ต</t>
  </si>
  <si>
    <t>FC098 : ทับปุด</t>
  </si>
  <si>
    <t>FC414 : ทับปุด 2</t>
  </si>
  <si>
    <t>FC270 : ทุ่งมะพร้าว</t>
  </si>
  <si>
    <t>FC398 : บางม่วง</t>
  </si>
  <si>
    <t>FC221 : พังงา</t>
  </si>
  <si>
    <t>FC413 : เขาหลักโกลเด้นฮิลล์</t>
  </si>
  <si>
    <t>Prod.สุราษฏร์ธานี</t>
  </si>
  <si>
    <t>15AQ : FC กาญจนดิษฐ์ (Type X)</t>
  </si>
  <si>
    <t>3165 : FC ผาหลวงคอนกรีต</t>
  </si>
  <si>
    <t>3166 : FC ผาหลวงคอนกรีต 2</t>
  </si>
  <si>
    <t>FC000 : Test FC-Plant(Name-T)</t>
  </si>
  <si>
    <t>FC006 : ขนอม</t>
  </si>
  <si>
    <t>FC213 : สิชล</t>
  </si>
  <si>
    <t>FC115 : เกาะพงัน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</si>
</sst>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6"/>
      <color rgb="FF000000"/>
      <name val="Tahoma"/>
      <family val="2"/>
    </font>
    <font>
      <sz val="6"/>
      <color rgb="FF000000"/>
      <name val="Tahoma"/>
      <family val="2"/>
    </font>
    <font>
      <sz val="6"/>
      <color rgb="FF151515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0F8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F656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D0DDE8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E9FAFF"/>
        <bgColor indexed="64"/>
      </patternFill>
    </fill>
    <fill>
      <patternFill patternType="solid">
        <fgColor rgb="FFF5F97E"/>
        <bgColor indexed="64"/>
      </patternFill>
    </fill>
    <fill>
      <patternFill patternType="solid">
        <fgColor rgb="FFA1F2A1"/>
        <bgColor indexed="64"/>
      </patternFill>
    </fill>
    <fill>
      <patternFill patternType="solid">
        <fgColor rgb="FFA8A8A8"/>
        <bgColor indexed="64"/>
      </patternFill>
    </fill>
  </fills>
  <borders count="9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  <border>
      <left style="medium">
        <color rgb="FFE4E4E4"/>
      </left>
      <right style="medium">
        <color rgb="FFE4E4E4"/>
      </right>
      <top style="medium">
        <color rgb="FFE4E4E4"/>
      </top>
      <bottom style="medium">
        <color rgb="FFE4E4E4"/>
      </bottom>
      <diagonal/>
    </border>
    <border>
      <left style="medium">
        <color rgb="FFE4E4E4"/>
      </left>
      <right style="medium">
        <color rgb="FFE4E4E4"/>
      </right>
      <top style="medium">
        <color rgb="FFE4E4E4"/>
      </top>
      <bottom/>
      <diagonal/>
    </border>
    <border>
      <left style="medium">
        <color rgb="FFE4E4E4"/>
      </left>
      <right style="medium">
        <color rgb="FFE4E4E4"/>
      </right>
      <top/>
      <bottom/>
      <diagonal/>
    </border>
    <border>
      <left style="medium">
        <color rgb="FFE4E4E4"/>
      </left>
      <right style="medium">
        <color rgb="FFE4E4E4"/>
      </right>
      <top/>
      <bottom style="medium">
        <color rgb="FFE4E4E4"/>
      </bottom>
      <diagonal/>
    </border>
    <border>
      <left style="medium">
        <color rgb="FFE4E4E4"/>
      </left>
      <right style="medium">
        <color rgb="FFE4E4E4"/>
      </right>
      <top/>
      <bottom style="medium">
        <color rgb="FFDEDEDE"/>
      </bottom>
      <diagonal/>
    </border>
    <border>
      <left style="medium">
        <color rgb="FFE4E4E4"/>
      </left>
      <right style="medium">
        <color rgb="FFE4E4E4"/>
      </right>
      <top style="medium">
        <color rgb="FFE4E4E4"/>
      </top>
      <bottom style="medium">
        <color rgb="FFDEDEDE"/>
      </bottom>
      <diagonal/>
    </border>
    <border>
      <left style="medium">
        <color rgb="FFE4E4E4"/>
      </left>
      <right style="medium">
        <color rgb="FFE4E4E4"/>
      </right>
      <top style="medium">
        <color rgb="FFDEDEDE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3" fillId="11" borderId="8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3" fillId="9" borderId="8" xfId="0" applyFont="1" applyFill="1" applyBorder="1" applyAlignment="1">
      <alignment horizontal="center" vertical="center" wrapText="1"/>
    </xf>
    <xf numFmtId="0" fontId="3" fillId="10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EA46-F5CB-4600-A9F1-7CA1B292CD68}">
  <dimension ref="A1:O1963"/>
  <sheetViews>
    <sheetView tabSelected="1" topLeftCell="A1942" workbookViewId="0">
      <selection activeCell="B1700" sqref="B1700:B1963"/>
    </sheetView>
  </sheetViews>
  <sheetFormatPr defaultRowHeight="14.5" x14ac:dyDescent="0.35"/>
  <cols>
    <col min="2" max="2" width="17.36328125" customWidth="1"/>
  </cols>
  <sheetData>
    <row r="1" spans="1:15" ht="15" thickBot="1" x14ac:dyDescent="0.4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</row>
    <row r="2" spans="1:15" ht="15" thickBot="1" x14ac:dyDescent="0.4">
      <c r="C2" s="17"/>
      <c r="D2" s="17" t="s">
        <v>13</v>
      </c>
      <c r="E2" s="17" t="s">
        <v>14</v>
      </c>
      <c r="F2" s="17" t="s">
        <v>15</v>
      </c>
      <c r="G2" s="17" t="s">
        <v>16</v>
      </c>
      <c r="H2" s="21" t="s">
        <v>17</v>
      </c>
      <c r="I2" s="1"/>
      <c r="J2" s="1"/>
      <c r="K2" s="1"/>
      <c r="L2" s="1"/>
      <c r="M2" s="1"/>
      <c r="N2" s="1"/>
      <c r="O2" s="1"/>
    </row>
    <row r="3" spans="1:15" ht="15" thickBot="1" x14ac:dyDescent="0.4">
      <c r="A3" t="str">
        <f>IF(LEFT(G2,2)="FC",LEFT(G2,5),LEFT(G2,4))</f>
        <v>13O4</v>
      </c>
      <c r="B3" t="str">
        <f>$D$2</f>
        <v>CPAC East</v>
      </c>
      <c r="C3" s="18"/>
      <c r="D3" s="18"/>
      <c r="E3" s="18"/>
      <c r="F3" s="18"/>
      <c r="G3" s="18"/>
      <c r="H3" s="22"/>
      <c r="I3" s="3" t="s">
        <v>18</v>
      </c>
      <c r="J3" s="4">
        <v>30</v>
      </c>
      <c r="K3" s="4">
        <v>30</v>
      </c>
      <c r="L3" s="4">
        <v>50</v>
      </c>
      <c r="M3" s="4">
        <v>42</v>
      </c>
      <c r="N3" s="4">
        <v>42</v>
      </c>
      <c r="O3" s="4">
        <v>54</v>
      </c>
    </row>
    <row r="4" spans="1:15" ht="15" thickBot="1" x14ac:dyDescent="0.4">
      <c r="A4" t="str">
        <f>IF(LEFT(G2,2)="FC",LEFT(G2,5),LEFT(G2,4))</f>
        <v>13O4</v>
      </c>
      <c r="B4" t="str">
        <f t="shared" ref="B4:B67" si="0">$D$2</f>
        <v>CPAC East</v>
      </c>
      <c r="C4" s="18"/>
      <c r="D4" s="18"/>
      <c r="E4" s="18"/>
      <c r="F4" s="18"/>
      <c r="G4" s="18"/>
      <c r="H4" s="22"/>
      <c r="I4" s="5" t="s">
        <v>19</v>
      </c>
      <c r="J4" s="6">
        <v>64</v>
      </c>
      <c r="K4" s="7">
        <v>89</v>
      </c>
      <c r="L4" s="7">
        <v>80</v>
      </c>
      <c r="M4" s="6">
        <v>53</v>
      </c>
      <c r="N4" s="6">
        <v>61</v>
      </c>
      <c r="O4" s="8">
        <v>25</v>
      </c>
    </row>
    <row r="5" spans="1:15" ht="15" thickBot="1" x14ac:dyDescent="0.4">
      <c r="A5" t="str">
        <f>IF(LEFT(G2,2)="FC",LEFT(G2,5),LEFT(G2,4))</f>
        <v>13O4</v>
      </c>
      <c r="B5" t="str">
        <f t="shared" si="0"/>
        <v>CPAC East</v>
      </c>
      <c r="C5" s="18"/>
      <c r="D5" s="18"/>
      <c r="E5" s="18"/>
      <c r="F5" s="18"/>
      <c r="G5" s="18"/>
      <c r="H5" s="22"/>
      <c r="I5" s="3" t="s">
        <v>20</v>
      </c>
      <c r="J5" s="6">
        <v>42.5</v>
      </c>
      <c r="K5" s="9">
        <v>32.799999999999997</v>
      </c>
      <c r="L5" s="7">
        <v>39.9</v>
      </c>
      <c r="M5" s="10">
        <v>26.9</v>
      </c>
      <c r="N5" s="7">
        <v>34.9</v>
      </c>
      <c r="O5" s="8">
        <v>56</v>
      </c>
    </row>
    <row r="6" spans="1:15" ht="15" thickBot="1" x14ac:dyDescent="0.4">
      <c r="A6" t="str">
        <f>IF(LEFT(G2,2)="FC",LEFT(G2,5),LEFT(G2,4))</f>
        <v>13O4</v>
      </c>
      <c r="B6" t="str">
        <f t="shared" si="0"/>
        <v>CPAC East</v>
      </c>
      <c r="C6" s="18"/>
      <c r="D6" s="18"/>
      <c r="E6" s="18"/>
      <c r="F6" s="18"/>
      <c r="G6" s="18"/>
      <c r="H6" s="22"/>
      <c r="I6" s="5" t="s">
        <v>21</v>
      </c>
      <c r="J6" s="8">
        <v>0.5</v>
      </c>
      <c r="K6" s="10">
        <v>0.9</v>
      </c>
      <c r="L6" s="9">
        <v>0.66</v>
      </c>
      <c r="M6" s="9">
        <v>0.66</v>
      </c>
      <c r="N6" s="9">
        <v>0.59</v>
      </c>
      <c r="O6" s="8">
        <v>0.15</v>
      </c>
    </row>
    <row r="7" spans="1:15" ht="15" thickBot="1" x14ac:dyDescent="0.4">
      <c r="A7" t="str">
        <f>IF(LEFT(G2,2)="FC",LEFT(G2,5),LEFT(G2,4))</f>
        <v>13O4</v>
      </c>
      <c r="B7" t="str">
        <f t="shared" si="0"/>
        <v>CPAC East</v>
      </c>
      <c r="C7" s="19"/>
      <c r="D7" s="19"/>
      <c r="E7" s="19"/>
      <c r="F7" s="19"/>
      <c r="G7" s="19"/>
      <c r="H7" s="23"/>
      <c r="I7" s="3" t="s">
        <v>22</v>
      </c>
      <c r="J7" s="8" t="s">
        <v>23</v>
      </c>
      <c r="K7" s="10" t="s">
        <v>24</v>
      </c>
      <c r="L7" s="9" t="s">
        <v>25</v>
      </c>
      <c r="M7" s="11"/>
      <c r="N7" s="9" t="s">
        <v>25</v>
      </c>
      <c r="O7" s="8" t="s">
        <v>23</v>
      </c>
    </row>
    <row r="8" spans="1:15" ht="15" thickBot="1" x14ac:dyDescent="0.4">
      <c r="B8" t="str">
        <f t="shared" si="0"/>
        <v>CPAC East</v>
      </c>
      <c r="C8" s="16"/>
      <c r="D8" s="16"/>
      <c r="E8" s="16"/>
      <c r="F8" s="16"/>
      <c r="G8" s="16" t="s">
        <v>26</v>
      </c>
      <c r="H8" s="20" t="s">
        <v>17</v>
      </c>
      <c r="I8" s="1"/>
      <c r="J8" s="1"/>
      <c r="K8" s="1"/>
      <c r="L8" s="1"/>
      <c r="M8" s="1"/>
      <c r="N8" s="1"/>
      <c r="O8" s="1"/>
    </row>
    <row r="9" spans="1:15" ht="15" thickBot="1" x14ac:dyDescent="0.4">
      <c r="A9" t="str">
        <f>IF(LEFT(G8,2)="FC",LEFT(G8,5),LEFT(G8,4))</f>
        <v>13O7</v>
      </c>
      <c r="B9" t="str">
        <f t="shared" si="0"/>
        <v>CPAC East</v>
      </c>
      <c r="C9" s="18"/>
      <c r="D9" s="18"/>
      <c r="E9" s="18"/>
      <c r="F9" s="18"/>
      <c r="G9" s="18"/>
      <c r="H9" s="22"/>
      <c r="I9" s="3" t="s">
        <v>18</v>
      </c>
      <c r="J9" s="4">
        <v>36</v>
      </c>
      <c r="K9" s="4">
        <v>42</v>
      </c>
      <c r="L9" s="4">
        <v>50</v>
      </c>
      <c r="M9" s="11"/>
      <c r="N9" s="11"/>
      <c r="O9" s="4">
        <v>30</v>
      </c>
    </row>
    <row r="10" spans="1:15" ht="15" thickBot="1" x14ac:dyDescent="0.4">
      <c r="A10" t="str">
        <f>IF(LEFT(G8,2)="FC",LEFT(G8,5),LEFT(G8,4))</f>
        <v>13O7</v>
      </c>
      <c r="B10" t="str">
        <f t="shared" si="0"/>
        <v>CPAC East</v>
      </c>
      <c r="C10" s="18"/>
      <c r="D10" s="18"/>
      <c r="E10" s="18"/>
      <c r="F10" s="18"/>
      <c r="G10" s="18"/>
      <c r="H10" s="22"/>
      <c r="I10" s="5" t="s">
        <v>19</v>
      </c>
      <c r="J10" s="8">
        <v>40</v>
      </c>
      <c r="K10" s="8">
        <v>48</v>
      </c>
      <c r="L10" s="7">
        <v>75</v>
      </c>
      <c r="M10" s="11"/>
      <c r="N10" s="11"/>
      <c r="O10" s="8">
        <v>26</v>
      </c>
    </row>
    <row r="11" spans="1:15" ht="15" thickBot="1" x14ac:dyDescent="0.4">
      <c r="A11" t="str">
        <f>IF(LEFT(G8,2)="FC",LEFT(G8,5),LEFT(G8,4))</f>
        <v>13O7</v>
      </c>
      <c r="B11" t="str">
        <f t="shared" si="0"/>
        <v>CPAC East</v>
      </c>
      <c r="C11" s="18"/>
      <c r="D11" s="18"/>
      <c r="E11" s="18"/>
      <c r="F11" s="18"/>
      <c r="G11" s="18"/>
      <c r="H11" s="22"/>
      <c r="I11" s="3" t="s">
        <v>20</v>
      </c>
      <c r="J11" s="7">
        <v>41.2</v>
      </c>
      <c r="K11" s="7">
        <v>39.299999999999997</v>
      </c>
      <c r="L11" s="10">
        <v>27.9</v>
      </c>
      <c r="M11" s="11"/>
      <c r="N11" s="11"/>
      <c r="O11" s="6">
        <v>45.1</v>
      </c>
    </row>
    <row r="12" spans="1:15" ht="15" thickBot="1" x14ac:dyDescent="0.4">
      <c r="A12" t="str">
        <f>IF(LEFT(G8,2)="FC",LEFT(G8,5),LEFT(G8,4))</f>
        <v>13O7</v>
      </c>
      <c r="B12" t="str">
        <f t="shared" si="0"/>
        <v>CPAC East</v>
      </c>
      <c r="C12" s="18"/>
      <c r="D12" s="18"/>
      <c r="E12" s="18"/>
      <c r="F12" s="18"/>
      <c r="G12" s="18"/>
      <c r="H12" s="22"/>
      <c r="I12" s="5" t="s">
        <v>21</v>
      </c>
      <c r="J12" s="8">
        <v>0.32</v>
      </c>
      <c r="K12" s="8">
        <v>0.4</v>
      </c>
      <c r="L12" s="10">
        <v>0.9</v>
      </c>
      <c r="M12" s="11"/>
      <c r="N12" s="11"/>
      <c r="O12" s="8">
        <v>0.19</v>
      </c>
    </row>
    <row r="13" spans="1:15" ht="15" thickBot="1" x14ac:dyDescent="0.4">
      <c r="A13" t="str">
        <f>IF(LEFT(G8,2)="FC",LEFT(G8,5),LEFT(G8,4))</f>
        <v>13O7</v>
      </c>
      <c r="B13" t="str">
        <f t="shared" si="0"/>
        <v>CPAC East</v>
      </c>
      <c r="C13" s="19"/>
      <c r="D13" s="19"/>
      <c r="E13" s="19"/>
      <c r="F13" s="19"/>
      <c r="G13" s="19"/>
      <c r="H13" s="23"/>
      <c r="I13" s="3" t="s">
        <v>22</v>
      </c>
      <c r="J13" s="8" t="s">
        <v>23</v>
      </c>
      <c r="K13" s="8" t="s">
        <v>23</v>
      </c>
      <c r="L13" s="10" t="s">
        <v>24</v>
      </c>
      <c r="M13" s="11" t="s">
        <v>27</v>
      </c>
      <c r="N13" s="11" t="s">
        <v>27</v>
      </c>
      <c r="O13" s="8" t="s">
        <v>23</v>
      </c>
    </row>
    <row r="14" spans="1:15" ht="15" thickBot="1" x14ac:dyDescent="0.4">
      <c r="B14" t="str">
        <f t="shared" si="0"/>
        <v>CPAC East</v>
      </c>
      <c r="C14" s="16"/>
      <c r="D14" s="16"/>
      <c r="E14" s="16"/>
      <c r="F14" s="16" t="s">
        <v>28</v>
      </c>
      <c r="G14" s="16" t="s">
        <v>29</v>
      </c>
      <c r="H14" s="24" t="s">
        <v>30</v>
      </c>
      <c r="I14" s="1"/>
      <c r="J14" s="1"/>
      <c r="K14" s="1"/>
      <c r="L14" s="1"/>
      <c r="M14" s="1"/>
      <c r="N14" s="1"/>
      <c r="O14" s="1"/>
    </row>
    <row r="15" spans="1:15" ht="15" thickBot="1" x14ac:dyDescent="0.4">
      <c r="A15" t="str">
        <f t="shared" ref="A15:A78" si="1">IF(LEFT(G14,2)="FC",LEFT(G14,5),LEFT(G14,4))</f>
        <v>13LX</v>
      </c>
      <c r="B15" t="str">
        <f t="shared" si="0"/>
        <v>CPAC East</v>
      </c>
      <c r="C15" s="18"/>
      <c r="D15" s="18"/>
      <c r="E15" s="18"/>
      <c r="F15" s="18"/>
      <c r="G15" s="18"/>
      <c r="H15" s="25"/>
      <c r="I15" s="3" t="s">
        <v>18</v>
      </c>
      <c r="J15" s="11"/>
      <c r="K15" s="11"/>
      <c r="L15" s="11"/>
      <c r="M15" s="11"/>
      <c r="N15" s="11"/>
      <c r="O15" s="11"/>
    </row>
    <row r="16" spans="1:15" ht="15" thickBot="1" x14ac:dyDescent="0.4">
      <c r="A16" t="str">
        <f t="shared" ref="A16" si="2">IF(LEFT(G14,2)="FC",LEFT(G14,5),LEFT(G14,4))</f>
        <v>13LX</v>
      </c>
      <c r="B16" t="str">
        <f t="shared" si="0"/>
        <v>CPAC East</v>
      </c>
      <c r="C16" s="18"/>
      <c r="D16" s="18"/>
      <c r="E16" s="18"/>
      <c r="F16" s="18"/>
      <c r="G16" s="18"/>
      <c r="H16" s="25"/>
      <c r="I16" s="5" t="s">
        <v>19</v>
      </c>
      <c r="J16" s="11"/>
      <c r="K16" s="11"/>
      <c r="L16" s="11"/>
      <c r="M16" s="11"/>
      <c r="N16" s="11"/>
      <c r="O16" s="11"/>
    </row>
    <row r="17" spans="1:15" ht="15" thickBot="1" x14ac:dyDescent="0.4">
      <c r="A17" t="str">
        <f t="shared" ref="A17" si="3">IF(LEFT(G14,2)="FC",LEFT(G14,5),LEFT(G14,4))</f>
        <v>13LX</v>
      </c>
      <c r="B17" t="str">
        <f t="shared" si="0"/>
        <v>CPAC East</v>
      </c>
      <c r="C17" s="18"/>
      <c r="D17" s="18"/>
      <c r="E17" s="18"/>
      <c r="F17" s="18"/>
      <c r="G17" s="18"/>
      <c r="H17" s="25"/>
      <c r="I17" s="3" t="s">
        <v>20</v>
      </c>
      <c r="J17" s="11"/>
      <c r="K17" s="11"/>
      <c r="L17" s="11"/>
      <c r="M17" s="11"/>
      <c r="N17" s="11"/>
      <c r="O17" s="11"/>
    </row>
    <row r="18" spans="1:15" ht="15" thickBot="1" x14ac:dyDescent="0.4">
      <c r="A18" t="str">
        <f t="shared" ref="A18" si="4">IF(LEFT(G14,2)="FC",LEFT(G14,5),LEFT(G14,4))</f>
        <v>13LX</v>
      </c>
      <c r="B18" t="str">
        <f t="shared" si="0"/>
        <v>CPAC East</v>
      </c>
      <c r="C18" s="18"/>
      <c r="D18" s="18"/>
      <c r="E18" s="18"/>
      <c r="F18" s="18"/>
      <c r="G18" s="18"/>
      <c r="H18" s="25"/>
      <c r="I18" s="5" t="s">
        <v>21</v>
      </c>
      <c r="J18" s="11"/>
      <c r="K18" s="11"/>
      <c r="L18" s="11"/>
      <c r="M18" s="11"/>
      <c r="N18" s="11"/>
      <c r="O18" s="11"/>
    </row>
    <row r="19" spans="1:15" ht="15" thickBot="1" x14ac:dyDescent="0.4">
      <c r="A19" t="str">
        <f t="shared" ref="A19" si="5">IF(LEFT(G14,2)="FC",LEFT(G14,5),LEFT(G14,4))</f>
        <v>13LX</v>
      </c>
      <c r="B19" t="str">
        <f t="shared" si="0"/>
        <v>CPAC East</v>
      </c>
      <c r="C19" s="19"/>
      <c r="D19" s="19"/>
      <c r="E19" s="19"/>
      <c r="F19" s="19"/>
      <c r="G19" s="19"/>
      <c r="H19" s="26"/>
      <c r="I19" s="3" t="s">
        <v>22</v>
      </c>
      <c r="J19" s="11" t="s">
        <v>31</v>
      </c>
      <c r="K19" s="11" t="s">
        <v>31</v>
      </c>
      <c r="L19" s="11" t="s">
        <v>31</v>
      </c>
      <c r="M19" s="11" t="s">
        <v>31</v>
      </c>
      <c r="N19" s="11" t="s">
        <v>31</v>
      </c>
      <c r="O19" s="11" t="s">
        <v>31</v>
      </c>
    </row>
    <row r="20" spans="1:15" ht="15" thickBot="1" x14ac:dyDescent="0.4">
      <c r="B20" t="str">
        <f t="shared" si="0"/>
        <v>CPAC East</v>
      </c>
      <c r="C20" s="16"/>
      <c r="D20" s="16"/>
      <c r="E20" s="16"/>
      <c r="F20" s="16"/>
      <c r="G20" s="16" t="s">
        <v>32</v>
      </c>
      <c r="H20" s="20" t="s">
        <v>17</v>
      </c>
      <c r="I20" s="1"/>
      <c r="J20" s="1"/>
      <c r="K20" s="1"/>
      <c r="L20" s="1"/>
      <c r="M20" s="1"/>
      <c r="N20" s="1"/>
      <c r="O20" s="1"/>
    </row>
    <row r="21" spans="1:15" ht="15" thickBot="1" x14ac:dyDescent="0.4">
      <c r="A21" t="str">
        <f t="shared" ref="A21:A84" si="6">IF(LEFT(G20,2)="FC",LEFT(G20,5),LEFT(G20,4))</f>
        <v>FC015</v>
      </c>
      <c r="B21" t="str">
        <f t="shared" si="0"/>
        <v>CPAC East</v>
      </c>
      <c r="C21" s="18"/>
      <c r="D21" s="18"/>
      <c r="E21" s="18"/>
      <c r="F21" s="18"/>
      <c r="G21" s="18"/>
      <c r="H21" s="22"/>
      <c r="I21" s="3" t="s">
        <v>18</v>
      </c>
      <c r="J21" s="4">
        <v>30</v>
      </c>
      <c r="K21" s="4">
        <v>30</v>
      </c>
      <c r="L21" s="4">
        <v>30</v>
      </c>
      <c r="M21" s="4">
        <v>30</v>
      </c>
      <c r="N21" s="4">
        <v>30</v>
      </c>
      <c r="O21" s="4">
        <v>30</v>
      </c>
    </row>
    <row r="22" spans="1:15" ht="15" thickBot="1" x14ac:dyDescent="0.4">
      <c r="A22" t="str">
        <f t="shared" ref="A22" si="7">IF(LEFT(G20,2)="FC",LEFT(G20,5),LEFT(G20,4))</f>
        <v>FC015</v>
      </c>
      <c r="B22" t="str">
        <f t="shared" si="0"/>
        <v>CPAC East</v>
      </c>
      <c r="C22" s="18"/>
      <c r="D22" s="18"/>
      <c r="E22" s="18"/>
      <c r="F22" s="18"/>
      <c r="G22" s="18"/>
      <c r="H22" s="22"/>
      <c r="I22" s="5" t="s">
        <v>19</v>
      </c>
      <c r="J22" s="9">
        <v>112</v>
      </c>
      <c r="K22" s="9">
        <v>97</v>
      </c>
      <c r="L22" s="7">
        <v>70</v>
      </c>
      <c r="M22" s="7">
        <v>80</v>
      </c>
      <c r="N22" s="6">
        <v>50</v>
      </c>
      <c r="O22" s="8">
        <v>27</v>
      </c>
    </row>
    <row r="23" spans="1:15" ht="15" thickBot="1" x14ac:dyDescent="0.4">
      <c r="A23" t="str">
        <f t="shared" ref="A23" si="8">IF(LEFT(G20,2)="FC",LEFT(G20,5),LEFT(G20,4))</f>
        <v>FC015</v>
      </c>
      <c r="B23" t="str">
        <f t="shared" si="0"/>
        <v>CPAC East</v>
      </c>
      <c r="C23" s="18"/>
      <c r="D23" s="18"/>
      <c r="E23" s="18"/>
      <c r="F23" s="18"/>
      <c r="G23" s="18"/>
      <c r="H23" s="22"/>
      <c r="I23" s="3" t="s">
        <v>20</v>
      </c>
      <c r="J23" s="6">
        <v>44.2</v>
      </c>
      <c r="K23" s="6">
        <v>43.3</v>
      </c>
      <c r="L23" s="7">
        <v>35.9</v>
      </c>
      <c r="M23" s="10">
        <v>26.9</v>
      </c>
      <c r="N23" s="10">
        <v>25.3</v>
      </c>
      <c r="O23" s="9">
        <v>32</v>
      </c>
    </row>
    <row r="24" spans="1:15" ht="15" thickBot="1" x14ac:dyDescent="0.4">
      <c r="A24" t="str">
        <f t="shared" ref="A24" si="9">IF(LEFT(G20,2)="FC",LEFT(G20,5),LEFT(G20,4))</f>
        <v>FC015</v>
      </c>
      <c r="B24" t="str">
        <f t="shared" si="0"/>
        <v>CPAC East</v>
      </c>
      <c r="C24" s="18"/>
      <c r="D24" s="18"/>
      <c r="E24" s="18"/>
      <c r="F24" s="18"/>
      <c r="G24" s="18"/>
      <c r="H24" s="22"/>
      <c r="I24" s="5" t="s">
        <v>21</v>
      </c>
      <c r="J24" s="10">
        <v>0.84</v>
      </c>
      <c r="K24" s="9">
        <v>0.74</v>
      </c>
      <c r="L24" s="9">
        <v>0.65</v>
      </c>
      <c r="M24" s="10">
        <v>0.99</v>
      </c>
      <c r="N24" s="9">
        <v>0.66</v>
      </c>
      <c r="O24" s="8">
        <v>0.28000000000000003</v>
      </c>
    </row>
    <row r="25" spans="1:15" ht="15" thickBot="1" x14ac:dyDescent="0.4">
      <c r="A25" t="str">
        <f t="shared" ref="A25" si="10">IF(LEFT(G20,2)="FC",LEFT(G20,5),LEFT(G20,4))</f>
        <v>FC015</v>
      </c>
      <c r="B25" t="str">
        <f t="shared" si="0"/>
        <v>CPAC East</v>
      </c>
      <c r="C25" s="19"/>
      <c r="D25" s="19"/>
      <c r="E25" s="19"/>
      <c r="F25" s="19"/>
      <c r="G25" s="19"/>
      <c r="H25" s="23"/>
      <c r="I25" s="3" t="s">
        <v>22</v>
      </c>
      <c r="J25" s="10" t="s">
        <v>24</v>
      </c>
      <c r="K25" s="10" t="s">
        <v>24</v>
      </c>
      <c r="L25" s="9" t="s">
        <v>25</v>
      </c>
      <c r="M25" s="10" t="s">
        <v>24</v>
      </c>
      <c r="N25" s="9" t="s">
        <v>25</v>
      </c>
      <c r="O25" s="8" t="s">
        <v>23</v>
      </c>
    </row>
    <row r="26" spans="1:15" ht="15" thickBot="1" x14ac:dyDescent="0.4">
      <c r="B26" t="str">
        <f t="shared" si="0"/>
        <v>CPAC East</v>
      </c>
      <c r="C26" s="16"/>
      <c r="D26" s="16"/>
      <c r="E26" s="16"/>
      <c r="F26" s="16"/>
      <c r="G26" s="16" t="s">
        <v>33</v>
      </c>
      <c r="H26" s="27" t="s">
        <v>34</v>
      </c>
      <c r="I26" s="1"/>
      <c r="J26" s="1"/>
      <c r="K26" s="1"/>
      <c r="L26" s="1"/>
      <c r="M26" s="1"/>
      <c r="N26" s="1"/>
      <c r="O26" s="1"/>
    </row>
    <row r="27" spans="1:15" ht="15" thickBot="1" x14ac:dyDescent="0.4">
      <c r="A27" t="str">
        <f t="shared" ref="A27:A90" si="11">IF(LEFT(G26,2)="FC",LEFT(G26,5),LEFT(G26,4))</f>
        <v>FC175</v>
      </c>
      <c r="B27" t="str">
        <f t="shared" si="0"/>
        <v>CPAC East</v>
      </c>
      <c r="C27" s="18"/>
      <c r="D27" s="18"/>
      <c r="E27" s="18"/>
      <c r="F27" s="18"/>
      <c r="G27" s="18"/>
      <c r="H27" s="28"/>
      <c r="I27" s="3" t="s">
        <v>18</v>
      </c>
      <c r="J27" s="4">
        <v>36</v>
      </c>
      <c r="K27" s="4">
        <v>30</v>
      </c>
      <c r="L27" s="4">
        <v>36</v>
      </c>
      <c r="M27" s="4">
        <v>36</v>
      </c>
      <c r="N27" s="4">
        <v>32</v>
      </c>
      <c r="O27" s="4">
        <v>53</v>
      </c>
    </row>
    <row r="28" spans="1:15" ht="15" thickBot="1" x14ac:dyDescent="0.4">
      <c r="A28" t="str">
        <f t="shared" ref="A28" si="12">IF(LEFT(G26,2)="FC",LEFT(G26,5),LEFT(G26,4))</f>
        <v>FC175</v>
      </c>
      <c r="B28" t="str">
        <f t="shared" si="0"/>
        <v>CPAC East</v>
      </c>
      <c r="C28" s="18"/>
      <c r="D28" s="18"/>
      <c r="E28" s="18"/>
      <c r="F28" s="18"/>
      <c r="G28" s="18"/>
      <c r="H28" s="28"/>
      <c r="I28" s="5" t="s">
        <v>19</v>
      </c>
      <c r="J28" s="9">
        <v>111</v>
      </c>
      <c r="K28" s="7">
        <v>79</v>
      </c>
      <c r="L28" s="8">
        <v>38</v>
      </c>
      <c r="M28" s="9">
        <v>172</v>
      </c>
      <c r="N28" s="6">
        <v>51</v>
      </c>
      <c r="O28" s="6">
        <v>65</v>
      </c>
    </row>
    <row r="29" spans="1:15" ht="15" thickBot="1" x14ac:dyDescent="0.4">
      <c r="A29" t="str">
        <f t="shared" ref="A29" si="13">IF(LEFT(G26,2)="FC",LEFT(G26,5),LEFT(G26,4))</f>
        <v>FC175</v>
      </c>
      <c r="B29" t="str">
        <f t="shared" si="0"/>
        <v>CPAC East</v>
      </c>
      <c r="C29" s="18"/>
      <c r="D29" s="18"/>
      <c r="E29" s="18"/>
      <c r="F29" s="18"/>
      <c r="G29" s="18"/>
      <c r="H29" s="28"/>
      <c r="I29" s="3" t="s">
        <v>20</v>
      </c>
      <c r="J29" s="9">
        <v>34.1</v>
      </c>
      <c r="K29" s="10">
        <v>18.399999999999999</v>
      </c>
      <c r="L29" s="7">
        <v>37.9</v>
      </c>
      <c r="M29" s="8">
        <v>58.9</v>
      </c>
      <c r="N29" s="10">
        <v>22.7</v>
      </c>
      <c r="O29" s="7">
        <v>36.5</v>
      </c>
    </row>
    <row r="30" spans="1:15" ht="15" thickBot="1" x14ac:dyDescent="0.4">
      <c r="A30" t="str">
        <f t="shared" ref="A30" si="14">IF(LEFT(G26,2)="FC",LEFT(G26,5),LEFT(G26,4))</f>
        <v>FC175</v>
      </c>
      <c r="B30" t="str">
        <f t="shared" si="0"/>
        <v>CPAC East</v>
      </c>
      <c r="C30" s="18"/>
      <c r="D30" s="18"/>
      <c r="E30" s="18"/>
      <c r="F30" s="18"/>
      <c r="G30" s="18"/>
      <c r="H30" s="28"/>
      <c r="I30" s="5" t="s">
        <v>21</v>
      </c>
      <c r="J30" s="10">
        <v>1.08</v>
      </c>
      <c r="K30" s="10">
        <v>1.44</v>
      </c>
      <c r="L30" s="8">
        <v>0.34</v>
      </c>
      <c r="M30" s="10">
        <v>0.97</v>
      </c>
      <c r="N30" s="9">
        <v>0.75</v>
      </c>
      <c r="O30" s="9">
        <v>0.59</v>
      </c>
    </row>
    <row r="31" spans="1:15" ht="15" thickBot="1" x14ac:dyDescent="0.4">
      <c r="A31" t="str">
        <f t="shared" ref="A31" si="15">IF(LEFT(G26,2)="FC",LEFT(G26,5),LEFT(G26,4))</f>
        <v>FC175</v>
      </c>
      <c r="B31" t="str">
        <f t="shared" si="0"/>
        <v>CPAC East</v>
      </c>
      <c r="C31" s="19"/>
      <c r="D31" s="19"/>
      <c r="E31" s="19"/>
      <c r="F31" s="19"/>
      <c r="G31" s="19"/>
      <c r="H31" s="29"/>
      <c r="I31" s="3" t="s">
        <v>22</v>
      </c>
      <c r="J31" s="11"/>
      <c r="K31" s="11"/>
      <c r="L31" s="8" t="s">
        <v>23</v>
      </c>
      <c r="M31" s="10" t="s">
        <v>24</v>
      </c>
      <c r="N31" s="9" t="s">
        <v>25</v>
      </c>
      <c r="O31" s="11"/>
    </row>
    <row r="32" spans="1:15" ht="15" thickBot="1" x14ac:dyDescent="0.4">
      <c r="B32" t="str">
        <f t="shared" si="0"/>
        <v>CPAC East</v>
      </c>
      <c r="C32" s="16"/>
      <c r="D32" s="16"/>
      <c r="E32" s="16"/>
      <c r="F32" s="16"/>
      <c r="G32" s="16" t="s">
        <v>35</v>
      </c>
      <c r="H32" s="20" t="s">
        <v>17</v>
      </c>
      <c r="I32" s="1"/>
      <c r="J32" s="1"/>
      <c r="K32" s="1"/>
      <c r="L32" s="1"/>
      <c r="M32" s="1"/>
      <c r="N32" s="1"/>
      <c r="O32" s="1"/>
    </row>
    <row r="33" spans="1:15" ht="15" thickBot="1" x14ac:dyDescent="0.4">
      <c r="A33" t="str">
        <f t="shared" ref="A33:A96" si="16">IF(LEFT(G32,2)="FC",LEFT(G32,5),LEFT(G32,4))</f>
        <v>FC095</v>
      </c>
      <c r="B33" t="str">
        <f t="shared" si="0"/>
        <v>CPAC East</v>
      </c>
      <c r="C33" s="18"/>
      <c r="D33" s="18"/>
      <c r="E33" s="18"/>
      <c r="F33" s="18"/>
      <c r="G33" s="18"/>
      <c r="H33" s="22"/>
      <c r="I33" s="3" t="s">
        <v>18</v>
      </c>
      <c r="J33" s="4">
        <v>48</v>
      </c>
      <c r="K33" s="4">
        <v>60</v>
      </c>
      <c r="L33" s="4">
        <v>52</v>
      </c>
      <c r="M33" s="4">
        <v>45</v>
      </c>
      <c r="N33" s="4">
        <v>63</v>
      </c>
      <c r="O33" s="4">
        <v>45</v>
      </c>
    </row>
    <row r="34" spans="1:15" ht="15" thickBot="1" x14ac:dyDescent="0.4">
      <c r="A34" t="str">
        <f t="shared" ref="A34" si="17">IF(LEFT(G32,2)="FC",LEFT(G32,5),LEFT(G32,4))</f>
        <v>FC095</v>
      </c>
      <c r="B34" t="str">
        <f t="shared" si="0"/>
        <v>CPAC East</v>
      </c>
      <c r="C34" s="18"/>
      <c r="D34" s="18"/>
      <c r="E34" s="18"/>
      <c r="F34" s="18"/>
      <c r="G34" s="18"/>
      <c r="H34" s="22"/>
      <c r="I34" s="5" t="s">
        <v>19</v>
      </c>
      <c r="J34" s="7">
        <v>89</v>
      </c>
      <c r="K34" s="9">
        <v>109</v>
      </c>
      <c r="L34" s="9">
        <v>98</v>
      </c>
      <c r="M34" s="6">
        <v>59</v>
      </c>
      <c r="N34" s="6">
        <v>51</v>
      </c>
      <c r="O34" s="6">
        <v>66</v>
      </c>
    </row>
    <row r="35" spans="1:15" ht="15" thickBot="1" x14ac:dyDescent="0.4">
      <c r="A35" t="str">
        <f t="shared" ref="A35" si="18">IF(LEFT(G32,2)="FC",LEFT(G32,5),LEFT(G32,4))</f>
        <v>FC095</v>
      </c>
      <c r="B35" t="str">
        <f t="shared" si="0"/>
        <v>CPAC East</v>
      </c>
      <c r="C35" s="18"/>
      <c r="D35" s="18"/>
      <c r="E35" s="18"/>
      <c r="F35" s="18"/>
      <c r="G35" s="18"/>
      <c r="H35" s="22"/>
      <c r="I35" s="3" t="s">
        <v>20</v>
      </c>
      <c r="J35" s="7">
        <v>37.299999999999997</v>
      </c>
      <c r="K35" s="9">
        <v>32</v>
      </c>
      <c r="L35" s="7">
        <v>36.4</v>
      </c>
      <c r="M35" s="10">
        <v>23.3</v>
      </c>
      <c r="N35" s="6">
        <v>42.7</v>
      </c>
      <c r="O35" s="9">
        <v>30</v>
      </c>
    </row>
    <row r="36" spans="1:15" ht="15" thickBot="1" x14ac:dyDescent="0.4">
      <c r="A36" t="str">
        <f t="shared" ref="A36" si="19">IF(LEFT(G32,2)="FC",LEFT(G32,5),LEFT(G32,4))</f>
        <v>FC095</v>
      </c>
      <c r="B36" t="str">
        <f t="shared" si="0"/>
        <v>CPAC East</v>
      </c>
      <c r="C36" s="18"/>
      <c r="D36" s="18"/>
      <c r="E36" s="18"/>
      <c r="F36" s="18"/>
      <c r="G36" s="18"/>
      <c r="H36" s="22"/>
      <c r="I36" s="5" t="s">
        <v>21</v>
      </c>
      <c r="J36" s="10">
        <v>0.8</v>
      </c>
      <c r="K36" s="10">
        <v>1.1399999999999999</v>
      </c>
      <c r="L36" s="10">
        <v>0.89</v>
      </c>
      <c r="M36" s="10">
        <v>0.85</v>
      </c>
      <c r="N36" s="8">
        <v>0.4</v>
      </c>
      <c r="O36" s="9">
        <v>0.74</v>
      </c>
    </row>
    <row r="37" spans="1:15" ht="15" thickBot="1" x14ac:dyDescent="0.4">
      <c r="A37" t="str">
        <f t="shared" ref="A37" si="20">IF(LEFT(G32,2)="FC",LEFT(G32,5),LEFT(G32,4))</f>
        <v>FC095</v>
      </c>
      <c r="B37" t="str">
        <f t="shared" si="0"/>
        <v>CPAC East</v>
      </c>
      <c r="C37" s="19"/>
      <c r="D37" s="19"/>
      <c r="E37" s="19"/>
      <c r="F37" s="19"/>
      <c r="G37" s="19"/>
      <c r="H37" s="23"/>
      <c r="I37" s="3" t="s">
        <v>22</v>
      </c>
      <c r="J37" s="10" t="s">
        <v>24</v>
      </c>
      <c r="K37" s="10" t="s">
        <v>24</v>
      </c>
      <c r="L37" s="10" t="s">
        <v>24</v>
      </c>
      <c r="M37" s="10" t="s">
        <v>24</v>
      </c>
      <c r="N37" s="8" t="s">
        <v>23</v>
      </c>
      <c r="O37" s="9" t="s">
        <v>25</v>
      </c>
    </row>
    <row r="38" spans="1:15" ht="15" thickBot="1" x14ac:dyDescent="0.4">
      <c r="B38" t="str">
        <f t="shared" si="0"/>
        <v>CPAC East</v>
      </c>
      <c r="C38" s="16"/>
      <c r="D38" s="16"/>
      <c r="E38" s="16"/>
      <c r="F38" s="16"/>
      <c r="G38" s="16" t="s">
        <v>36</v>
      </c>
      <c r="H38" s="24" t="s">
        <v>30</v>
      </c>
      <c r="I38" s="1"/>
      <c r="J38" s="1"/>
      <c r="K38" s="1"/>
      <c r="L38" s="1"/>
      <c r="M38" s="1"/>
      <c r="N38" s="1"/>
      <c r="O38" s="1"/>
    </row>
    <row r="39" spans="1:15" ht="15" thickBot="1" x14ac:dyDescent="0.4">
      <c r="A39" t="str">
        <f t="shared" ref="A39:A102" si="21">IF(LEFT(G38,2)="FC",LEFT(G38,5),LEFT(G38,4))</f>
        <v>FC013</v>
      </c>
      <c r="B39" t="str">
        <f t="shared" si="0"/>
        <v>CPAC East</v>
      </c>
      <c r="C39" s="18"/>
      <c r="D39" s="18"/>
      <c r="E39" s="18"/>
      <c r="F39" s="18"/>
      <c r="G39" s="18"/>
      <c r="H39" s="25"/>
      <c r="I39" s="3" t="s">
        <v>18</v>
      </c>
      <c r="J39" s="11"/>
      <c r="K39" s="8">
        <v>15</v>
      </c>
      <c r="L39" s="11"/>
      <c r="M39" s="11"/>
      <c r="N39" s="11"/>
      <c r="O39" s="11"/>
    </row>
    <row r="40" spans="1:15" ht="15" thickBot="1" x14ac:dyDescent="0.4">
      <c r="A40" t="str">
        <f t="shared" ref="A40" si="22">IF(LEFT(G38,2)="FC",LEFT(G38,5),LEFT(G38,4))</f>
        <v>FC013</v>
      </c>
      <c r="B40" t="str">
        <f t="shared" si="0"/>
        <v>CPAC East</v>
      </c>
      <c r="C40" s="18"/>
      <c r="D40" s="18"/>
      <c r="E40" s="18"/>
      <c r="F40" s="18"/>
      <c r="G40" s="18"/>
      <c r="H40" s="25"/>
      <c r="I40" s="5" t="s">
        <v>19</v>
      </c>
      <c r="J40" s="11"/>
      <c r="K40" s="8">
        <v>-9</v>
      </c>
      <c r="L40" s="11"/>
      <c r="M40" s="11"/>
      <c r="N40" s="11"/>
      <c r="O40" s="11"/>
    </row>
    <row r="41" spans="1:15" ht="15" thickBot="1" x14ac:dyDescent="0.4">
      <c r="A41" t="str">
        <f t="shared" ref="A41" si="23">IF(LEFT(G38,2)="FC",LEFT(G38,5),LEFT(G38,4))</f>
        <v>FC013</v>
      </c>
      <c r="B41" t="str">
        <f t="shared" si="0"/>
        <v>CPAC East</v>
      </c>
      <c r="C41" s="18"/>
      <c r="D41" s="18"/>
      <c r="E41" s="18"/>
      <c r="F41" s="18"/>
      <c r="G41" s="18"/>
      <c r="H41" s="25"/>
      <c r="I41" s="3" t="s">
        <v>20</v>
      </c>
      <c r="J41" s="11"/>
      <c r="K41" s="7">
        <v>35</v>
      </c>
      <c r="L41" s="11"/>
      <c r="M41" s="11"/>
      <c r="N41" s="11"/>
      <c r="O41" s="11"/>
    </row>
    <row r="42" spans="1:15" ht="15" thickBot="1" x14ac:dyDescent="0.4">
      <c r="A42" t="str">
        <f t="shared" ref="A42" si="24">IF(LEFT(G38,2)="FC",LEFT(G38,5),LEFT(G38,4))</f>
        <v>FC013</v>
      </c>
      <c r="B42" t="str">
        <f t="shared" si="0"/>
        <v>CPAC East</v>
      </c>
      <c r="C42" s="18"/>
      <c r="D42" s="18"/>
      <c r="E42" s="18"/>
      <c r="F42" s="18"/>
      <c r="G42" s="18"/>
      <c r="H42" s="25"/>
      <c r="I42" s="5" t="s">
        <v>21</v>
      </c>
      <c r="J42" s="11"/>
      <c r="K42" s="8">
        <v>-0.09</v>
      </c>
      <c r="L42" s="11"/>
      <c r="M42" s="11"/>
      <c r="N42" s="11"/>
      <c r="O42" s="11"/>
    </row>
    <row r="43" spans="1:15" ht="15" thickBot="1" x14ac:dyDescent="0.4">
      <c r="A43" t="str">
        <f t="shared" ref="A43" si="25">IF(LEFT(G38,2)="FC",LEFT(G38,5),LEFT(G38,4))</f>
        <v>FC013</v>
      </c>
      <c r="B43" t="str">
        <f t="shared" si="0"/>
        <v>CPAC East</v>
      </c>
      <c r="C43" s="19"/>
      <c r="D43" s="19"/>
      <c r="E43" s="19"/>
      <c r="F43" s="19"/>
      <c r="G43" s="19"/>
      <c r="H43" s="26"/>
      <c r="I43" s="3" t="s">
        <v>22</v>
      </c>
      <c r="J43" s="11" t="s">
        <v>27</v>
      </c>
      <c r="K43" s="8" t="s">
        <v>23</v>
      </c>
      <c r="L43" s="11" t="s">
        <v>27</v>
      </c>
      <c r="M43" s="11" t="s">
        <v>27</v>
      </c>
      <c r="N43" s="11" t="s">
        <v>27</v>
      </c>
      <c r="O43" s="11" t="s">
        <v>31</v>
      </c>
    </row>
    <row r="44" spans="1:15" ht="15" thickBot="1" x14ac:dyDescent="0.4">
      <c r="B44" t="str">
        <f t="shared" si="0"/>
        <v>CPAC East</v>
      </c>
      <c r="C44" s="16"/>
      <c r="D44" s="16"/>
      <c r="E44" s="16"/>
      <c r="F44" s="16"/>
      <c r="G44" s="16" t="s">
        <v>37</v>
      </c>
      <c r="H44" s="27" t="s">
        <v>34</v>
      </c>
      <c r="I44" s="1"/>
      <c r="J44" s="1"/>
      <c r="K44" s="1"/>
      <c r="L44" s="1"/>
      <c r="M44" s="1"/>
      <c r="N44" s="1"/>
      <c r="O44" s="1"/>
    </row>
    <row r="45" spans="1:15" ht="15" thickBot="1" x14ac:dyDescent="0.4">
      <c r="A45" t="str">
        <f t="shared" ref="A45:A108" si="26">IF(LEFT(G44,2)="FC",LEFT(G44,5),LEFT(G44,4))</f>
        <v>FC046</v>
      </c>
      <c r="B45" t="str">
        <f t="shared" si="0"/>
        <v>CPAC East</v>
      </c>
      <c r="C45" s="18"/>
      <c r="D45" s="18"/>
      <c r="E45" s="18"/>
      <c r="F45" s="18"/>
      <c r="G45" s="18"/>
      <c r="H45" s="28"/>
      <c r="I45" s="3" t="s">
        <v>18</v>
      </c>
      <c r="J45" s="4">
        <v>43</v>
      </c>
      <c r="K45" s="4">
        <v>46</v>
      </c>
      <c r="L45" s="4">
        <v>51</v>
      </c>
      <c r="M45" s="4">
        <v>46</v>
      </c>
      <c r="N45" s="4">
        <v>51</v>
      </c>
      <c r="O45" s="4">
        <v>48</v>
      </c>
    </row>
    <row r="46" spans="1:15" ht="15" thickBot="1" x14ac:dyDescent="0.4">
      <c r="A46" t="str">
        <f t="shared" ref="A46" si="27">IF(LEFT(G44,2)="FC",LEFT(G44,5),LEFT(G44,4))</f>
        <v>FC046</v>
      </c>
      <c r="B46" t="str">
        <f t="shared" si="0"/>
        <v>CPAC East</v>
      </c>
      <c r="C46" s="18"/>
      <c r="D46" s="18"/>
      <c r="E46" s="18"/>
      <c r="F46" s="18"/>
      <c r="G46" s="18"/>
      <c r="H46" s="28"/>
      <c r="I46" s="5" t="s">
        <v>19</v>
      </c>
      <c r="J46" s="6">
        <v>69</v>
      </c>
      <c r="K46" s="6">
        <v>64</v>
      </c>
      <c r="L46" s="8">
        <v>48</v>
      </c>
      <c r="M46" s="6">
        <v>52</v>
      </c>
      <c r="N46" s="6">
        <v>50</v>
      </c>
      <c r="O46" s="6">
        <v>60</v>
      </c>
    </row>
    <row r="47" spans="1:15" ht="15" thickBot="1" x14ac:dyDescent="0.4">
      <c r="A47" t="str">
        <f t="shared" ref="A47" si="28">IF(LEFT(G44,2)="FC",LEFT(G44,5),LEFT(G44,4))</f>
        <v>FC046</v>
      </c>
      <c r="B47" t="str">
        <f t="shared" si="0"/>
        <v>CPAC East</v>
      </c>
      <c r="C47" s="18"/>
      <c r="D47" s="18"/>
      <c r="E47" s="18"/>
      <c r="F47" s="18"/>
      <c r="G47" s="18"/>
      <c r="H47" s="28"/>
      <c r="I47" s="3" t="s">
        <v>20</v>
      </c>
      <c r="J47" s="10">
        <v>16.7</v>
      </c>
      <c r="K47" s="10">
        <v>13.9</v>
      </c>
      <c r="L47" s="10">
        <v>21.8</v>
      </c>
      <c r="M47" s="10">
        <v>27.3</v>
      </c>
      <c r="N47" s="10">
        <v>21.3</v>
      </c>
      <c r="O47" s="9">
        <v>28.7</v>
      </c>
    </row>
    <row r="48" spans="1:15" ht="15" thickBot="1" x14ac:dyDescent="0.4">
      <c r="A48" t="str">
        <f t="shared" ref="A48" si="29">IF(LEFT(G44,2)="FC",LEFT(G44,5),LEFT(G44,4))</f>
        <v>FC046</v>
      </c>
      <c r="B48" t="str">
        <f t="shared" si="0"/>
        <v>CPAC East</v>
      </c>
      <c r="C48" s="18"/>
      <c r="D48" s="18"/>
      <c r="E48" s="18"/>
      <c r="F48" s="18"/>
      <c r="G48" s="18"/>
      <c r="H48" s="28"/>
      <c r="I48" s="5" t="s">
        <v>21</v>
      </c>
      <c r="J48" s="10">
        <v>1.38</v>
      </c>
      <c r="K48" s="10">
        <v>1.55</v>
      </c>
      <c r="L48" s="9">
        <v>0.73</v>
      </c>
      <c r="M48" s="9">
        <v>0.63</v>
      </c>
      <c r="N48" s="9">
        <v>0.78</v>
      </c>
      <c r="O48" s="9">
        <v>0.69</v>
      </c>
    </row>
    <row r="49" spans="1:15" ht="15" thickBot="1" x14ac:dyDescent="0.4">
      <c r="A49" t="str">
        <f t="shared" ref="A49" si="30">IF(LEFT(G44,2)="FC",LEFT(G44,5),LEFT(G44,4))</f>
        <v>FC046</v>
      </c>
      <c r="B49" t="str">
        <f t="shared" si="0"/>
        <v>CPAC East</v>
      </c>
      <c r="C49" s="19"/>
      <c r="D49" s="19"/>
      <c r="E49" s="19"/>
      <c r="F49" s="19"/>
      <c r="G49" s="19"/>
      <c r="H49" s="29"/>
      <c r="I49" s="3" t="s">
        <v>22</v>
      </c>
      <c r="J49" s="11"/>
      <c r="K49" s="11"/>
      <c r="L49" s="11"/>
      <c r="M49" s="11"/>
      <c r="N49" s="11"/>
      <c r="O49" s="11"/>
    </row>
    <row r="50" spans="1:15" ht="15" thickBot="1" x14ac:dyDescent="0.4">
      <c r="B50" t="str">
        <f t="shared" si="0"/>
        <v>CPAC East</v>
      </c>
      <c r="C50" s="16"/>
      <c r="D50" s="16"/>
      <c r="E50" s="16"/>
      <c r="F50" s="16"/>
      <c r="G50" s="16" t="s">
        <v>38</v>
      </c>
      <c r="H50" s="30" t="s">
        <v>39</v>
      </c>
      <c r="I50" s="1"/>
      <c r="J50" s="1"/>
      <c r="K50" s="1"/>
      <c r="L50" s="1"/>
      <c r="M50" s="1"/>
      <c r="N50" s="1"/>
      <c r="O50" s="1"/>
    </row>
    <row r="51" spans="1:15" ht="15" thickBot="1" x14ac:dyDescent="0.4">
      <c r="A51" t="str">
        <f t="shared" ref="A51:A114" si="31">IF(LEFT(G50,2)="FC",LEFT(G50,5),LEFT(G50,4))</f>
        <v>FC390</v>
      </c>
      <c r="B51" t="str">
        <f t="shared" si="0"/>
        <v>CPAC East</v>
      </c>
      <c r="C51" s="18"/>
      <c r="D51" s="18"/>
      <c r="E51" s="18"/>
      <c r="F51" s="18"/>
      <c r="G51" s="18"/>
      <c r="H51" s="31"/>
      <c r="I51" s="3" t="s">
        <v>18</v>
      </c>
      <c r="J51" s="4">
        <v>45</v>
      </c>
      <c r="K51" s="4">
        <v>38</v>
      </c>
      <c r="L51" s="4">
        <v>54</v>
      </c>
      <c r="M51" s="4">
        <v>53</v>
      </c>
      <c r="N51" s="4">
        <v>60</v>
      </c>
      <c r="O51" s="4">
        <v>60</v>
      </c>
    </row>
    <row r="52" spans="1:15" ht="15" thickBot="1" x14ac:dyDescent="0.4">
      <c r="A52" t="str">
        <f t="shared" ref="A52" si="32">IF(LEFT(G50,2)="FC",LEFT(G50,5),LEFT(G50,4))</f>
        <v>FC390</v>
      </c>
      <c r="B52" t="str">
        <f t="shared" si="0"/>
        <v>CPAC East</v>
      </c>
      <c r="C52" s="18"/>
      <c r="D52" s="18"/>
      <c r="E52" s="18"/>
      <c r="F52" s="18"/>
      <c r="G52" s="18"/>
      <c r="H52" s="31"/>
      <c r="I52" s="5" t="s">
        <v>19</v>
      </c>
      <c r="J52" s="9">
        <v>112</v>
      </c>
      <c r="K52" s="9">
        <v>107</v>
      </c>
      <c r="L52" s="9">
        <v>93</v>
      </c>
      <c r="M52" s="7">
        <v>86</v>
      </c>
      <c r="N52" s="7">
        <v>85</v>
      </c>
      <c r="O52" s="7">
        <v>82</v>
      </c>
    </row>
    <row r="53" spans="1:15" ht="15" thickBot="1" x14ac:dyDescent="0.4">
      <c r="A53" t="str">
        <f t="shared" ref="A53" si="33">IF(LEFT(G50,2)="FC",LEFT(G50,5),LEFT(G50,4))</f>
        <v>FC390</v>
      </c>
      <c r="B53" t="str">
        <f t="shared" si="0"/>
        <v>CPAC East</v>
      </c>
      <c r="C53" s="18"/>
      <c r="D53" s="18"/>
      <c r="E53" s="18"/>
      <c r="F53" s="18"/>
      <c r="G53" s="18"/>
      <c r="H53" s="31"/>
      <c r="I53" s="3" t="s">
        <v>20</v>
      </c>
      <c r="J53" s="10">
        <v>26.3</v>
      </c>
      <c r="K53" s="10">
        <v>25.4</v>
      </c>
      <c r="L53" s="10">
        <v>27.6</v>
      </c>
      <c r="M53" s="10">
        <v>28.5</v>
      </c>
      <c r="N53" s="9">
        <v>34.5</v>
      </c>
      <c r="O53" s="10">
        <v>23.2</v>
      </c>
    </row>
    <row r="54" spans="1:15" ht="15" thickBot="1" x14ac:dyDescent="0.4">
      <c r="A54" t="str">
        <f t="shared" ref="A54" si="34">IF(LEFT(G50,2)="FC",LEFT(G50,5),LEFT(G50,4))</f>
        <v>FC390</v>
      </c>
      <c r="B54" t="str">
        <f t="shared" si="0"/>
        <v>CPAC East</v>
      </c>
      <c r="C54" s="18"/>
      <c r="D54" s="18"/>
      <c r="E54" s="18"/>
      <c r="F54" s="18"/>
      <c r="G54" s="18"/>
      <c r="H54" s="31"/>
      <c r="I54" s="5" t="s">
        <v>21</v>
      </c>
      <c r="J54" s="10">
        <v>1.42</v>
      </c>
      <c r="K54" s="10">
        <v>1.4</v>
      </c>
      <c r="L54" s="10">
        <v>1.1299999999999999</v>
      </c>
      <c r="M54" s="10">
        <v>1</v>
      </c>
      <c r="N54" s="10">
        <v>0.82</v>
      </c>
      <c r="O54" s="10">
        <v>1.18</v>
      </c>
    </row>
    <row r="55" spans="1:15" ht="15" thickBot="1" x14ac:dyDescent="0.4">
      <c r="A55" t="str">
        <f t="shared" ref="A55" si="35">IF(LEFT(G50,2)="FC",LEFT(G50,5),LEFT(G50,4))</f>
        <v>FC390</v>
      </c>
      <c r="B55" t="str">
        <f t="shared" si="0"/>
        <v>CPAC East</v>
      </c>
      <c r="C55" s="19"/>
      <c r="D55" s="19"/>
      <c r="E55" s="19"/>
      <c r="F55" s="19"/>
      <c r="G55" s="19"/>
      <c r="H55" s="32"/>
      <c r="I55" s="3" t="s">
        <v>22</v>
      </c>
      <c r="J55" s="11"/>
      <c r="K55" s="10" t="s">
        <v>24</v>
      </c>
      <c r="L55" s="10" t="s">
        <v>24</v>
      </c>
      <c r="M55" s="10" t="s">
        <v>24</v>
      </c>
      <c r="N55" s="10" t="s">
        <v>24</v>
      </c>
      <c r="O55" s="10" t="s">
        <v>24</v>
      </c>
    </row>
    <row r="56" spans="1:15" ht="15" thickBot="1" x14ac:dyDescent="0.4">
      <c r="B56" t="str">
        <f t="shared" si="0"/>
        <v>CPAC East</v>
      </c>
      <c r="C56" s="16"/>
      <c r="D56" s="16"/>
      <c r="E56" s="16"/>
      <c r="F56" s="16" t="s">
        <v>40</v>
      </c>
      <c r="G56" s="16" t="s">
        <v>41</v>
      </c>
      <c r="H56" s="27" t="s">
        <v>34</v>
      </c>
      <c r="I56" s="1"/>
      <c r="J56" s="1"/>
      <c r="K56" s="1"/>
      <c r="L56" s="1"/>
      <c r="M56" s="1"/>
      <c r="N56" s="1"/>
      <c r="O56" s="1"/>
    </row>
    <row r="57" spans="1:15" ht="15" thickBot="1" x14ac:dyDescent="0.4">
      <c r="A57" t="str">
        <f t="shared" ref="A57:A120" si="36">IF(LEFT(G56,2)="FC",LEFT(G56,5),LEFT(G56,4))</f>
        <v>FC323</v>
      </c>
      <c r="B57" t="str">
        <f t="shared" si="0"/>
        <v>CPAC East</v>
      </c>
      <c r="C57" s="18"/>
      <c r="D57" s="18"/>
      <c r="E57" s="18"/>
      <c r="F57" s="18"/>
      <c r="G57" s="18"/>
      <c r="H57" s="28"/>
      <c r="I57" s="3" t="s">
        <v>18</v>
      </c>
      <c r="J57" s="4">
        <v>36</v>
      </c>
      <c r="K57" s="4">
        <v>30</v>
      </c>
      <c r="L57" s="4">
        <v>30</v>
      </c>
      <c r="M57" s="4">
        <v>35</v>
      </c>
      <c r="N57" s="8">
        <v>27</v>
      </c>
      <c r="O57" s="4">
        <v>30</v>
      </c>
    </row>
    <row r="58" spans="1:15" ht="15" thickBot="1" x14ac:dyDescent="0.4">
      <c r="A58" t="str">
        <f t="shared" ref="A58" si="37">IF(LEFT(G56,2)="FC",LEFT(G56,5),LEFT(G56,4))</f>
        <v>FC323</v>
      </c>
      <c r="B58" t="str">
        <f t="shared" si="0"/>
        <v>CPAC East</v>
      </c>
      <c r="C58" s="18"/>
      <c r="D58" s="18"/>
      <c r="E58" s="18"/>
      <c r="F58" s="18"/>
      <c r="G58" s="18"/>
      <c r="H58" s="28"/>
      <c r="I58" s="5" t="s">
        <v>19</v>
      </c>
      <c r="J58" s="8">
        <v>48</v>
      </c>
      <c r="K58" s="6">
        <v>63</v>
      </c>
      <c r="L58" s="6">
        <v>60</v>
      </c>
      <c r="M58" s="6">
        <v>54</v>
      </c>
      <c r="N58" s="6">
        <v>55</v>
      </c>
      <c r="O58" s="8">
        <v>47</v>
      </c>
    </row>
    <row r="59" spans="1:15" ht="15" thickBot="1" x14ac:dyDescent="0.4">
      <c r="A59" t="str">
        <f t="shared" ref="A59" si="38">IF(LEFT(G56,2)="FC",LEFT(G56,5),LEFT(G56,4))</f>
        <v>FC323</v>
      </c>
      <c r="B59" t="str">
        <f t="shared" si="0"/>
        <v>CPAC East</v>
      </c>
      <c r="C59" s="18"/>
      <c r="D59" s="18"/>
      <c r="E59" s="18"/>
      <c r="F59" s="18"/>
      <c r="G59" s="18"/>
      <c r="H59" s="28"/>
      <c r="I59" s="3" t="s">
        <v>20</v>
      </c>
      <c r="J59" s="10">
        <v>17.5</v>
      </c>
      <c r="K59" s="10">
        <v>20.2</v>
      </c>
      <c r="L59" s="10">
        <v>24.5</v>
      </c>
      <c r="M59" s="10">
        <v>21.6</v>
      </c>
      <c r="N59" s="10">
        <v>14.2</v>
      </c>
      <c r="O59" s="10">
        <v>21.3</v>
      </c>
    </row>
    <row r="60" spans="1:15" ht="15" thickBot="1" x14ac:dyDescent="0.4">
      <c r="A60" t="str">
        <f t="shared" ref="A60" si="39">IF(LEFT(G56,2)="FC",LEFT(G56,5),LEFT(G56,4))</f>
        <v>FC323</v>
      </c>
      <c r="B60" t="str">
        <f t="shared" si="0"/>
        <v>CPAC East</v>
      </c>
      <c r="C60" s="18"/>
      <c r="D60" s="18"/>
      <c r="E60" s="18"/>
      <c r="F60" s="18"/>
      <c r="G60" s="18"/>
      <c r="H60" s="28"/>
      <c r="I60" s="5" t="s">
        <v>21</v>
      </c>
      <c r="J60" s="10">
        <v>0.92</v>
      </c>
      <c r="K60" s="10">
        <v>1.04</v>
      </c>
      <c r="L60" s="10">
        <v>0.82</v>
      </c>
      <c r="M60" s="10">
        <v>0.84</v>
      </c>
      <c r="N60" s="10">
        <v>1.29</v>
      </c>
      <c r="O60" s="9">
        <v>0.74</v>
      </c>
    </row>
    <row r="61" spans="1:15" ht="15" thickBot="1" x14ac:dyDescent="0.4">
      <c r="A61" t="str">
        <f t="shared" ref="A61" si="40">IF(LEFT(G56,2)="FC",LEFT(G56,5),LEFT(G56,4))</f>
        <v>FC323</v>
      </c>
      <c r="B61" t="str">
        <f t="shared" si="0"/>
        <v>CPAC East</v>
      </c>
      <c r="C61" s="19"/>
      <c r="D61" s="19"/>
      <c r="E61" s="19"/>
      <c r="F61" s="19"/>
      <c r="G61" s="19"/>
      <c r="H61" s="29"/>
      <c r="I61" s="3" t="s">
        <v>22</v>
      </c>
      <c r="J61" s="11"/>
      <c r="K61" s="10" t="s">
        <v>24</v>
      </c>
      <c r="L61" s="9" t="s">
        <v>25</v>
      </c>
      <c r="M61" s="11"/>
      <c r="N61" s="10" t="s">
        <v>24</v>
      </c>
      <c r="O61" s="9" t="s">
        <v>25</v>
      </c>
    </row>
    <row r="62" spans="1:15" ht="15" thickBot="1" x14ac:dyDescent="0.4">
      <c r="B62" t="str">
        <f t="shared" si="0"/>
        <v>CPAC East</v>
      </c>
      <c r="C62" s="16"/>
      <c r="D62" s="16"/>
      <c r="E62" s="16"/>
      <c r="F62" s="16"/>
      <c r="G62" s="16" t="s">
        <v>42</v>
      </c>
      <c r="H62" s="30" t="s">
        <v>39</v>
      </c>
      <c r="I62" s="1"/>
      <c r="J62" s="1"/>
      <c r="K62" s="1"/>
      <c r="L62" s="1"/>
      <c r="M62" s="1"/>
      <c r="N62" s="1"/>
      <c r="O62" s="1"/>
    </row>
    <row r="63" spans="1:15" ht="15" thickBot="1" x14ac:dyDescent="0.4">
      <c r="A63" t="str">
        <f t="shared" ref="A63:A126" si="41">IF(LEFT(G62,2)="FC",LEFT(G62,5),LEFT(G62,4))</f>
        <v>FC056</v>
      </c>
      <c r="B63" t="str">
        <f t="shared" si="0"/>
        <v>CPAC East</v>
      </c>
      <c r="C63" s="18"/>
      <c r="D63" s="18"/>
      <c r="E63" s="18"/>
      <c r="F63" s="18"/>
      <c r="G63" s="18"/>
      <c r="H63" s="31"/>
      <c r="I63" s="3" t="s">
        <v>18</v>
      </c>
      <c r="J63" s="4">
        <v>30</v>
      </c>
      <c r="K63" s="4">
        <v>39</v>
      </c>
      <c r="L63" s="4">
        <v>30</v>
      </c>
      <c r="M63" s="4">
        <v>30</v>
      </c>
      <c r="N63" s="4">
        <v>31</v>
      </c>
      <c r="O63" s="4">
        <v>30</v>
      </c>
    </row>
    <row r="64" spans="1:15" ht="15" thickBot="1" x14ac:dyDescent="0.4">
      <c r="A64" t="str">
        <f t="shared" ref="A64" si="42">IF(LEFT(G62,2)="FC",LEFT(G62,5),LEFT(G62,4))</f>
        <v>FC056</v>
      </c>
      <c r="B64" t="str">
        <f t="shared" si="0"/>
        <v>CPAC East</v>
      </c>
      <c r="C64" s="18"/>
      <c r="D64" s="18"/>
      <c r="E64" s="18"/>
      <c r="F64" s="18"/>
      <c r="G64" s="18"/>
      <c r="H64" s="31"/>
      <c r="I64" s="5" t="s">
        <v>19</v>
      </c>
      <c r="J64" s="7">
        <v>88</v>
      </c>
      <c r="K64" s="6">
        <v>54</v>
      </c>
      <c r="L64" s="7">
        <v>72</v>
      </c>
      <c r="M64" s="6">
        <v>60</v>
      </c>
      <c r="N64" s="7">
        <v>79</v>
      </c>
      <c r="O64" s="7">
        <v>86</v>
      </c>
    </row>
    <row r="65" spans="1:15" ht="15" thickBot="1" x14ac:dyDescent="0.4">
      <c r="A65" t="str">
        <f t="shared" ref="A65" si="43">IF(LEFT(G62,2)="FC",LEFT(G62,5),LEFT(G62,4))</f>
        <v>FC056</v>
      </c>
      <c r="B65" t="str">
        <f t="shared" si="0"/>
        <v>CPAC East</v>
      </c>
      <c r="C65" s="18"/>
      <c r="D65" s="18"/>
      <c r="E65" s="18"/>
      <c r="F65" s="18"/>
      <c r="G65" s="18"/>
      <c r="H65" s="31"/>
      <c r="I65" s="3" t="s">
        <v>20</v>
      </c>
      <c r="J65" s="9">
        <v>29.5</v>
      </c>
      <c r="K65" s="10">
        <v>24.6</v>
      </c>
      <c r="L65" s="10">
        <v>23.2</v>
      </c>
      <c r="M65" s="10">
        <v>23.6</v>
      </c>
      <c r="N65" s="10">
        <v>26.7</v>
      </c>
      <c r="O65" s="9">
        <v>30.1</v>
      </c>
    </row>
    <row r="66" spans="1:15" ht="15" thickBot="1" x14ac:dyDescent="0.4">
      <c r="A66" t="str">
        <f t="shared" ref="A66" si="44">IF(LEFT(G62,2)="FC",LEFT(G62,5),LEFT(G62,4))</f>
        <v>FC056</v>
      </c>
      <c r="B66" t="str">
        <f t="shared" si="0"/>
        <v>CPAC East</v>
      </c>
      <c r="C66" s="18"/>
      <c r="D66" s="18"/>
      <c r="E66" s="18"/>
      <c r="F66" s="18"/>
      <c r="G66" s="18"/>
      <c r="H66" s="31"/>
      <c r="I66" s="5" t="s">
        <v>21</v>
      </c>
      <c r="J66" s="10">
        <v>1</v>
      </c>
      <c r="K66" s="9">
        <v>0.73</v>
      </c>
      <c r="L66" s="10">
        <v>1.03</v>
      </c>
      <c r="M66" s="10">
        <v>0.85</v>
      </c>
      <c r="N66" s="10">
        <v>0.99</v>
      </c>
      <c r="O66" s="10">
        <v>0.95</v>
      </c>
    </row>
    <row r="67" spans="1:15" ht="15" thickBot="1" x14ac:dyDescent="0.4">
      <c r="A67" t="str">
        <f t="shared" ref="A67" si="45">IF(LEFT(G62,2)="FC",LEFT(G62,5),LEFT(G62,4))</f>
        <v>FC056</v>
      </c>
      <c r="B67" t="str">
        <f t="shared" si="0"/>
        <v>CPAC East</v>
      </c>
      <c r="C67" s="19"/>
      <c r="D67" s="19"/>
      <c r="E67" s="19"/>
      <c r="F67" s="19"/>
      <c r="G67" s="19"/>
      <c r="H67" s="32"/>
      <c r="I67" s="3" t="s">
        <v>22</v>
      </c>
      <c r="J67" s="10" t="s">
        <v>24</v>
      </c>
      <c r="K67" s="11"/>
      <c r="L67" s="10" t="s">
        <v>24</v>
      </c>
      <c r="M67" s="10" t="s">
        <v>24</v>
      </c>
      <c r="N67" s="10" t="s">
        <v>24</v>
      </c>
      <c r="O67" s="10" t="s">
        <v>24</v>
      </c>
    </row>
    <row r="68" spans="1:15" ht="15" thickBot="1" x14ac:dyDescent="0.4">
      <c r="B68" t="str">
        <f t="shared" ref="B68:B131" si="46">$D$2</f>
        <v>CPAC East</v>
      </c>
      <c r="C68" s="16"/>
      <c r="D68" s="16"/>
      <c r="E68" s="16"/>
      <c r="F68" s="16"/>
      <c r="G68" s="16" t="s">
        <v>43</v>
      </c>
      <c r="H68" s="20" t="s">
        <v>17</v>
      </c>
      <c r="I68" s="1"/>
      <c r="J68" s="1"/>
      <c r="K68" s="1"/>
      <c r="L68" s="1"/>
      <c r="M68" s="1"/>
      <c r="N68" s="1"/>
      <c r="O68" s="1"/>
    </row>
    <row r="69" spans="1:15" ht="15" thickBot="1" x14ac:dyDescent="0.4">
      <c r="A69" t="str">
        <f t="shared" ref="A69:A132" si="47">IF(LEFT(G68,2)="FC",LEFT(G68,5),LEFT(G68,4))</f>
        <v>FC308</v>
      </c>
      <c r="B69" t="str">
        <f t="shared" si="46"/>
        <v>CPAC East</v>
      </c>
      <c r="C69" s="18"/>
      <c r="D69" s="18"/>
      <c r="E69" s="18"/>
      <c r="F69" s="18"/>
      <c r="G69" s="18"/>
      <c r="H69" s="22"/>
      <c r="I69" s="3" t="s">
        <v>18</v>
      </c>
      <c r="J69" s="4">
        <v>30</v>
      </c>
      <c r="K69" s="4">
        <v>30</v>
      </c>
      <c r="L69" s="8">
        <v>21</v>
      </c>
      <c r="M69" s="4">
        <v>30</v>
      </c>
      <c r="N69" s="8">
        <v>24</v>
      </c>
      <c r="O69" s="4">
        <v>30</v>
      </c>
    </row>
    <row r="70" spans="1:15" ht="15" thickBot="1" x14ac:dyDescent="0.4">
      <c r="A70" t="str">
        <f t="shared" ref="A70" si="48">IF(LEFT(G68,2)="FC",LEFT(G68,5),LEFT(G68,4))</f>
        <v>FC308</v>
      </c>
      <c r="B70" t="str">
        <f t="shared" si="46"/>
        <v>CPAC East</v>
      </c>
      <c r="C70" s="18"/>
      <c r="D70" s="18"/>
      <c r="E70" s="18"/>
      <c r="F70" s="18"/>
      <c r="G70" s="18"/>
      <c r="H70" s="22"/>
      <c r="I70" s="5" t="s">
        <v>19</v>
      </c>
      <c r="J70" s="7">
        <v>79</v>
      </c>
      <c r="K70" s="7">
        <v>85</v>
      </c>
      <c r="L70" s="8">
        <v>45</v>
      </c>
      <c r="M70" s="8">
        <v>28</v>
      </c>
      <c r="N70" s="8">
        <v>49</v>
      </c>
      <c r="O70" s="8">
        <v>45</v>
      </c>
    </row>
    <row r="71" spans="1:15" ht="15" thickBot="1" x14ac:dyDescent="0.4">
      <c r="A71" t="str">
        <f t="shared" ref="A71" si="49">IF(LEFT(G68,2)="FC",LEFT(G68,5),LEFT(G68,4))</f>
        <v>FC308</v>
      </c>
      <c r="B71" t="str">
        <f t="shared" si="46"/>
        <v>CPAC East</v>
      </c>
      <c r="C71" s="18"/>
      <c r="D71" s="18"/>
      <c r="E71" s="18"/>
      <c r="F71" s="18"/>
      <c r="G71" s="18"/>
      <c r="H71" s="22"/>
      <c r="I71" s="3" t="s">
        <v>20</v>
      </c>
      <c r="J71" s="9">
        <v>33.4</v>
      </c>
      <c r="K71" s="10">
        <v>16.100000000000001</v>
      </c>
      <c r="L71" s="6">
        <v>45.3</v>
      </c>
      <c r="M71" s="10">
        <v>23.2</v>
      </c>
      <c r="N71" s="10">
        <v>17.3</v>
      </c>
      <c r="O71" s="10">
        <v>18.7</v>
      </c>
    </row>
    <row r="72" spans="1:15" ht="15" thickBot="1" x14ac:dyDescent="0.4">
      <c r="A72" t="str">
        <f t="shared" ref="A72" si="50">IF(LEFT(G68,2)="FC",LEFT(G68,5),LEFT(G68,4))</f>
        <v>FC308</v>
      </c>
      <c r="B72" t="str">
        <f t="shared" si="46"/>
        <v>CPAC East</v>
      </c>
      <c r="C72" s="18"/>
      <c r="D72" s="18"/>
      <c r="E72" s="18"/>
      <c r="F72" s="18"/>
      <c r="G72" s="18"/>
      <c r="H72" s="22"/>
      <c r="I72" s="5" t="s">
        <v>21</v>
      </c>
      <c r="J72" s="10">
        <v>0.79</v>
      </c>
      <c r="K72" s="10">
        <v>1.76</v>
      </c>
      <c r="L72" s="8">
        <v>0.33</v>
      </c>
      <c r="M72" s="8">
        <v>0.4</v>
      </c>
      <c r="N72" s="10">
        <v>0.94</v>
      </c>
      <c r="O72" s="10">
        <v>0.8</v>
      </c>
    </row>
    <row r="73" spans="1:15" ht="15" thickBot="1" x14ac:dyDescent="0.4">
      <c r="A73" t="str">
        <f t="shared" ref="A73" si="51">IF(LEFT(G68,2)="FC",LEFT(G68,5),LEFT(G68,4))</f>
        <v>FC308</v>
      </c>
      <c r="B73" t="str">
        <f t="shared" si="46"/>
        <v>CPAC East</v>
      </c>
      <c r="C73" s="19"/>
      <c r="D73" s="19"/>
      <c r="E73" s="19"/>
      <c r="F73" s="19"/>
      <c r="G73" s="19"/>
      <c r="H73" s="23"/>
      <c r="I73" s="3" t="s">
        <v>22</v>
      </c>
      <c r="J73" s="10" t="s">
        <v>24</v>
      </c>
      <c r="K73" s="10" t="s">
        <v>24</v>
      </c>
      <c r="L73" s="8" t="s">
        <v>23</v>
      </c>
      <c r="M73" s="8" t="s">
        <v>23</v>
      </c>
      <c r="N73" s="10" t="s">
        <v>24</v>
      </c>
      <c r="O73" s="9" t="s">
        <v>25</v>
      </c>
    </row>
    <row r="74" spans="1:15" ht="15" thickBot="1" x14ac:dyDescent="0.4">
      <c r="B74" t="str">
        <f t="shared" si="46"/>
        <v>CPAC East</v>
      </c>
      <c r="C74" s="16"/>
      <c r="D74" s="16"/>
      <c r="E74" s="16"/>
      <c r="F74" s="16"/>
      <c r="G74" s="16" t="s">
        <v>44</v>
      </c>
      <c r="H74" s="20" t="s">
        <v>17</v>
      </c>
      <c r="I74" s="1"/>
      <c r="J74" s="1"/>
      <c r="K74" s="1"/>
      <c r="L74" s="1"/>
      <c r="M74" s="1"/>
      <c r="N74" s="1"/>
      <c r="O74" s="1"/>
    </row>
    <row r="75" spans="1:15" ht="15" thickBot="1" x14ac:dyDescent="0.4">
      <c r="A75" t="str">
        <f t="shared" ref="A75:A138" si="52">IF(LEFT(G74,2)="FC",LEFT(G74,5),LEFT(G74,4))</f>
        <v>13O6</v>
      </c>
      <c r="B75" t="str">
        <f t="shared" si="46"/>
        <v>CPAC East</v>
      </c>
      <c r="C75" s="18"/>
      <c r="D75" s="18"/>
      <c r="E75" s="18"/>
      <c r="F75" s="18"/>
      <c r="G75" s="18"/>
      <c r="H75" s="22"/>
      <c r="I75" s="3" t="s">
        <v>18</v>
      </c>
      <c r="J75" s="11"/>
      <c r="K75" s="11"/>
      <c r="L75" s="8">
        <v>15</v>
      </c>
      <c r="M75" s="4">
        <v>41</v>
      </c>
      <c r="N75" s="11"/>
      <c r="O75" s="11"/>
    </row>
    <row r="76" spans="1:15" ht="15" thickBot="1" x14ac:dyDescent="0.4">
      <c r="A76" t="str">
        <f t="shared" ref="A76" si="53">IF(LEFT(G74,2)="FC",LEFT(G74,5),LEFT(G74,4))</f>
        <v>13O6</v>
      </c>
      <c r="B76" t="str">
        <f t="shared" si="46"/>
        <v>CPAC East</v>
      </c>
      <c r="C76" s="18"/>
      <c r="D76" s="18"/>
      <c r="E76" s="18"/>
      <c r="F76" s="18"/>
      <c r="G76" s="18"/>
      <c r="H76" s="22"/>
      <c r="I76" s="5" t="s">
        <v>19</v>
      </c>
      <c r="J76" s="11"/>
      <c r="K76" s="11"/>
      <c r="L76" s="8">
        <v>-23</v>
      </c>
      <c r="M76" s="8">
        <v>-43</v>
      </c>
      <c r="N76" s="11"/>
      <c r="O76" s="11"/>
    </row>
    <row r="77" spans="1:15" ht="15" thickBot="1" x14ac:dyDescent="0.4">
      <c r="A77" t="str">
        <f t="shared" ref="A77" si="54">IF(LEFT(G74,2)="FC",LEFT(G74,5),LEFT(G74,4))</f>
        <v>13O6</v>
      </c>
      <c r="B77" t="str">
        <f t="shared" si="46"/>
        <v>CPAC East</v>
      </c>
      <c r="C77" s="18"/>
      <c r="D77" s="18"/>
      <c r="E77" s="18"/>
      <c r="F77" s="18"/>
      <c r="G77" s="18"/>
      <c r="H77" s="22"/>
      <c r="I77" s="3" t="s">
        <v>20</v>
      </c>
      <c r="J77" s="11"/>
      <c r="K77" s="11"/>
      <c r="L77" s="10">
        <v>16.3</v>
      </c>
      <c r="M77" s="10">
        <v>24.7</v>
      </c>
      <c r="N77" s="11"/>
      <c r="O77" s="11"/>
    </row>
    <row r="78" spans="1:15" ht="15" thickBot="1" x14ac:dyDescent="0.4">
      <c r="A78" t="str">
        <f t="shared" ref="A78" si="55">IF(LEFT(G74,2)="FC",LEFT(G74,5),LEFT(G74,4))</f>
        <v>13O6</v>
      </c>
      <c r="B78" t="str">
        <f t="shared" si="46"/>
        <v>CPAC East</v>
      </c>
      <c r="C78" s="18"/>
      <c r="D78" s="18"/>
      <c r="E78" s="18"/>
      <c r="F78" s="18"/>
      <c r="G78" s="18"/>
      <c r="H78" s="22"/>
      <c r="I78" s="5" t="s">
        <v>21</v>
      </c>
      <c r="J78" s="11"/>
      <c r="K78" s="11"/>
      <c r="L78" s="8">
        <v>-0.47</v>
      </c>
      <c r="M78" s="8">
        <v>-0.57999999999999996</v>
      </c>
      <c r="N78" s="11"/>
      <c r="O78" s="11"/>
    </row>
    <row r="79" spans="1:15" ht="15" thickBot="1" x14ac:dyDescent="0.4">
      <c r="A79" t="str">
        <f t="shared" ref="A79" si="56">IF(LEFT(G74,2)="FC",LEFT(G74,5),LEFT(G74,4))</f>
        <v>13O6</v>
      </c>
      <c r="B79" t="str">
        <f t="shared" si="46"/>
        <v>CPAC East</v>
      </c>
      <c r="C79" s="19"/>
      <c r="D79" s="19"/>
      <c r="E79" s="19"/>
      <c r="F79" s="19"/>
      <c r="G79" s="19"/>
      <c r="H79" s="23"/>
      <c r="I79" s="3" t="s">
        <v>22</v>
      </c>
      <c r="J79" s="11" t="s">
        <v>27</v>
      </c>
      <c r="K79" s="11" t="s">
        <v>31</v>
      </c>
      <c r="L79" s="8" t="s">
        <v>23</v>
      </c>
      <c r="M79" s="11"/>
      <c r="N79" s="11" t="s">
        <v>45</v>
      </c>
      <c r="O79" s="11" t="s">
        <v>46</v>
      </c>
    </row>
    <row r="80" spans="1:15" ht="15" thickBot="1" x14ac:dyDescent="0.4">
      <c r="B80" t="str">
        <f t="shared" si="46"/>
        <v>CPAC East</v>
      </c>
      <c r="C80" s="16"/>
      <c r="D80" s="16"/>
      <c r="E80" s="16"/>
      <c r="F80" s="16" t="s">
        <v>47</v>
      </c>
      <c r="G80" s="16" t="s">
        <v>48</v>
      </c>
      <c r="H80" s="20" t="s">
        <v>17</v>
      </c>
      <c r="I80" s="1"/>
      <c r="J80" s="1"/>
      <c r="K80" s="1"/>
      <c r="L80" s="1"/>
      <c r="M80" s="1"/>
      <c r="N80" s="1"/>
      <c r="O80" s="1"/>
    </row>
    <row r="81" spans="1:15" ht="15" thickBot="1" x14ac:dyDescent="0.4">
      <c r="A81" t="str">
        <f t="shared" ref="A81:A144" si="57">IF(LEFT(G80,2)="FC",LEFT(G80,5),LEFT(G80,4))</f>
        <v>FC111</v>
      </c>
      <c r="B81" t="str">
        <f t="shared" si="46"/>
        <v>CPAC East</v>
      </c>
      <c r="C81" s="18"/>
      <c r="D81" s="18"/>
      <c r="E81" s="18"/>
      <c r="F81" s="18"/>
      <c r="G81" s="18"/>
      <c r="H81" s="22"/>
      <c r="I81" s="3" t="s">
        <v>18</v>
      </c>
      <c r="J81" s="8">
        <v>15</v>
      </c>
      <c r="K81" s="8">
        <v>17</v>
      </c>
      <c r="L81" s="4">
        <v>31</v>
      </c>
      <c r="M81" s="4">
        <v>30</v>
      </c>
      <c r="N81" s="4">
        <v>32</v>
      </c>
      <c r="O81" s="4">
        <v>35</v>
      </c>
    </row>
    <row r="82" spans="1:15" ht="15" thickBot="1" x14ac:dyDescent="0.4">
      <c r="A82" t="str">
        <f t="shared" ref="A82" si="58">IF(LEFT(G80,2)="FC",LEFT(G80,5),LEFT(G80,4))</f>
        <v>FC111</v>
      </c>
      <c r="B82" t="str">
        <f t="shared" si="46"/>
        <v>CPAC East</v>
      </c>
      <c r="C82" s="18"/>
      <c r="D82" s="18"/>
      <c r="E82" s="18"/>
      <c r="F82" s="18"/>
      <c r="G82" s="18"/>
      <c r="H82" s="22"/>
      <c r="I82" s="5" t="s">
        <v>19</v>
      </c>
      <c r="J82" s="8">
        <v>29</v>
      </c>
      <c r="K82" s="9">
        <v>98</v>
      </c>
      <c r="L82" s="8">
        <v>15</v>
      </c>
      <c r="M82" s="7">
        <v>74</v>
      </c>
      <c r="N82" s="8">
        <v>34</v>
      </c>
      <c r="O82" s="8">
        <v>35</v>
      </c>
    </row>
    <row r="83" spans="1:15" ht="15" thickBot="1" x14ac:dyDescent="0.4">
      <c r="A83" t="str">
        <f t="shared" ref="A83" si="59">IF(LEFT(G80,2)="FC",LEFT(G80,5),LEFT(G80,4))</f>
        <v>FC111</v>
      </c>
      <c r="B83" t="str">
        <f t="shared" si="46"/>
        <v>CPAC East</v>
      </c>
      <c r="C83" s="18"/>
      <c r="D83" s="18"/>
      <c r="E83" s="18"/>
      <c r="F83" s="18"/>
      <c r="G83" s="18"/>
      <c r="H83" s="22"/>
      <c r="I83" s="3" t="s">
        <v>20</v>
      </c>
      <c r="J83" s="9">
        <v>34.200000000000003</v>
      </c>
      <c r="K83" s="8">
        <v>106.2</v>
      </c>
      <c r="L83" s="7">
        <v>39.700000000000003</v>
      </c>
      <c r="M83" s="9">
        <v>33</v>
      </c>
      <c r="N83" s="10">
        <v>27.1</v>
      </c>
      <c r="O83" s="10">
        <v>22</v>
      </c>
    </row>
    <row r="84" spans="1:15" ht="15" thickBot="1" x14ac:dyDescent="0.4">
      <c r="A84" t="str">
        <f t="shared" ref="A84" si="60">IF(LEFT(G80,2)="FC",LEFT(G80,5),LEFT(G80,4))</f>
        <v>FC111</v>
      </c>
      <c r="B84" t="str">
        <f t="shared" si="46"/>
        <v>CPAC East</v>
      </c>
      <c r="C84" s="18"/>
      <c r="D84" s="18"/>
      <c r="E84" s="18"/>
      <c r="F84" s="18"/>
      <c r="G84" s="18"/>
      <c r="H84" s="22"/>
      <c r="I84" s="5" t="s">
        <v>21</v>
      </c>
      <c r="J84" s="8">
        <v>0.28000000000000003</v>
      </c>
      <c r="K84" s="8">
        <v>0.31</v>
      </c>
      <c r="L84" s="8">
        <v>0.13</v>
      </c>
      <c r="M84" s="9">
        <v>0.74</v>
      </c>
      <c r="N84" s="8">
        <v>0.42</v>
      </c>
      <c r="O84" s="8">
        <v>0.53</v>
      </c>
    </row>
    <row r="85" spans="1:15" ht="15" thickBot="1" x14ac:dyDescent="0.4">
      <c r="A85" t="str">
        <f t="shared" ref="A85" si="61">IF(LEFT(G80,2)="FC",LEFT(G80,5),LEFT(G80,4))</f>
        <v>FC111</v>
      </c>
      <c r="B85" t="str">
        <f t="shared" si="46"/>
        <v>CPAC East</v>
      </c>
      <c r="C85" s="19"/>
      <c r="D85" s="19"/>
      <c r="E85" s="19"/>
      <c r="F85" s="19"/>
      <c r="G85" s="19"/>
      <c r="H85" s="23"/>
      <c r="I85" s="3" t="s">
        <v>22</v>
      </c>
      <c r="J85" s="8" t="s">
        <v>23</v>
      </c>
      <c r="K85" s="8" t="s">
        <v>23</v>
      </c>
      <c r="L85" s="11"/>
      <c r="M85" s="9" t="s">
        <v>25</v>
      </c>
      <c r="N85" s="8" t="s">
        <v>23</v>
      </c>
      <c r="O85" s="8" t="s">
        <v>23</v>
      </c>
    </row>
    <row r="86" spans="1:15" ht="15" thickBot="1" x14ac:dyDescent="0.4">
      <c r="B86" t="str">
        <f t="shared" si="46"/>
        <v>CPAC East</v>
      </c>
      <c r="C86" s="16"/>
      <c r="D86" s="16"/>
      <c r="E86" s="16"/>
      <c r="F86" s="16"/>
      <c r="G86" s="16" t="s">
        <v>49</v>
      </c>
      <c r="H86" s="24" t="s">
        <v>30</v>
      </c>
      <c r="I86" s="1"/>
      <c r="J86" s="1"/>
      <c r="K86" s="1"/>
      <c r="L86" s="1"/>
      <c r="M86" s="1"/>
      <c r="N86" s="1"/>
      <c r="O86" s="1"/>
    </row>
    <row r="87" spans="1:15" ht="15" thickBot="1" x14ac:dyDescent="0.4">
      <c r="A87" t="str">
        <f t="shared" ref="A87:A150" si="62">IF(LEFT(G86,2)="FC",LEFT(G86,5),LEFT(G86,4))</f>
        <v>13LW</v>
      </c>
      <c r="B87" t="str">
        <f t="shared" si="46"/>
        <v>CPAC East</v>
      </c>
      <c r="C87" s="18"/>
      <c r="D87" s="18"/>
      <c r="E87" s="18"/>
      <c r="F87" s="18"/>
      <c r="G87" s="18"/>
      <c r="H87" s="25"/>
      <c r="I87" s="3" t="s">
        <v>18</v>
      </c>
      <c r="J87" s="11"/>
      <c r="K87" s="11"/>
      <c r="L87" s="11"/>
      <c r="M87" s="11"/>
      <c r="N87" s="11"/>
      <c r="O87" s="11"/>
    </row>
    <row r="88" spans="1:15" ht="15" thickBot="1" x14ac:dyDescent="0.4">
      <c r="A88" t="str">
        <f t="shared" ref="A88" si="63">IF(LEFT(G86,2)="FC",LEFT(G86,5),LEFT(G86,4))</f>
        <v>13LW</v>
      </c>
      <c r="B88" t="str">
        <f t="shared" si="46"/>
        <v>CPAC East</v>
      </c>
      <c r="C88" s="18"/>
      <c r="D88" s="18"/>
      <c r="E88" s="18"/>
      <c r="F88" s="18"/>
      <c r="G88" s="18"/>
      <c r="H88" s="25"/>
      <c r="I88" s="5" t="s">
        <v>19</v>
      </c>
      <c r="J88" s="11"/>
      <c r="K88" s="11"/>
      <c r="L88" s="11"/>
      <c r="M88" s="11"/>
      <c r="N88" s="11"/>
      <c r="O88" s="11"/>
    </row>
    <row r="89" spans="1:15" ht="15" thickBot="1" x14ac:dyDescent="0.4">
      <c r="A89" t="str">
        <f t="shared" ref="A89" si="64">IF(LEFT(G86,2)="FC",LEFT(G86,5),LEFT(G86,4))</f>
        <v>13LW</v>
      </c>
      <c r="B89" t="str">
        <f t="shared" si="46"/>
        <v>CPAC East</v>
      </c>
      <c r="C89" s="18"/>
      <c r="D89" s="18"/>
      <c r="E89" s="18"/>
      <c r="F89" s="18"/>
      <c r="G89" s="18"/>
      <c r="H89" s="25"/>
      <c r="I89" s="3" t="s">
        <v>20</v>
      </c>
      <c r="J89" s="11"/>
      <c r="K89" s="11"/>
      <c r="L89" s="11"/>
      <c r="M89" s="11"/>
      <c r="N89" s="11"/>
      <c r="O89" s="11"/>
    </row>
    <row r="90" spans="1:15" ht="15" thickBot="1" x14ac:dyDescent="0.4">
      <c r="A90" t="str">
        <f t="shared" ref="A90" si="65">IF(LEFT(G86,2)="FC",LEFT(G86,5),LEFT(G86,4))</f>
        <v>13LW</v>
      </c>
      <c r="B90" t="str">
        <f t="shared" si="46"/>
        <v>CPAC East</v>
      </c>
      <c r="C90" s="18"/>
      <c r="D90" s="18"/>
      <c r="E90" s="18"/>
      <c r="F90" s="18"/>
      <c r="G90" s="18"/>
      <c r="H90" s="25"/>
      <c r="I90" s="5" t="s">
        <v>21</v>
      </c>
      <c r="J90" s="11"/>
      <c r="K90" s="11"/>
      <c r="L90" s="11"/>
      <c r="M90" s="11"/>
      <c r="N90" s="11"/>
      <c r="O90" s="11"/>
    </row>
    <row r="91" spans="1:15" ht="15" thickBot="1" x14ac:dyDescent="0.4">
      <c r="A91" t="str">
        <f t="shared" ref="A91" si="66">IF(LEFT(G86,2)="FC",LEFT(G86,5),LEFT(G86,4))</f>
        <v>13LW</v>
      </c>
      <c r="B91" t="str">
        <f t="shared" si="46"/>
        <v>CPAC East</v>
      </c>
      <c r="C91" s="19"/>
      <c r="D91" s="19"/>
      <c r="E91" s="19"/>
      <c r="F91" s="19"/>
      <c r="G91" s="19"/>
      <c r="H91" s="26"/>
      <c r="I91" s="3" t="s">
        <v>22</v>
      </c>
      <c r="J91" s="11" t="s">
        <v>45</v>
      </c>
      <c r="K91" s="11" t="s">
        <v>45</v>
      </c>
      <c r="L91" s="11" t="s">
        <v>45</v>
      </c>
      <c r="M91" s="11" t="s">
        <v>45</v>
      </c>
      <c r="N91" s="11" t="s">
        <v>45</v>
      </c>
      <c r="O91" s="11" t="s">
        <v>45</v>
      </c>
    </row>
    <row r="92" spans="1:15" ht="15" thickBot="1" x14ac:dyDescent="0.4">
      <c r="B92" t="str">
        <f t="shared" si="46"/>
        <v>CPAC East</v>
      </c>
      <c r="C92" s="16"/>
      <c r="D92" s="16"/>
      <c r="E92" s="16"/>
      <c r="F92" s="16"/>
      <c r="G92" s="16" t="s">
        <v>50</v>
      </c>
      <c r="H92" s="20" t="s">
        <v>17</v>
      </c>
      <c r="I92" s="1"/>
      <c r="J92" s="1"/>
      <c r="K92" s="1"/>
      <c r="L92" s="1"/>
      <c r="M92" s="1"/>
      <c r="N92" s="1"/>
      <c r="O92" s="1"/>
    </row>
    <row r="93" spans="1:15" ht="15" thickBot="1" x14ac:dyDescent="0.4">
      <c r="A93" t="str">
        <f t="shared" ref="A93:A156" si="67">IF(LEFT(G92,2)="FC",LEFT(G92,5),LEFT(G92,4))</f>
        <v>FC065</v>
      </c>
      <c r="B93" t="str">
        <f t="shared" si="46"/>
        <v>CPAC East</v>
      </c>
      <c r="C93" s="18"/>
      <c r="D93" s="18"/>
      <c r="E93" s="18"/>
      <c r="F93" s="18"/>
      <c r="G93" s="18"/>
      <c r="H93" s="22"/>
      <c r="I93" s="3" t="s">
        <v>18</v>
      </c>
      <c r="J93" s="4">
        <v>36</v>
      </c>
      <c r="K93" s="4">
        <v>54</v>
      </c>
      <c r="L93" s="4">
        <v>39</v>
      </c>
      <c r="M93" s="8">
        <v>24</v>
      </c>
      <c r="N93" s="4">
        <v>33</v>
      </c>
      <c r="O93" s="4">
        <v>45</v>
      </c>
    </row>
    <row r="94" spans="1:15" ht="15" thickBot="1" x14ac:dyDescent="0.4">
      <c r="A94" t="str">
        <f t="shared" ref="A94" si="68">IF(LEFT(G92,2)="FC",LEFT(G92,5),LEFT(G92,4))</f>
        <v>FC065</v>
      </c>
      <c r="B94" t="str">
        <f t="shared" si="46"/>
        <v>CPAC East</v>
      </c>
      <c r="C94" s="18"/>
      <c r="D94" s="18"/>
      <c r="E94" s="18"/>
      <c r="F94" s="18"/>
      <c r="G94" s="18"/>
      <c r="H94" s="22"/>
      <c r="I94" s="5" t="s">
        <v>19</v>
      </c>
      <c r="J94" s="8">
        <v>12</v>
      </c>
      <c r="K94" s="8">
        <v>1</v>
      </c>
      <c r="L94" s="8">
        <v>7</v>
      </c>
      <c r="M94" s="8">
        <v>30</v>
      </c>
      <c r="N94" s="6">
        <v>57</v>
      </c>
      <c r="O94" s="6">
        <v>51</v>
      </c>
    </row>
    <row r="95" spans="1:15" ht="15" thickBot="1" x14ac:dyDescent="0.4">
      <c r="A95" t="str">
        <f t="shared" ref="A95" si="69">IF(LEFT(G92,2)="FC",LEFT(G92,5),LEFT(G92,4))</f>
        <v>FC065</v>
      </c>
      <c r="B95" t="str">
        <f t="shared" si="46"/>
        <v>CPAC East</v>
      </c>
      <c r="C95" s="18"/>
      <c r="D95" s="18"/>
      <c r="E95" s="18"/>
      <c r="F95" s="18"/>
      <c r="G95" s="18"/>
      <c r="H95" s="22"/>
      <c r="I95" s="3" t="s">
        <v>20</v>
      </c>
      <c r="J95" s="10">
        <v>27.1</v>
      </c>
      <c r="K95" s="9">
        <v>30.6</v>
      </c>
      <c r="L95" s="7">
        <v>34.9</v>
      </c>
      <c r="M95" s="8">
        <v>92.8</v>
      </c>
      <c r="N95" s="9">
        <v>34.299999999999997</v>
      </c>
      <c r="O95" s="10">
        <v>24.3</v>
      </c>
    </row>
    <row r="96" spans="1:15" ht="15" thickBot="1" x14ac:dyDescent="0.4">
      <c r="A96" t="str">
        <f t="shared" ref="A96" si="70">IF(LEFT(G92,2)="FC",LEFT(G92,5),LEFT(G92,4))</f>
        <v>FC065</v>
      </c>
      <c r="B96" t="str">
        <f t="shared" si="46"/>
        <v>CPAC East</v>
      </c>
      <c r="C96" s="18"/>
      <c r="D96" s="18"/>
      <c r="E96" s="18"/>
      <c r="F96" s="18"/>
      <c r="G96" s="18"/>
      <c r="H96" s="22"/>
      <c r="I96" s="5" t="s">
        <v>21</v>
      </c>
      <c r="J96" s="8">
        <v>0.15</v>
      </c>
      <c r="K96" s="8">
        <v>0.02</v>
      </c>
      <c r="L96" s="8">
        <v>7.0000000000000007E-2</v>
      </c>
      <c r="M96" s="8">
        <v>0.11</v>
      </c>
      <c r="N96" s="9">
        <v>0.56000000000000005</v>
      </c>
      <c r="O96" s="9">
        <v>0.71</v>
      </c>
    </row>
    <row r="97" spans="1:15" ht="15" thickBot="1" x14ac:dyDescent="0.4">
      <c r="A97" t="str">
        <f t="shared" ref="A97" si="71">IF(LEFT(G92,2)="FC",LEFT(G92,5),LEFT(G92,4))</f>
        <v>FC065</v>
      </c>
      <c r="B97" t="str">
        <f t="shared" si="46"/>
        <v>CPAC East</v>
      </c>
      <c r="C97" s="19"/>
      <c r="D97" s="19"/>
      <c r="E97" s="19"/>
      <c r="F97" s="19"/>
      <c r="G97" s="19"/>
      <c r="H97" s="23"/>
      <c r="I97" s="3" t="s">
        <v>22</v>
      </c>
      <c r="J97" s="8" t="s">
        <v>23</v>
      </c>
      <c r="K97" s="8" t="s">
        <v>23</v>
      </c>
      <c r="L97" s="11"/>
      <c r="M97" s="8" t="s">
        <v>23</v>
      </c>
      <c r="N97" s="11"/>
      <c r="O97" s="9" t="s">
        <v>25</v>
      </c>
    </row>
    <row r="98" spans="1:15" ht="15" thickBot="1" x14ac:dyDescent="0.4">
      <c r="B98" t="str">
        <f t="shared" si="46"/>
        <v>CPAC East</v>
      </c>
      <c r="C98" s="16"/>
      <c r="D98" s="16"/>
      <c r="E98" s="16"/>
      <c r="F98" s="16"/>
      <c r="G98" s="16" t="s">
        <v>51</v>
      </c>
      <c r="H98" s="20" t="s">
        <v>17</v>
      </c>
      <c r="I98" s="1"/>
      <c r="J98" s="1"/>
      <c r="K98" s="1"/>
      <c r="L98" s="1"/>
      <c r="M98" s="1"/>
      <c r="N98" s="1"/>
      <c r="O98" s="1"/>
    </row>
    <row r="99" spans="1:15" ht="15" thickBot="1" x14ac:dyDescent="0.4">
      <c r="A99" t="str">
        <f t="shared" ref="A99:A162" si="72">IF(LEFT(G98,2)="FC",LEFT(G98,5),LEFT(G98,4))</f>
        <v>FC209</v>
      </c>
      <c r="B99" t="str">
        <f t="shared" si="46"/>
        <v>CPAC East</v>
      </c>
      <c r="C99" s="18"/>
      <c r="D99" s="18"/>
      <c r="E99" s="18"/>
      <c r="F99" s="18"/>
      <c r="G99" s="18"/>
      <c r="H99" s="22"/>
      <c r="I99" s="3" t="s">
        <v>18</v>
      </c>
      <c r="J99" s="8">
        <v>16</v>
      </c>
      <c r="K99" s="4">
        <v>30</v>
      </c>
      <c r="L99" s="8">
        <v>23</v>
      </c>
      <c r="M99" s="4">
        <v>32</v>
      </c>
      <c r="N99" s="8">
        <v>16</v>
      </c>
      <c r="O99" s="8">
        <v>27</v>
      </c>
    </row>
    <row r="100" spans="1:15" ht="15" thickBot="1" x14ac:dyDescent="0.4">
      <c r="A100" t="str">
        <f t="shared" ref="A100" si="73">IF(LEFT(G98,2)="FC",LEFT(G98,5),LEFT(G98,4))</f>
        <v>FC209</v>
      </c>
      <c r="B100" t="str">
        <f t="shared" si="46"/>
        <v>CPAC East</v>
      </c>
      <c r="C100" s="18"/>
      <c r="D100" s="18"/>
      <c r="E100" s="18"/>
      <c r="F100" s="18"/>
      <c r="G100" s="18"/>
      <c r="H100" s="22"/>
      <c r="I100" s="5" t="s">
        <v>19</v>
      </c>
      <c r="J100" s="7">
        <v>88</v>
      </c>
      <c r="K100" s="9">
        <v>102</v>
      </c>
      <c r="L100" s="8">
        <v>36</v>
      </c>
      <c r="M100" s="6">
        <v>52</v>
      </c>
      <c r="N100" s="8">
        <v>33</v>
      </c>
      <c r="O100" s="8">
        <v>17</v>
      </c>
    </row>
    <row r="101" spans="1:15" ht="15" thickBot="1" x14ac:dyDescent="0.4">
      <c r="A101" t="str">
        <f t="shared" ref="A101" si="74">IF(LEFT(G98,2)="FC",LEFT(G98,5),LEFT(G98,4))</f>
        <v>FC209</v>
      </c>
      <c r="B101" t="str">
        <f t="shared" si="46"/>
        <v>CPAC East</v>
      </c>
      <c r="C101" s="18"/>
      <c r="D101" s="18"/>
      <c r="E101" s="18"/>
      <c r="F101" s="18"/>
      <c r="G101" s="18"/>
      <c r="H101" s="22"/>
      <c r="I101" s="3" t="s">
        <v>20</v>
      </c>
      <c r="J101" s="9">
        <v>33.9</v>
      </c>
      <c r="K101" s="9">
        <v>31.1</v>
      </c>
      <c r="L101" s="10">
        <v>26.5</v>
      </c>
      <c r="M101" s="10">
        <v>25.1</v>
      </c>
      <c r="N101" s="10">
        <v>21.9</v>
      </c>
      <c r="O101" s="9">
        <v>30.4</v>
      </c>
    </row>
    <row r="102" spans="1:15" ht="15" thickBot="1" x14ac:dyDescent="0.4">
      <c r="A102" t="str">
        <f t="shared" ref="A102" si="75">IF(LEFT(G98,2)="FC",LEFT(G98,5),LEFT(G98,4))</f>
        <v>FC209</v>
      </c>
      <c r="B102" t="str">
        <f t="shared" si="46"/>
        <v>CPAC East</v>
      </c>
      <c r="C102" s="18"/>
      <c r="D102" s="18"/>
      <c r="E102" s="18"/>
      <c r="F102" s="18"/>
      <c r="G102" s="18"/>
      <c r="H102" s="22"/>
      <c r="I102" s="5" t="s">
        <v>21</v>
      </c>
      <c r="J102" s="10">
        <v>0.86</v>
      </c>
      <c r="K102" s="10">
        <v>1.0900000000000001</v>
      </c>
      <c r="L102" s="8">
        <v>0.46</v>
      </c>
      <c r="M102" s="9">
        <v>0.69</v>
      </c>
      <c r="N102" s="8">
        <v>0.51</v>
      </c>
      <c r="O102" s="8">
        <v>0.19</v>
      </c>
    </row>
    <row r="103" spans="1:15" ht="15" thickBot="1" x14ac:dyDescent="0.4">
      <c r="A103" t="str">
        <f t="shared" ref="A103" si="76">IF(LEFT(G98,2)="FC",LEFT(G98,5),LEFT(G98,4))</f>
        <v>FC209</v>
      </c>
      <c r="B103" t="str">
        <f t="shared" si="46"/>
        <v>CPAC East</v>
      </c>
      <c r="C103" s="19"/>
      <c r="D103" s="19"/>
      <c r="E103" s="19"/>
      <c r="F103" s="19"/>
      <c r="G103" s="19"/>
      <c r="H103" s="23"/>
      <c r="I103" s="3" t="s">
        <v>22</v>
      </c>
      <c r="J103" s="10" t="s">
        <v>24</v>
      </c>
      <c r="K103" s="10" t="s">
        <v>24</v>
      </c>
      <c r="L103" s="8" t="s">
        <v>23</v>
      </c>
      <c r="M103" s="11"/>
      <c r="N103" s="8" t="s">
        <v>23</v>
      </c>
      <c r="O103" s="8" t="s">
        <v>23</v>
      </c>
    </row>
    <row r="104" spans="1:15" ht="15" thickBot="1" x14ac:dyDescent="0.4">
      <c r="B104" t="str">
        <f t="shared" si="46"/>
        <v>CPAC East</v>
      </c>
      <c r="C104" s="16"/>
      <c r="D104" s="16"/>
      <c r="E104" s="16"/>
      <c r="F104" s="16"/>
      <c r="G104" s="16" t="s">
        <v>52</v>
      </c>
      <c r="H104" s="24" t="s">
        <v>30</v>
      </c>
      <c r="I104" s="1"/>
      <c r="J104" s="1"/>
      <c r="K104" s="1"/>
      <c r="L104" s="1"/>
      <c r="M104" s="1"/>
      <c r="N104" s="1"/>
      <c r="O104" s="1"/>
    </row>
    <row r="105" spans="1:15" ht="15" thickBot="1" x14ac:dyDescent="0.4">
      <c r="A105" t="str">
        <f t="shared" ref="A105:A168" si="77">IF(LEFT(G104,2)="FC",LEFT(G104,5),LEFT(G104,4))</f>
        <v>FC389</v>
      </c>
      <c r="B105" t="str">
        <f t="shared" si="46"/>
        <v>CPAC East</v>
      </c>
      <c r="C105" s="18"/>
      <c r="D105" s="18"/>
      <c r="E105" s="18"/>
      <c r="F105" s="18"/>
      <c r="G105" s="18"/>
      <c r="H105" s="25"/>
      <c r="I105" s="3" t="s">
        <v>18</v>
      </c>
      <c r="J105" s="11"/>
      <c r="K105" s="11"/>
      <c r="L105" s="11"/>
      <c r="M105" s="11"/>
      <c r="N105" s="11"/>
      <c r="O105" s="11"/>
    </row>
    <row r="106" spans="1:15" ht="15" thickBot="1" x14ac:dyDescent="0.4">
      <c r="A106" t="str">
        <f t="shared" ref="A106" si="78">IF(LEFT(G104,2)="FC",LEFT(G104,5),LEFT(G104,4))</f>
        <v>FC389</v>
      </c>
      <c r="B106" t="str">
        <f t="shared" si="46"/>
        <v>CPAC East</v>
      </c>
      <c r="C106" s="18"/>
      <c r="D106" s="18"/>
      <c r="E106" s="18"/>
      <c r="F106" s="18"/>
      <c r="G106" s="18"/>
      <c r="H106" s="25"/>
      <c r="I106" s="5" t="s">
        <v>19</v>
      </c>
      <c r="J106" s="11"/>
      <c r="K106" s="11"/>
      <c r="L106" s="11"/>
      <c r="M106" s="11"/>
      <c r="N106" s="11"/>
      <c r="O106" s="11"/>
    </row>
    <row r="107" spans="1:15" ht="15" thickBot="1" x14ac:dyDescent="0.4">
      <c r="A107" t="str">
        <f t="shared" ref="A107" si="79">IF(LEFT(G104,2)="FC",LEFT(G104,5),LEFT(G104,4))</f>
        <v>FC389</v>
      </c>
      <c r="B107" t="str">
        <f t="shared" si="46"/>
        <v>CPAC East</v>
      </c>
      <c r="C107" s="18"/>
      <c r="D107" s="18"/>
      <c r="E107" s="18"/>
      <c r="F107" s="18"/>
      <c r="G107" s="18"/>
      <c r="H107" s="25"/>
      <c r="I107" s="3" t="s">
        <v>20</v>
      </c>
      <c r="J107" s="11"/>
      <c r="K107" s="11"/>
      <c r="L107" s="11"/>
      <c r="M107" s="11"/>
      <c r="N107" s="11"/>
      <c r="O107" s="11"/>
    </row>
    <row r="108" spans="1:15" ht="15" thickBot="1" x14ac:dyDescent="0.4">
      <c r="A108" t="str">
        <f t="shared" ref="A108" si="80">IF(LEFT(G104,2)="FC",LEFT(G104,5),LEFT(G104,4))</f>
        <v>FC389</v>
      </c>
      <c r="B108" t="str">
        <f t="shared" si="46"/>
        <v>CPAC East</v>
      </c>
      <c r="C108" s="18"/>
      <c r="D108" s="18"/>
      <c r="E108" s="18"/>
      <c r="F108" s="18"/>
      <c r="G108" s="18"/>
      <c r="H108" s="25"/>
      <c r="I108" s="5" t="s">
        <v>21</v>
      </c>
      <c r="J108" s="11"/>
      <c r="K108" s="11"/>
      <c r="L108" s="11"/>
      <c r="M108" s="11"/>
      <c r="N108" s="11"/>
      <c r="O108" s="11"/>
    </row>
    <row r="109" spans="1:15" ht="15" thickBot="1" x14ac:dyDescent="0.4">
      <c r="A109" t="str">
        <f t="shared" ref="A109" si="81">IF(LEFT(G104,2)="FC",LEFT(G104,5),LEFT(G104,4))</f>
        <v>FC389</v>
      </c>
      <c r="B109" t="str">
        <f t="shared" si="46"/>
        <v>CPAC East</v>
      </c>
      <c r="C109" s="19"/>
      <c r="D109" s="19"/>
      <c r="E109" s="19"/>
      <c r="F109" s="19"/>
      <c r="G109" s="19"/>
      <c r="H109" s="26"/>
      <c r="I109" s="3" t="s">
        <v>22</v>
      </c>
      <c r="J109" s="11" t="s">
        <v>27</v>
      </c>
      <c r="K109" s="11" t="s">
        <v>45</v>
      </c>
      <c r="L109" s="11" t="s">
        <v>45</v>
      </c>
      <c r="M109" s="11" t="s">
        <v>45</v>
      </c>
      <c r="N109" s="11" t="s">
        <v>27</v>
      </c>
      <c r="O109" s="11" t="s">
        <v>45</v>
      </c>
    </row>
    <row r="110" spans="1:15" ht="15" thickBot="1" x14ac:dyDescent="0.4">
      <c r="B110" t="str">
        <f t="shared" si="46"/>
        <v>CPAC East</v>
      </c>
      <c r="C110" s="16"/>
      <c r="D110" s="16"/>
      <c r="E110" s="16" t="s">
        <v>53</v>
      </c>
      <c r="F110" s="16" t="s">
        <v>54</v>
      </c>
      <c r="G110" s="16" t="s">
        <v>55</v>
      </c>
      <c r="H110" s="27" t="s">
        <v>34</v>
      </c>
      <c r="I110" s="1"/>
      <c r="J110" s="1"/>
      <c r="K110" s="1"/>
      <c r="L110" s="1"/>
      <c r="M110" s="1"/>
      <c r="N110" s="1"/>
      <c r="O110" s="1"/>
    </row>
    <row r="111" spans="1:15" ht="15" thickBot="1" x14ac:dyDescent="0.4">
      <c r="A111" t="str">
        <f t="shared" ref="A111:A174" si="82">IF(LEFT(G110,2)="FC",LEFT(G110,5),LEFT(G110,4))</f>
        <v>FC088</v>
      </c>
      <c r="B111" t="str">
        <f t="shared" si="46"/>
        <v>CPAC East</v>
      </c>
      <c r="C111" s="18"/>
      <c r="D111" s="18"/>
      <c r="E111" s="18"/>
      <c r="F111" s="18"/>
      <c r="G111" s="18"/>
      <c r="H111" s="28"/>
      <c r="I111" s="3" t="s">
        <v>18</v>
      </c>
      <c r="J111" s="4">
        <v>30</v>
      </c>
      <c r="K111" s="4">
        <v>36</v>
      </c>
      <c r="L111" s="4">
        <v>30</v>
      </c>
      <c r="M111" s="4">
        <v>39</v>
      </c>
      <c r="N111" s="8">
        <v>20</v>
      </c>
      <c r="O111" s="4">
        <v>31</v>
      </c>
    </row>
    <row r="112" spans="1:15" ht="15" thickBot="1" x14ac:dyDescent="0.4">
      <c r="A112" t="str">
        <f t="shared" ref="A112" si="83">IF(LEFT(G110,2)="FC",LEFT(G110,5),LEFT(G110,4))</f>
        <v>FC088</v>
      </c>
      <c r="B112" t="str">
        <f t="shared" si="46"/>
        <v>CPAC East</v>
      </c>
      <c r="C112" s="18"/>
      <c r="D112" s="18"/>
      <c r="E112" s="18"/>
      <c r="F112" s="18"/>
      <c r="G112" s="18"/>
      <c r="H112" s="28"/>
      <c r="I112" s="5" t="s">
        <v>19</v>
      </c>
      <c r="J112" s="7">
        <v>78</v>
      </c>
      <c r="K112" s="9">
        <v>95</v>
      </c>
      <c r="L112" s="6">
        <v>69</v>
      </c>
      <c r="M112" s="6">
        <v>65</v>
      </c>
      <c r="N112" s="6">
        <v>64</v>
      </c>
      <c r="O112" s="7">
        <v>87</v>
      </c>
    </row>
    <row r="113" spans="1:15" ht="15" thickBot="1" x14ac:dyDescent="0.4">
      <c r="A113" t="str">
        <f t="shared" ref="A113" si="84">IF(LEFT(G110,2)="FC",LEFT(G110,5),LEFT(G110,4))</f>
        <v>FC088</v>
      </c>
      <c r="B113" t="str">
        <f t="shared" si="46"/>
        <v>CPAC East</v>
      </c>
      <c r="C113" s="18"/>
      <c r="D113" s="18"/>
      <c r="E113" s="18"/>
      <c r="F113" s="18"/>
      <c r="G113" s="18"/>
      <c r="H113" s="28"/>
      <c r="I113" s="3" t="s">
        <v>20</v>
      </c>
      <c r="J113" s="10">
        <v>27.1</v>
      </c>
      <c r="K113" s="10">
        <v>22</v>
      </c>
      <c r="L113" s="9">
        <v>31.4</v>
      </c>
      <c r="M113" s="9">
        <v>28.6</v>
      </c>
      <c r="N113" s="10">
        <v>24.6</v>
      </c>
      <c r="O113" s="10">
        <v>26.9</v>
      </c>
    </row>
    <row r="114" spans="1:15" ht="15" thickBot="1" x14ac:dyDescent="0.4">
      <c r="A114" t="str">
        <f t="shared" ref="A114" si="85">IF(LEFT(G110,2)="FC",LEFT(G110,5),LEFT(G110,4))</f>
        <v>FC088</v>
      </c>
      <c r="B114" t="str">
        <f t="shared" si="46"/>
        <v>CPAC East</v>
      </c>
      <c r="C114" s="18"/>
      <c r="D114" s="18"/>
      <c r="E114" s="18"/>
      <c r="F114" s="18"/>
      <c r="G114" s="18"/>
      <c r="H114" s="28"/>
      <c r="I114" s="5" t="s">
        <v>21</v>
      </c>
      <c r="J114" s="10">
        <v>0.96</v>
      </c>
      <c r="K114" s="10">
        <v>1.44</v>
      </c>
      <c r="L114" s="9">
        <v>0.73</v>
      </c>
      <c r="M114" s="9">
        <v>0.76</v>
      </c>
      <c r="N114" s="10">
        <v>0.87</v>
      </c>
      <c r="O114" s="10">
        <v>1.08</v>
      </c>
    </row>
    <row r="115" spans="1:15" ht="15" thickBot="1" x14ac:dyDescent="0.4">
      <c r="A115" t="str">
        <f t="shared" ref="A115" si="86">IF(LEFT(G110,2)="FC",LEFT(G110,5),LEFT(G110,4))</f>
        <v>FC088</v>
      </c>
      <c r="B115" t="str">
        <f t="shared" si="46"/>
        <v>CPAC East</v>
      </c>
      <c r="C115" s="19"/>
      <c r="D115" s="19"/>
      <c r="E115" s="19"/>
      <c r="F115" s="19"/>
      <c r="G115" s="19"/>
      <c r="H115" s="29"/>
      <c r="I115" s="3" t="s">
        <v>22</v>
      </c>
      <c r="J115" s="10" t="s">
        <v>24</v>
      </c>
      <c r="K115" s="10" t="s">
        <v>24</v>
      </c>
      <c r="L115" s="9" t="s">
        <v>25</v>
      </c>
      <c r="M115" s="9" t="s">
        <v>25</v>
      </c>
      <c r="N115" s="10" t="s">
        <v>24</v>
      </c>
      <c r="O115" s="10" t="s">
        <v>24</v>
      </c>
    </row>
    <row r="116" spans="1:15" ht="15" thickBot="1" x14ac:dyDescent="0.4">
      <c r="B116" t="str">
        <f t="shared" si="46"/>
        <v>CPAC East</v>
      </c>
      <c r="C116" s="16"/>
      <c r="D116" s="16"/>
      <c r="E116" s="16"/>
      <c r="F116" s="16"/>
      <c r="G116" s="16" t="s">
        <v>56</v>
      </c>
      <c r="H116" s="27" t="s">
        <v>34</v>
      </c>
      <c r="I116" s="1"/>
      <c r="J116" s="1"/>
      <c r="K116" s="1"/>
      <c r="L116" s="1"/>
      <c r="M116" s="1"/>
      <c r="N116" s="1"/>
      <c r="O116" s="1"/>
    </row>
    <row r="117" spans="1:15" ht="15" thickBot="1" x14ac:dyDescent="0.4">
      <c r="A117" t="str">
        <f t="shared" ref="A117:A148" si="87">IF(LEFT(G116,2)="FC",LEFT(G116,5),LEFT(G116,4))</f>
        <v>FC309</v>
      </c>
      <c r="B117" t="str">
        <f t="shared" si="46"/>
        <v>CPAC East</v>
      </c>
      <c r="C117" s="18"/>
      <c r="D117" s="18"/>
      <c r="E117" s="18"/>
      <c r="F117" s="18"/>
      <c r="G117" s="18"/>
      <c r="H117" s="28"/>
      <c r="I117" s="3" t="s">
        <v>18</v>
      </c>
      <c r="J117" s="8">
        <v>24</v>
      </c>
      <c r="K117" s="4">
        <v>30</v>
      </c>
      <c r="L117" s="4">
        <v>55</v>
      </c>
      <c r="M117" s="4">
        <v>37</v>
      </c>
      <c r="N117" s="4">
        <v>30</v>
      </c>
      <c r="O117" s="4">
        <v>31</v>
      </c>
    </row>
    <row r="118" spans="1:15" ht="15" thickBot="1" x14ac:dyDescent="0.4">
      <c r="A118" t="str">
        <f t="shared" ref="A118" si="88">IF(LEFT(G116,2)="FC",LEFT(G116,5),LEFT(G116,4))</f>
        <v>FC309</v>
      </c>
      <c r="B118" t="str">
        <f t="shared" si="46"/>
        <v>CPAC East</v>
      </c>
      <c r="C118" s="18"/>
      <c r="D118" s="18"/>
      <c r="E118" s="18"/>
      <c r="F118" s="18"/>
      <c r="G118" s="18"/>
      <c r="H118" s="28"/>
      <c r="I118" s="5" t="s">
        <v>19</v>
      </c>
      <c r="J118" s="9">
        <v>98</v>
      </c>
      <c r="K118" s="7">
        <v>84</v>
      </c>
      <c r="L118" s="7">
        <v>70</v>
      </c>
      <c r="M118" s="7">
        <v>72</v>
      </c>
      <c r="N118" s="6">
        <v>63</v>
      </c>
      <c r="O118" s="7">
        <v>79</v>
      </c>
    </row>
    <row r="119" spans="1:15" ht="15" thickBot="1" x14ac:dyDescent="0.4">
      <c r="A119" t="str">
        <f t="shared" ref="A119" si="89">IF(LEFT(G116,2)="FC",LEFT(G116,5),LEFT(G116,4))</f>
        <v>FC309</v>
      </c>
      <c r="B119" t="str">
        <f t="shared" si="46"/>
        <v>CPAC East</v>
      </c>
      <c r="C119" s="18"/>
      <c r="D119" s="18"/>
      <c r="E119" s="18"/>
      <c r="F119" s="18"/>
      <c r="G119" s="18"/>
      <c r="H119" s="28"/>
      <c r="I119" s="3" t="s">
        <v>20</v>
      </c>
      <c r="J119" s="9">
        <v>33.6</v>
      </c>
      <c r="K119" s="9">
        <v>28.7</v>
      </c>
      <c r="L119" s="7">
        <v>40.700000000000003</v>
      </c>
      <c r="M119" s="7">
        <v>38.200000000000003</v>
      </c>
      <c r="N119" s="9">
        <v>29.9</v>
      </c>
      <c r="O119" s="7">
        <v>34.700000000000003</v>
      </c>
    </row>
    <row r="120" spans="1:15" ht="15" thickBot="1" x14ac:dyDescent="0.4">
      <c r="A120" t="str">
        <f t="shared" ref="A120" si="90">IF(LEFT(G116,2)="FC",LEFT(G116,5),LEFT(G116,4))</f>
        <v>FC309</v>
      </c>
      <c r="B120" t="str">
        <f t="shared" si="46"/>
        <v>CPAC East</v>
      </c>
      <c r="C120" s="18"/>
      <c r="D120" s="18"/>
      <c r="E120" s="18"/>
      <c r="F120" s="18"/>
      <c r="G120" s="18"/>
      <c r="H120" s="28"/>
      <c r="I120" s="5" t="s">
        <v>21</v>
      </c>
      <c r="J120" s="10">
        <v>0.98</v>
      </c>
      <c r="K120" s="10">
        <v>0.98</v>
      </c>
      <c r="L120" s="9">
        <v>0.56999999999999995</v>
      </c>
      <c r="M120" s="9">
        <v>0.63</v>
      </c>
      <c r="N120" s="9">
        <v>0.7</v>
      </c>
      <c r="O120" s="9">
        <v>0.76</v>
      </c>
    </row>
    <row r="121" spans="1:15" ht="15" thickBot="1" x14ac:dyDescent="0.4">
      <c r="A121" t="str">
        <f t="shared" ref="A121" si="91">IF(LEFT(G116,2)="FC",LEFT(G116,5),LEFT(G116,4))</f>
        <v>FC309</v>
      </c>
      <c r="B121" t="str">
        <f t="shared" si="46"/>
        <v>CPAC East</v>
      </c>
      <c r="C121" s="19"/>
      <c r="D121" s="19"/>
      <c r="E121" s="19"/>
      <c r="F121" s="19"/>
      <c r="G121" s="19"/>
      <c r="H121" s="29"/>
      <c r="I121" s="3" t="s">
        <v>22</v>
      </c>
      <c r="J121" s="10" t="s">
        <v>24</v>
      </c>
      <c r="K121" s="10" t="s">
        <v>24</v>
      </c>
      <c r="L121" s="9" t="s">
        <v>25</v>
      </c>
      <c r="M121" s="9" t="s">
        <v>25</v>
      </c>
      <c r="N121" s="9" t="s">
        <v>25</v>
      </c>
      <c r="O121" s="10" t="s">
        <v>24</v>
      </c>
    </row>
    <row r="122" spans="1:15" ht="15" thickBot="1" x14ac:dyDescent="0.4">
      <c r="B122" t="str">
        <f t="shared" si="46"/>
        <v>CPAC East</v>
      </c>
      <c r="C122" s="16"/>
      <c r="D122" s="16"/>
      <c r="E122" s="16"/>
      <c r="F122" s="16" t="s">
        <v>57</v>
      </c>
      <c r="G122" s="16" t="s">
        <v>58</v>
      </c>
      <c r="H122" s="24" t="s">
        <v>30</v>
      </c>
      <c r="I122" s="1"/>
      <c r="J122" s="1"/>
      <c r="K122" s="1"/>
      <c r="L122" s="1"/>
      <c r="M122" s="1"/>
      <c r="N122" s="1"/>
      <c r="O122" s="1"/>
    </row>
    <row r="123" spans="1:15" ht="15" thickBot="1" x14ac:dyDescent="0.4">
      <c r="A123" t="str">
        <f t="shared" ref="A123:A154" si="92">IF(LEFT(G122,2)="FC",LEFT(G122,5),LEFT(G122,4))</f>
        <v>13LV</v>
      </c>
      <c r="B123" t="str">
        <f t="shared" si="46"/>
        <v>CPAC East</v>
      </c>
      <c r="C123" s="18"/>
      <c r="D123" s="18"/>
      <c r="E123" s="18"/>
      <c r="F123" s="18"/>
      <c r="G123" s="18"/>
      <c r="H123" s="25"/>
      <c r="I123" s="3" t="s">
        <v>18</v>
      </c>
      <c r="J123" s="11"/>
      <c r="K123" s="11"/>
      <c r="L123" s="11"/>
      <c r="M123" s="11"/>
      <c r="N123" s="11"/>
      <c r="O123" s="11"/>
    </row>
    <row r="124" spans="1:15" ht="15" thickBot="1" x14ac:dyDescent="0.4">
      <c r="A124" t="str">
        <f t="shared" ref="A124" si="93">IF(LEFT(G122,2)="FC",LEFT(G122,5),LEFT(G122,4))</f>
        <v>13LV</v>
      </c>
      <c r="B124" t="str">
        <f t="shared" si="46"/>
        <v>CPAC East</v>
      </c>
      <c r="C124" s="18"/>
      <c r="D124" s="18"/>
      <c r="E124" s="18"/>
      <c r="F124" s="18"/>
      <c r="G124" s="18"/>
      <c r="H124" s="25"/>
      <c r="I124" s="5" t="s">
        <v>19</v>
      </c>
      <c r="J124" s="11"/>
      <c r="K124" s="11"/>
      <c r="L124" s="11"/>
      <c r="M124" s="11"/>
      <c r="N124" s="11"/>
      <c r="O124" s="11"/>
    </row>
    <row r="125" spans="1:15" ht="15" thickBot="1" x14ac:dyDescent="0.4">
      <c r="A125" t="str">
        <f t="shared" ref="A125" si="94">IF(LEFT(G122,2)="FC",LEFT(G122,5),LEFT(G122,4))</f>
        <v>13LV</v>
      </c>
      <c r="B125" t="str">
        <f t="shared" si="46"/>
        <v>CPAC East</v>
      </c>
      <c r="C125" s="18"/>
      <c r="D125" s="18"/>
      <c r="E125" s="18"/>
      <c r="F125" s="18"/>
      <c r="G125" s="18"/>
      <c r="H125" s="25"/>
      <c r="I125" s="3" t="s">
        <v>20</v>
      </c>
      <c r="J125" s="11"/>
      <c r="K125" s="11"/>
      <c r="L125" s="11"/>
      <c r="M125" s="11"/>
      <c r="N125" s="11"/>
      <c r="O125" s="11"/>
    </row>
    <row r="126" spans="1:15" ht="15" thickBot="1" x14ac:dyDescent="0.4">
      <c r="A126" t="str">
        <f t="shared" ref="A126" si="95">IF(LEFT(G122,2)="FC",LEFT(G122,5),LEFT(G122,4))</f>
        <v>13LV</v>
      </c>
      <c r="B126" t="str">
        <f t="shared" si="46"/>
        <v>CPAC East</v>
      </c>
      <c r="C126" s="18"/>
      <c r="D126" s="18"/>
      <c r="E126" s="18"/>
      <c r="F126" s="18"/>
      <c r="G126" s="18"/>
      <c r="H126" s="25"/>
      <c r="I126" s="5" t="s">
        <v>21</v>
      </c>
      <c r="J126" s="11"/>
      <c r="K126" s="11"/>
      <c r="L126" s="11"/>
      <c r="M126" s="11"/>
      <c r="N126" s="11"/>
      <c r="O126" s="11"/>
    </row>
    <row r="127" spans="1:15" ht="15" thickBot="1" x14ac:dyDescent="0.4">
      <c r="A127" t="str">
        <f t="shared" ref="A127" si="96">IF(LEFT(G122,2)="FC",LEFT(G122,5),LEFT(G122,4))</f>
        <v>13LV</v>
      </c>
      <c r="B127" t="str">
        <f t="shared" si="46"/>
        <v>CPAC East</v>
      </c>
      <c r="C127" s="19"/>
      <c r="D127" s="19"/>
      <c r="E127" s="19"/>
      <c r="F127" s="19"/>
      <c r="G127" s="19"/>
      <c r="H127" s="26"/>
      <c r="I127" s="3" t="s">
        <v>22</v>
      </c>
      <c r="J127" s="11" t="s">
        <v>46</v>
      </c>
      <c r="K127" s="11" t="s">
        <v>46</v>
      </c>
      <c r="L127" s="11" t="s">
        <v>46</v>
      </c>
      <c r="M127" s="11" t="s">
        <v>46</v>
      </c>
      <c r="N127" s="11" t="s">
        <v>46</v>
      </c>
      <c r="O127" s="11" t="s">
        <v>46</v>
      </c>
    </row>
    <row r="128" spans="1:15" ht="15" thickBot="1" x14ac:dyDescent="0.4">
      <c r="B128" t="str">
        <f t="shared" si="46"/>
        <v>CPAC East</v>
      </c>
      <c r="C128" s="16"/>
      <c r="D128" s="16"/>
      <c r="E128" s="16"/>
      <c r="F128" s="16"/>
      <c r="G128" s="16" t="s">
        <v>59</v>
      </c>
      <c r="H128" s="24" t="s">
        <v>30</v>
      </c>
      <c r="I128" s="1"/>
      <c r="J128" s="1"/>
      <c r="K128" s="1"/>
      <c r="L128" s="1"/>
      <c r="M128" s="1"/>
      <c r="N128" s="1"/>
      <c r="O128" s="1"/>
    </row>
    <row r="129" spans="1:15" ht="15" thickBot="1" x14ac:dyDescent="0.4">
      <c r="A129" t="str">
        <f t="shared" ref="A129:A160" si="97">IF(LEFT(G128,2)="FC",LEFT(G128,5),LEFT(G128,4))</f>
        <v>13OR</v>
      </c>
      <c r="B129" t="str">
        <f t="shared" si="46"/>
        <v>CPAC East</v>
      </c>
      <c r="C129" s="18"/>
      <c r="D129" s="18"/>
      <c r="E129" s="18"/>
      <c r="F129" s="18"/>
      <c r="G129" s="18"/>
      <c r="H129" s="25"/>
      <c r="I129" s="3" t="s">
        <v>18</v>
      </c>
      <c r="J129" s="11"/>
      <c r="K129" s="11"/>
      <c r="L129" s="11"/>
      <c r="M129" s="11"/>
      <c r="N129" s="11"/>
      <c r="O129" s="11"/>
    </row>
    <row r="130" spans="1:15" ht="15" thickBot="1" x14ac:dyDescent="0.4">
      <c r="A130" t="str">
        <f t="shared" ref="A130" si="98">IF(LEFT(G128,2)="FC",LEFT(G128,5),LEFT(G128,4))</f>
        <v>13OR</v>
      </c>
      <c r="B130" t="str">
        <f t="shared" si="46"/>
        <v>CPAC East</v>
      </c>
      <c r="C130" s="18"/>
      <c r="D130" s="18"/>
      <c r="E130" s="18"/>
      <c r="F130" s="18"/>
      <c r="G130" s="18"/>
      <c r="H130" s="25"/>
      <c r="I130" s="5" t="s">
        <v>19</v>
      </c>
      <c r="J130" s="11"/>
      <c r="K130" s="11"/>
      <c r="L130" s="11"/>
      <c r="M130" s="11"/>
      <c r="N130" s="11"/>
      <c r="O130" s="11"/>
    </row>
    <row r="131" spans="1:15" ht="15" thickBot="1" x14ac:dyDescent="0.4">
      <c r="A131" t="str">
        <f t="shared" ref="A131" si="99">IF(LEFT(G128,2)="FC",LEFT(G128,5),LEFT(G128,4))</f>
        <v>13OR</v>
      </c>
      <c r="B131" t="str">
        <f t="shared" si="46"/>
        <v>CPAC East</v>
      </c>
      <c r="C131" s="18"/>
      <c r="D131" s="18"/>
      <c r="E131" s="18"/>
      <c r="F131" s="18"/>
      <c r="G131" s="18"/>
      <c r="H131" s="25"/>
      <c r="I131" s="3" t="s">
        <v>20</v>
      </c>
      <c r="J131" s="11"/>
      <c r="K131" s="11"/>
      <c r="L131" s="11"/>
      <c r="M131" s="11"/>
      <c r="N131" s="11"/>
      <c r="O131" s="11"/>
    </row>
    <row r="132" spans="1:15" ht="15" thickBot="1" x14ac:dyDescent="0.4">
      <c r="A132" t="str">
        <f t="shared" ref="A132" si="100">IF(LEFT(G128,2)="FC",LEFT(G128,5),LEFT(G128,4))</f>
        <v>13OR</v>
      </c>
      <c r="B132" t="str">
        <f t="shared" ref="B132:B195" si="101">$D$2</f>
        <v>CPAC East</v>
      </c>
      <c r="C132" s="18"/>
      <c r="D132" s="18"/>
      <c r="E132" s="18"/>
      <c r="F132" s="18"/>
      <c r="G132" s="18"/>
      <c r="H132" s="25"/>
      <c r="I132" s="5" t="s">
        <v>21</v>
      </c>
      <c r="J132" s="11"/>
      <c r="K132" s="11"/>
      <c r="L132" s="11"/>
      <c r="M132" s="11"/>
      <c r="N132" s="11"/>
      <c r="O132" s="11"/>
    </row>
    <row r="133" spans="1:15" ht="15" thickBot="1" x14ac:dyDescent="0.4">
      <c r="A133" t="str">
        <f t="shared" ref="A133" si="102">IF(LEFT(G128,2)="FC",LEFT(G128,5),LEFT(G128,4))</f>
        <v>13OR</v>
      </c>
      <c r="B133" t="str">
        <f t="shared" si="101"/>
        <v>CPAC East</v>
      </c>
      <c r="C133" s="19"/>
      <c r="D133" s="19"/>
      <c r="E133" s="19"/>
      <c r="F133" s="19"/>
      <c r="G133" s="19"/>
      <c r="H133" s="26"/>
      <c r="I133" s="3" t="s">
        <v>22</v>
      </c>
      <c r="J133" s="11" t="s">
        <v>46</v>
      </c>
      <c r="K133" s="11" t="s">
        <v>46</v>
      </c>
      <c r="L133" s="11" t="s">
        <v>46</v>
      </c>
      <c r="M133" s="11" t="s">
        <v>46</v>
      </c>
      <c r="N133" s="11" t="s">
        <v>46</v>
      </c>
      <c r="O133" s="11" t="s">
        <v>46</v>
      </c>
    </row>
    <row r="134" spans="1:15" ht="15" thickBot="1" x14ac:dyDescent="0.4">
      <c r="B134" t="str">
        <f t="shared" si="101"/>
        <v>CPAC East</v>
      </c>
      <c r="C134" s="16"/>
      <c r="D134" s="16"/>
      <c r="E134" s="16"/>
      <c r="F134" s="16"/>
      <c r="G134" s="16" t="s">
        <v>60</v>
      </c>
      <c r="H134" s="24" t="s">
        <v>30</v>
      </c>
      <c r="I134" s="1"/>
      <c r="J134" s="1"/>
      <c r="K134" s="1"/>
      <c r="L134" s="1"/>
      <c r="M134" s="1"/>
      <c r="N134" s="1"/>
      <c r="O134" s="1"/>
    </row>
    <row r="135" spans="1:15" ht="15" thickBot="1" x14ac:dyDescent="0.4">
      <c r="A135" t="str">
        <f t="shared" ref="A135:A166" si="103">IF(LEFT(G134,2)="FC",LEFT(G134,5),LEFT(G134,4))</f>
        <v>13O8</v>
      </c>
      <c r="B135" t="str">
        <f t="shared" si="101"/>
        <v>CPAC East</v>
      </c>
      <c r="C135" s="18"/>
      <c r="D135" s="18"/>
      <c r="E135" s="18"/>
      <c r="F135" s="18"/>
      <c r="G135" s="18"/>
      <c r="H135" s="25"/>
      <c r="I135" s="3" t="s">
        <v>18</v>
      </c>
      <c r="J135" s="11"/>
      <c r="K135" s="11"/>
      <c r="L135" s="11"/>
      <c r="M135" s="11"/>
      <c r="N135" s="11"/>
      <c r="O135" s="11"/>
    </row>
    <row r="136" spans="1:15" ht="15" thickBot="1" x14ac:dyDescent="0.4">
      <c r="A136" t="str">
        <f t="shared" ref="A136" si="104">IF(LEFT(G134,2)="FC",LEFT(G134,5),LEFT(G134,4))</f>
        <v>13O8</v>
      </c>
      <c r="B136" t="str">
        <f t="shared" si="101"/>
        <v>CPAC East</v>
      </c>
      <c r="C136" s="18"/>
      <c r="D136" s="18"/>
      <c r="E136" s="18"/>
      <c r="F136" s="18"/>
      <c r="G136" s="18"/>
      <c r="H136" s="25"/>
      <c r="I136" s="5" t="s">
        <v>19</v>
      </c>
      <c r="J136" s="11"/>
      <c r="K136" s="11"/>
      <c r="L136" s="11"/>
      <c r="M136" s="11"/>
      <c r="N136" s="11"/>
      <c r="O136" s="11"/>
    </row>
    <row r="137" spans="1:15" ht="15" thickBot="1" x14ac:dyDescent="0.4">
      <c r="A137" t="str">
        <f t="shared" ref="A137" si="105">IF(LEFT(G134,2)="FC",LEFT(G134,5),LEFT(G134,4))</f>
        <v>13O8</v>
      </c>
      <c r="B137" t="str">
        <f t="shared" si="101"/>
        <v>CPAC East</v>
      </c>
      <c r="C137" s="18"/>
      <c r="D137" s="18"/>
      <c r="E137" s="18"/>
      <c r="F137" s="18"/>
      <c r="G137" s="18"/>
      <c r="H137" s="25"/>
      <c r="I137" s="3" t="s">
        <v>20</v>
      </c>
      <c r="J137" s="11"/>
      <c r="K137" s="11"/>
      <c r="L137" s="11"/>
      <c r="M137" s="11"/>
      <c r="N137" s="11"/>
      <c r="O137" s="11"/>
    </row>
    <row r="138" spans="1:15" ht="15" thickBot="1" x14ac:dyDescent="0.4">
      <c r="A138" t="str">
        <f t="shared" ref="A138" si="106">IF(LEFT(G134,2)="FC",LEFT(G134,5),LEFT(G134,4))</f>
        <v>13O8</v>
      </c>
      <c r="B138" t="str">
        <f t="shared" si="101"/>
        <v>CPAC East</v>
      </c>
      <c r="C138" s="18"/>
      <c r="D138" s="18"/>
      <c r="E138" s="18"/>
      <c r="F138" s="18"/>
      <c r="G138" s="18"/>
      <c r="H138" s="25"/>
      <c r="I138" s="5" t="s">
        <v>21</v>
      </c>
      <c r="J138" s="11"/>
      <c r="K138" s="11"/>
      <c r="L138" s="11"/>
      <c r="M138" s="11"/>
      <c r="N138" s="11"/>
      <c r="O138" s="11"/>
    </row>
    <row r="139" spans="1:15" ht="15" thickBot="1" x14ac:dyDescent="0.4">
      <c r="A139" t="str">
        <f t="shared" ref="A139" si="107">IF(LEFT(G134,2)="FC",LEFT(G134,5),LEFT(G134,4))</f>
        <v>13O8</v>
      </c>
      <c r="B139" t="str">
        <f t="shared" si="101"/>
        <v>CPAC East</v>
      </c>
      <c r="C139" s="19"/>
      <c r="D139" s="19"/>
      <c r="E139" s="19"/>
      <c r="F139" s="19"/>
      <c r="G139" s="19"/>
      <c r="H139" s="26"/>
      <c r="I139" s="3" t="s">
        <v>22</v>
      </c>
      <c r="J139" s="11" t="s">
        <v>46</v>
      </c>
      <c r="K139" s="11" t="s">
        <v>46</v>
      </c>
      <c r="L139" s="11" t="s">
        <v>46</v>
      </c>
      <c r="M139" s="11" t="s">
        <v>46</v>
      </c>
      <c r="N139" s="11" t="s">
        <v>45</v>
      </c>
      <c r="O139" s="11" t="s">
        <v>45</v>
      </c>
    </row>
    <row r="140" spans="1:15" ht="15" thickBot="1" x14ac:dyDescent="0.4">
      <c r="B140" t="str">
        <f t="shared" si="101"/>
        <v>CPAC East</v>
      </c>
      <c r="C140" s="16"/>
      <c r="D140" s="16"/>
      <c r="E140" s="16"/>
      <c r="F140" s="16"/>
      <c r="G140" s="16" t="s">
        <v>61</v>
      </c>
      <c r="H140" s="24" t="s">
        <v>30</v>
      </c>
      <c r="I140" s="1"/>
      <c r="J140" s="1"/>
      <c r="K140" s="1"/>
      <c r="L140" s="1"/>
      <c r="M140" s="1"/>
      <c r="N140" s="1"/>
      <c r="O140" s="1"/>
    </row>
    <row r="141" spans="1:15" ht="15" thickBot="1" x14ac:dyDescent="0.4">
      <c r="A141" t="str">
        <f t="shared" ref="A141:A172" si="108">IF(LEFT(G140,2)="FC",LEFT(G140,5),LEFT(G140,4))</f>
        <v>31IH</v>
      </c>
      <c r="B141" t="str">
        <f t="shared" si="101"/>
        <v>CPAC East</v>
      </c>
      <c r="C141" s="18"/>
      <c r="D141" s="18"/>
      <c r="E141" s="18"/>
      <c r="F141" s="18"/>
      <c r="G141" s="18"/>
      <c r="H141" s="25"/>
      <c r="I141" s="3" t="s">
        <v>18</v>
      </c>
      <c r="J141" s="4">
        <v>30</v>
      </c>
      <c r="K141" s="4">
        <v>30</v>
      </c>
      <c r="L141" s="4">
        <v>30</v>
      </c>
      <c r="M141" s="11"/>
      <c r="N141" s="11"/>
      <c r="O141" s="11"/>
    </row>
    <row r="142" spans="1:15" ht="15" thickBot="1" x14ac:dyDescent="0.4">
      <c r="A142" t="str">
        <f t="shared" ref="A142" si="109">IF(LEFT(G140,2)="FC",LEFT(G140,5),LEFT(G140,4))</f>
        <v>31IH</v>
      </c>
      <c r="B142" t="str">
        <f t="shared" si="101"/>
        <v>CPAC East</v>
      </c>
      <c r="C142" s="18"/>
      <c r="D142" s="18"/>
      <c r="E142" s="18"/>
      <c r="F142" s="18"/>
      <c r="G142" s="18"/>
      <c r="H142" s="25"/>
      <c r="I142" s="5" t="s">
        <v>19</v>
      </c>
      <c r="J142" s="6">
        <v>61</v>
      </c>
      <c r="K142" s="8">
        <v>44</v>
      </c>
      <c r="L142" s="9">
        <v>107</v>
      </c>
      <c r="M142" s="11"/>
      <c r="N142" s="11"/>
      <c r="O142" s="11"/>
    </row>
    <row r="143" spans="1:15" ht="15" thickBot="1" x14ac:dyDescent="0.4">
      <c r="A143" t="str">
        <f t="shared" ref="A143" si="110">IF(LEFT(G140,2)="FC",LEFT(G140,5),LEFT(G140,4))</f>
        <v>31IH</v>
      </c>
      <c r="B143" t="str">
        <f t="shared" si="101"/>
        <v>CPAC East</v>
      </c>
      <c r="C143" s="18"/>
      <c r="D143" s="18"/>
      <c r="E143" s="18"/>
      <c r="F143" s="18"/>
      <c r="G143" s="18"/>
      <c r="H143" s="25"/>
      <c r="I143" s="3" t="s">
        <v>20</v>
      </c>
      <c r="J143" s="9">
        <v>32.5</v>
      </c>
      <c r="K143" s="9">
        <v>29</v>
      </c>
      <c r="L143" s="6">
        <v>41.8</v>
      </c>
      <c r="M143" s="11"/>
      <c r="N143" s="11"/>
      <c r="O143" s="11"/>
    </row>
    <row r="144" spans="1:15" ht="15" thickBot="1" x14ac:dyDescent="0.4">
      <c r="A144" t="str">
        <f t="shared" ref="A144" si="111">IF(LEFT(G140,2)="FC",LEFT(G140,5),LEFT(G140,4))</f>
        <v>31IH</v>
      </c>
      <c r="B144" t="str">
        <f t="shared" si="101"/>
        <v>CPAC East</v>
      </c>
      <c r="C144" s="18"/>
      <c r="D144" s="18"/>
      <c r="E144" s="18"/>
      <c r="F144" s="18"/>
      <c r="G144" s="18"/>
      <c r="H144" s="25"/>
      <c r="I144" s="5" t="s">
        <v>21</v>
      </c>
      <c r="J144" s="9">
        <v>0.62</v>
      </c>
      <c r="K144" s="8">
        <v>0.51</v>
      </c>
      <c r="L144" s="10">
        <v>0.86</v>
      </c>
      <c r="M144" s="11"/>
      <c r="N144" s="11"/>
      <c r="O144" s="11"/>
    </row>
    <row r="145" spans="1:15" ht="15" thickBot="1" x14ac:dyDescent="0.4">
      <c r="A145" t="str">
        <f t="shared" ref="A145" si="112">IF(LEFT(G140,2)="FC",LEFT(G140,5),LEFT(G140,4))</f>
        <v>31IH</v>
      </c>
      <c r="B145" t="str">
        <f t="shared" si="101"/>
        <v>CPAC East</v>
      </c>
      <c r="C145" s="19"/>
      <c r="D145" s="19"/>
      <c r="E145" s="19"/>
      <c r="F145" s="19"/>
      <c r="G145" s="19"/>
      <c r="H145" s="26"/>
      <c r="I145" s="3" t="s">
        <v>22</v>
      </c>
      <c r="J145" s="11"/>
      <c r="K145" s="11"/>
      <c r="L145" s="10" t="s">
        <v>24</v>
      </c>
      <c r="M145" s="11" t="s">
        <v>31</v>
      </c>
      <c r="N145" s="11" t="s">
        <v>31</v>
      </c>
      <c r="O145" s="11" t="s">
        <v>31</v>
      </c>
    </row>
    <row r="146" spans="1:15" ht="15" thickBot="1" x14ac:dyDescent="0.4">
      <c r="B146" t="str">
        <f t="shared" si="101"/>
        <v>CPAC East</v>
      </c>
      <c r="C146" s="16"/>
      <c r="D146" s="16"/>
      <c r="E146" s="16"/>
      <c r="F146" s="16"/>
      <c r="G146" s="16" t="s">
        <v>62</v>
      </c>
      <c r="H146" s="27" t="s">
        <v>34</v>
      </c>
      <c r="I146" s="1"/>
      <c r="J146" s="1"/>
      <c r="K146" s="1"/>
      <c r="L146" s="1"/>
      <c r="M146" s="1"/>
      <c r="N146" s="1"/>
      <c r="O146" s="1"/>
    </row>
    <row r="147" spans="1:15" ht="15" thickBot="1" x14ac:dyDescent="0.4">
      <c r="A147" t="str">
        <f t="shared" ref="A147:A178" si="113">IF(LEFT(G146,2)="FC",LEFT(G146,5),LEFT(G146,4))</f>
        <v>FC410</v>
      </c>
      <c r="B147" t="str">
        <f t="shared" si="101"/>
        <v>CPAC East</v>
      </c>
      <c r="C147" s="18"/>
      <c r="D147" s="18"/>
      <c r="E147" s="18"/>
      <c r="F147" s="18"/>
      <c r="G147" s="18"/>
      <c r="H147" s="28"/>
      <c r="I147" s="3" t="s">
        <v>18</v>
      </c>
      <c r="J147" s="4">
        <v>39</v>
      </c>
      <c r="K147" s="4">
        <v>73</v>
      </c>
      <c r="L147" s="4">
        <v>90</v>
      </c>
      <c r="M147" s="4">
        <v>75</v>
      </c>
      <c r="N147" s="4">
        <v>43</v>
      </c>
      <c r="O147" s="4">
        <v>45</v>
      </c>
    </row>
    <row r="148" spans="1:15" ht="15" thickBot="1" x14ac:dyDescent="0.4">
      <c r="A148" t="str">
        <f t="shared" ref="A148" si="114">IF(LEFT(G146,2)="FC",LEFT(G146,5),LEFT(G146,4))</f>
        <v>FC410</v>
      </c>
      <c r="B148" t="str">
        <f t="shared" si="101"/>
        <v>CPAC East</v>
      </c>
      <c r="C148" s="18"/>
      <c r="D148" s="18"/>
      <c r="E148" s="18"/>
      <c r="F148" s="18"/>
      <c r="G148" s="18"/>
      <c r="H148" s="28"/>
      <c r="I148" s="5" t="s">
        <v>19</v>
      </c>
      <c r="J148" s="7">
        <v>73</v>
      </c>
      <c r="K148" s="8">
        <v>30</v>
      </c>
      <c r="L148" s="6">
        <v>54</v>
      </c>
      <c r="M148" s="6">
        <v>57</v>
      </c>
      <c r="N148" s="6">
        <v>56</v>
      </c>
      <c r="O148" s="8">
        <v>39</v>
      </c>
    </row>
    <row r="149" spans="1:15" ht="15" thickBot="1" x14ac:dyDescent="0.4">
      <c r="A149" t="str">
        <f t="shared" ref="A149" si="115">IF(LEFT(G146,2)="FC",LEFT(G146,5),LEFT(G146,4))</f>
        <v>FC410</v>
      </c>
      <c r="B149" t="str">
        <f t="shared" si="101"/>
        <v>CPAC East</v>
      </c>
      <c r="C149" s="18"/>
      <c r="D149" s="18"/>
      <c r="E149" s="18"/>
      <c r="F149" s="18"/>
      <c r="G149" s="18"/>
      <c r="H149" s="28"/>
      <c r="I149" s="3" t="s">
        <v>20</v>
      </c>
      <c r="J149" s="7">
        <v>35.4</v>
      </c>
      <c r="K149" s="6">
        <v>46.1</v>
      </c>
      <c r="L149" s="9">
        <v>30.1</v>
      </c>
      <c r="M149" s="9">
        <v>30.8</v>
      </c>
      <c r="N149" s="10">
        <v>25.6</v>
      </c>
      <c r="O149" s="9">
        <v>31.1</v>
      </c>
    </row>
    <row r="150" spans="1:15" ht="15" thickBot="1" x14ac:dyDescent="0.4">
      <c r="A150" t="str">
        <f t="shared" ref="A150" si="116">IF(LEFT(G146,2)="FC",LEFT(G146,5),LEFT(G146,4))</f>
        <v>FC410</v>
      </c>
      <c r="B150" t="str">
        <f t="shared" si="101"/>
        <v>CPAC East</v>
      </c>
      <c r="C150" s="18"/>
      <c r="D150" s="18"/>
      <c r="E150" s="18"/>
      <c r="F150" s="18"/>
      <c r="G150" s="18"/>
      <c r="H150" s="28"/>
      <c r="I150" s="5" t="s">
        <v>21</v>
      </c>
      <c r="J150" s="9">
        <v>0.68</v>
      </c>
      <c r="K150" s="8">
        <v>0.22</v>
      </c>
      <c r="L150" s="9">
        <v>0.59</v>
      </c>
      <c r="M150" s="9">
        <v>0.62</v>
      </c>
      <c r="N150" s="9">
        <v>0.74</v>
      </c>
      <c r="O150" s="8">
        <v>0.42</v>
      </c>
    </row>
    <row r="151" spans="1:15" ht="15" thickBot="1" x14ac:dyDescent="0.4">
      <c r="A151" t="str">
        <f t="shared" ref="A151" si="117">IF(LEFT(G146,2)="FC",LEFT(G146,5),LEFT(G146,4))</f>
        <v>FC410</v>
      </c>
      <c r="B151" t="str">
        <f t="shared" si="101"/>
        <v>CPAC East</v>
      </c>
      <c r="C151" s="19"/>
      <c r="D151" s="19"/>
      <c r="E151" s="19"/>
      <c r="F151" s="19"/>
      <c r="G151" s="19"/>
      <c r="H151" s="29"/>
      <c r="I151" s="3" t="s">
        <v>22</v>
      </c>
      <c r="J151" s="9" t="s">
        <v>25</v>
      </c>
      <c r="K151" s="11"/>
      <c r="L151" s="9" t="s">
        <v>25</v>
      </c>
      <c r="M151" s="9" t="s">
        <v>25</v>
      </c>
      <c r="N151" s="9" t="s">
        <v>25</v>
      </c>
      <c r="O151" s="11"/>
    </row>
    <row r="152" spans="1:15" ht="15" thickBot="1" x14ac:dyDescent="0.4">
      <c r="B152" t="str">
        <f t="shared" si="101"/>
        <v>CPAC East</v>
      </c>
      <c r="C152" s="16"/>
      <c r="D152" s="16"/>
      <c r="E152" s="16"/>
      <c r="F152" s="16"/>
      <c r="G152" s="16" t="s">
        <v>63</v>
      </c>
      <c r="H152" s="20" t="s">
        <v>17</v>
      </c>
      <c r="I152" s="1"/>
      <c r="J152" s="1"/>
      <c r="K152" s="1"/>
      <c r="L152" s="1"/>
      <c r="M152" s="1"/>
      <c r="N152" s="1"/>
      <c r="O152" s="1"/>
    </row>
    <row r="153" spans="1:15" ht="15" thickBot="1" x14ac:dyDescent="0.4">
      <c r="A153" t="str">
        <f t="shared" ref="A153:A184" si="118">IF(LEFT(G152,2)="FC",LEFT(G152,5),LEFT(G152,4))</f>
        <v>FC256</v>
      </c>
      <c r="B153" t="str">
        <f t="shared" si="101"/>
        <v>CPAC East</v>
      </c>
      <c r="C153" s="18"/>
      <c r="D153" s="18"/>
      <c r="E153" s="18"/>
      <c r="F153" s="18"/>
      <c r="G153" s="18"/>
      <c r="H153" s="22"/>
      <c r="I153" s="3" t="s">
        <v>18</v>
      </c>
      <c r="J153" s="4">
        <v>33</v>
      </c>
      <c r="K153" s="4">
        <v>48</v>
      </c>
      <c r="L153" s="4">
        <v>47</v>
      </c>
      <c r="M153" s="4">
        <v>31</v>
      </c>
      <c r="N153" s="4">
        <v>41</v>
      </c>
      <c r="O153" s="11"/>
    </row>
    <row r="154" spans="1:15" ht="15" thickBot="1" x14ac:dyDescent="0.4">
      <c r="A154" t="str">
        <f t="shared" ref="A154" si="119">IF(LEFT(G152,2)="FC",LEFT(G152,5),LEFT(G152,4))</f>
        <v>FC256</v>
      </c>
      <c r="B154" t="str">
        <f t="shared" si="101"/>
        <v>CPAC East</v>
      </c>
      <c r="C154" s="18"/>
      <c r="D154" s="18"/>
      <c r="E154" s="18"/>
      <c r="F154" s="18"/>
      <c r="G154" s="18"/>
      <c r="H154" s="22"/>
      <c r="I154" s="5" t="s">
        <v>19</v>
      </c>
      <c r="J154" s="6">
        <v>55</v>
      </c>
      <c r="K154" s="8">
        <v>29</v>
      </c>
      <c r="L154" s="6">
        <v>68</v>
      </c>
      <c r="M154" s="6">
        <v>64</v>
      </c>
      <c r="N154" s="9">
        <v>93</v>
      </c>
      <c r="O154" s="11"/>
    </row>
    <row r="155" spans="1:15" ht="15" thickBot="1" x14ac:dyDescent="0.4">
      <c r="A155" t="str">
        <f t="shared" ref="A155" si="120">IF(LEFT(G152,2)="FC",LEFT(G152,5),LEFT(G152,4))</f>
        <v>FC256</v>
      </c>
      <c r="B155" t="str">
        <f t="shared" si="101"/>
        <v>CPAC East</v>
      </c>
      <c r="C155" s="18"/>
      <c r="D155" s="18"/>
      <c r="E155" s="18"/>
      <c r="F155" s="18"/>
      <c r="G155" s="18"/>
      <c r="H155" s="22"/>
      <c r="I155" s="3" t="s">
        <v>20</v>
      </c>
      <c r="J155" s="8">
        <v>51.5</v>
      </c>
      <c r="K155" s="9">
        <v>34</v>
      </c>
      <c r="L155" s="9">
        <v>34.299999999999997</v>
      </c>
      <c r="M155" s="7">
        <v>37.200000000000003</v>
      </c>
      <c r="N155" s="8">
        <v>50.8</v>
      </c>
      <c r="O155" s="11"/>
    </row>
    <row r="156" spans="1:15" ht="15" thickBot="1" x14ac:dyDescent="0.4">
      <c r="A156" t="str">
        <f t="shared" ref="A156" si="121">IF(LEFT(G152,2)="FC",LEFT(G152,5),LEFT(G152,4))</f>
        <v>FC256</v>
      </c>
      <c r="B156" t="str">
        <f t="shared" si="101"/>
        <v>CPAC East</v>
      </c>
      <c r="C156" s="18"/>
      <c r="D156" s="18"/>
      <c r="E156" s="18"/>
      <c r="F156" s="18"/>
      <c r="G156" s="18"/>
      <c r="H156" s="22"/>
      <c r="I156" s="5" t="s">
        <v>21</v>
      </c>
      <c r="J156" s="8">
        <v>0.35</v>
      </c>
      <c r="K156" s="8">
        <v>0.28000000000000003</v>
      </c>
      <c r="L156" s="9">
        <v>0.66</v>
      </c>
      <c r="M156" s="9">
        <v>0.56999999999999995</v>
      </c>
      <c r="N156" s="9">
        <v>0.61</v>
      </c>
      <c r="O156" s="11"/>
    </row>
    <row r="157" spans="1:15" ht="15" thickBot="1" x14ac:dyDescent="0.4">
      <c r="A157" t="str">
        <f t="shared" ref="A157" si="122">IF(LEFT(G152,2)="FC",LEFT(G152,5),LEFT(G152,4))</f>
        <v>FC256</v>
      </c>
      <c r="B157" t="str">
        <f t="shared" si="101"/>
        <v>CPAC East</v>
      </c>
      <c r="C157" s="19"/>
      <c r="D157" s="19"/>
      <c r="E157" s="19"/>
      <c r="F157" s="19"/>
      <c r="G157" s="19"/>
      <c r="H157" s="23"/>
      <c r="I157" s="3" t="s">
        <v>22</v>
      </c>
      <c r="J157" s="8" t="s">
        <v>23</v>
      </c>
      <c r="K157" s="8" t="s">
        <v>23</v>
      </c>
      <c r="L157" s="9" t="s">
        <v>25</v>
      </c>
      <c r="M157" s="9" t="s">
        <v>25</v>
      </c>
      <c r="N157" s="9" t="s">
        <v>25</v>
      </c>
      <c r="O157" s="11" t="s">
        <v>27</v>
      </c>
    </row>
    <row r="158" spans="1:15" ht="15" thickBot="1" x14ac:dyDescent="0.4">
      <c r="B158" t="str">
        <f t="shared" si="101"/>
        <v>CPAC East</v>
      </c>
      <c r="C158" s="16"/>
      <c r="D158" s="16"/>
      <c r="E158" s="16"/>
      <c r="F158" s="16"/>
      <c r="G158" s="16" t="s">
        <v>64</v>
      </c>
      <c r="H158" s="20" t="s">
        <v>17</v>
      </c>
      <c r="I158" s="1"/>
      <c r="J158" s="1"/>
      <c r="K158" s="1"/>
      <c r="L158" s="1"/>
      <c r="M158" s="1"/>
      <c r="N158" s="1"/>
      <c r="O158" s="1"/>
    </row>
    <row r="159" spans="1:15" ht="15" thickBot="1" x14ac:dyDescent="0.4">
      <c r="A159" t="str">
        <f t="shared" ref="A159:A190" si="123">IF(LEFT(G158,2)="FC",LEFT(G158,5),LEFT(G158,4))</f>
        <v>FC228</v>
      </c>
      <c r="B159" t="str">
        <f t="shared" si="101"/>
        <v>CPAC East</v>
      </c>
      <c r="C159" s="18"/>
      <c r="D159" s="18"/>
      <c r="E159" s="18"/>
      <c r="F159" s="18"/>
      <c r="G159" s="18"/>
      <c r="H159" s="22"/>
      <c r="I159" s="3" t="s">
        <v>18</v>
      </c>
      <c r="J159" s="4">
        <v>31</v>
      </c>
      <c r="K159" s="4">
        <v>36</v>
      </c>
      <c r="L159" s="4">
        <v>39</v>
      </c>
      <c r="M159" s="4">
        <v>39</v>
      </c>
      <c r="N159" s="4">
        <v>51</v>
      </c>
      <c r="O159" s="4">
        <v>41</v>
      </c>
    </row>
    <row r="160" spans="1:15" ht="15" thickBot="1" x14ac:dyDescent="0.4">
      <c r="A160" t="str">
        <f t="shared" ref="A160" si="124">IF(LEFT(G158,2)="FC",LEFT(G158,5),LEFT(G158,4))</f>
        <v>FC228</v>
      </c>
      <c r="B160" t="str">
        <f t="shared" si="101"/>
        <v>CPAC East</v>
      </c>
      <c r="C160" s="18"/>
      <c r="D160" s="18"/>
      <c r="E160" s="18"/>
      <c r="F160" s="18"/>
      <c r="G160" s="18"/>
      <c r="H160" s="22"/>
      <c r="I160" s="5" t="s">
        <v>19</v>
      </c>
      <c r="J160" s="7">
        <v>73</v>
      </c>
      <c r="K160" s="7">
        <v>80</v>
      </c>
      <c r="L160" s="6">
        <v>63</v>
      </c>
      <c r="M160" s="7">
        <v>70</v>
      </c>
      <c r="N160" s="6">
        <v>66</v>
      </c>
      <c r="O160" s="8">
        <v>39</v>
      </c>
    </row>
    <row r="161" spans="1:15" ht="15" thickBot="1" x14ac:dyDescent="0.4">
      <c r="A161" t="str">
        <f t="shared" ref="A161" si="125">IF(LEFT(G158,2)="FC",LEFT(G158,5),LEFT(G158,4))</f>
        <v>FC228</v>
      </c>
      <c r="B161" t="str">
        <f t="shared" si="101"/>
        <v>CPAC East</v>
      </c>
      <c r="C161" s="18"/>
      <c r="D161" s="18"/>
      <c r="E161" s="18"/>
      <c r="F161" s="18"/>
      <c r="G161" s="18"/>
      <c r="H161" s="22"/>
      <c r="I161" s="3" t="s">
        <v>20</v>
      </c>
      <c r="J161" s="10">
        <v>27.9</v>
      </c>
      <c r="K161" s="6">
        <v>42.5</v>
      </c>
      <c r="L161" s="10">
        <v>27.6</v>
      </c>
      <c r="M161" s="7">
        <v>41.6</v>
      </c>
      <c r="N161" s="7">
        <v>40.1</v>
      </c>
      <c r="O161" s="8">
        <v>50</v>
      </c>
    </row>
    <row r="162" spans="1:15" ht="15" thickBot="1" x14ac:dyDescent="0.4">
      <c r="A162" t="str">
        <f t="shared" ref="A162" si="126">IF(LEFT(G158,2)="FC",LEFT(G158,5),LEFT(G158,4))</f>
        <v>FC228</v>
      </c>
      <c r="B162" t="str">
        <f t="shared" si="101"/>
        <v>CPAC East</v>
      </c>
      <c r="C162" s="18"/>
      <c r="D162" s="18"/>
      <c r="E162" s="18"/>
      <c r="F162" s="18"/>
      <c r="G162" s="18"/>
      <c r="H162" s="22"/>
      <c r="I162" s="5" t="s">
        <v>21</v>
      </c>
      <c r="J162" s="10">
        <v>0.87</v>
      </c>
      <c r="K162" s="9">
        <v>0.63</v>
      </c>
      <c r="L162" s="9">
        <v>0.76</v>
      </c>
      <c r="M162" s="9">
        <v>0.56000000000000005</v>
      </c>
      <c r="N162" s="9">
        <v>0.55000000000000004</v>
      </c>
      <c r="O162" s="8">
        <v>0.26</v>
      </c>
    </row>
    <row r="163" spans="1:15" ht="15" thickBot="1" x14ac:dyDescent="0.4">
      <c r="A163" t="str">
        <f t="shared" ref="A163" si="127">IF(LEFT(G158,2)="FC",LEFT(G158,5),LEFT(G158,4))</f>
        <v>FC228</v>
      </c>
      <c r="B163" t="str">
        <f t="shared" si="101"/>
        <v>CPAC East</v>
      </c>
      <c r="C163" s="19"/>
      <c r="D163" s="19"/>
      <c r="E163" s="19"/>
      <c r="F163" s="19"/>
      <c r="G163" s="19"/>
      <c r="H163" s="23"/>
      <c r="I163" s="3" t="s">
        <v>22</v>
      </c>
      <c r="J163" s="11"/>
      <c r="K163" s="9" t="s">
        <v>25</v>
      </c>
      <c r="L163" s="9" t="s">
        <v>25</v>
      </c>
      <c r="M163" s="9" t="s">
        <v>25</v>
      </c>
      <c r="N163" s="9" t="s">
        <v>25</v>
      </c>
      <c r="O163" s="8" t="s">
        <v>23</v>
      </c>
    </row>
    <row r="164" spans="1:15" ht="15" thickBot="1" x14ac:dyDescent="0.4">
      <c r="B164" t="str">
        <f t="shared" si="101"/>
        <v>CPAC East</v>
      </c>
      <c r="C164" s="16"/>
      <c r="D164" s="16"/>
      <c r="E164" s="16"/>
      <c r="F164" s="16"/>
      <c r="G164" s="16" t="s">
        <v>65</v>
      </c>
      <c r="H164" s="20" t="s">
        <v>17</v>
      </c>
      <c r="I164" s="1"/>
      <c r="J164" s="1"/>
      <c r="K164" s="1"/>
      <c r="L164" s="1"/>
      <c r="M164" s="1"/>
      <c r="N164" s="1"/>
      <c r="O164" s="1"/>
    </row>
    <row r="165" spans="1:15" ht="15" thickBot="1" x14ac:dyDescent="0.4">
      <c r="A165" t="str">
        <f t="shared" ref="A165:A196" si="128">IF(LEFT(G164,2)="FC",LEFT(G164,5),LEFT(G164,4))</f>
        <v>FC388</v>
      </c>
      <c r="B165" t="str">
        <f t="shared" si="101"/>
        <v>CPAC East</v>
      </c>
      <c r="C165" s="18"/>
      <c r="D165" s="18"/>
      <c r="E165" s="18"/>
      <c r="F165" s="18"/>
      <c r="G165" s="18"/>
      <c r="H165" s="22"/>
      <c r="I165" s="3" t="s">
        <v>18</v>
      </c>
      <c r="J165" s="4">
        <v>36</v>
      </c>
      <c r="K165" s="4">
        <v>33</v>
      </c>
      <c r="L165" s="4">
        <v>36</v>
      </c>
      <c r="M165" s="4">
        <v>30</v>
      </c>
      <c r="N165" s="8">
        <v>15</v>
      </c>
      <c r="O165" s="4">
        <v>36</v>
      </c>
    </row>
    <row r="166" spans="1:15" ht="15" thickBot="1" x14ac:dyDescent="0.4">
      <c r="A166" t="str">
        <f t="shared" ref="A166" si="129">IF(LEFT(G164,2)="FC",LEFT(G164,5),LEFT(G164,4))</f>
        <v>FC388</v>
      </c>
      <c r="B166" t="str">
        <f t="shared" si="101"/>
        <v>CPAC East</v>
      </c>
      <c r="C166" s="18"/>
      <c r="D166" s="18"/>
      <c r="E166" s="18"/>
      <c r="F166" s="18"/>
      <c r="G166" s="18"/>
      <c r="H166" s="22"/>
      <c r="I166" s="5" t="s">
        <v>19</v>
      </c>
      <c r="J166" s="7">
        <v>79</v>
      </c>
      <c r="K166" s="8">
        <v>46</v>
      </c>
      <c r="L166" s="7">
        <v>77</v>
      </c>
      <c r="M166" s="6">
        <v>60</v>
      </c>
      <c r="N166" s="7">
        <v>70</v>
      </c>
      <c r="O166" s="8">
        <v>36</v>
      </c>
    </row>
    <row r="167" spans="1:15" ht="15" thickBot="1" x14ac:dyDescent="0.4">
      <c r="A167" t="str">
        <f t="shared" ref="A167" si="130">IF(LEFT(G164,2)="FC",LEFT(G164,5),LEFT(G164,4))</f>
        <v>FC388</v>
      </c>
      <c r="B167" t="str">
        <f t="shared" si="101"/>
        <v>CPAC East</v>
      </c>
      <c r="C167" s="18"/>
      <c r="D167" s="18"/>
      <c r="E167" s="18"/>
      <c r="F167" s="18"/>
      <c r="G167" s="18"/>
      <c r="H167" s="22"/>
      <c r="I167" s="3" t="s">
        <v>20</v>
      </c>
      <c r="J167" s="7">
        <v>35</v>
      </c>
      <c r="K167" s="9">
        <v>32.799999999999997</v>
      </c>
      <c r="L167" s="9">
        <v>34.299999999999997</v>
      </c>
      <c r="M167" s="9">
        <v>34.200000000000003</v>
      </c>
      <c r="N167" s="9">
        <v>33.1</v>
      </c>
      <c r="O167" s="10">
        <v>26.4</v>
      </c>
    </row>
    <row r="168" spans="1:15" ht="15" thickBot="1" x14ac:dyDescent="0.4">
      <c r="A168" t="str">
        <f t="shared" ref="A168" si="131">IF(LEFT(G164,2)="FC",LEFT(G164,5),LEFT(G164,4))</f>
        <v>FC388</v>
      </c>
      <c r="B168" t="str">
        <f t="shared" si="101"/>
        <v>CPAC East</v>
      </c>
      <c r="C168" s="18"/>
      <c r="D168" s="18"/>
      <c r="E168" s="18"/>
      <c r="F168" s="18"/>
      <c r="G168" s="18"/>
      <c r="H168" s="22"/>
      <c r="I168" s="5" t="s">
        <v>21</v>
      </c>
      <c r="J168" s="9">
        <v>0.75</v>
      </c>
      <c r="K168" s="8">
        <v>0.47</v>
      </c>
      <c r="L168" s="9">
        <v>0.75</v>
      </c>
      <c r="M168" s="9">
        <v>0.57999999999999996</v>
      </c>
      <c r="N168" s="9">
        <v>0.71</v>
      </c>
      <c r="O168" s="8">
        <v>0.45</v>
      </c>
    </row>
    <row r="169" spans="1:15" ht="15" thickBot="1" x14ac:dyDescent="0.4">
      <c r="A169" t="str">
        <f t="shared" ref="A169" si="132">IF(LEFT(G164,2)="FC",LEFT(G164,5),LEFT(G164,4))</f>
        <v>FC388</v>
      </c>
      <c r="B169" t="str">
        <f t="shared" si="101"/>
        <v>CPAC East</v>
      </c>
      <c r="C169" s="19"/>
      <c r="D169" s="19"/>
      <c r="E169" s="19"/>
      <c r="F169" s="19"/>
      <c r="G169" s="19"/>
      <c r="H169" s="23"/>
      <c r="I169" s="3" t="s">
        <v>22</v>
      </c>
      <c r="J169" s="10" t="s">
        <v>24</v>
      </c>
      <c r="K169" s="8" t="s">
        <v>23</v>
      </c>
      <c r="L169" s="10" t="s">
        <v>24</v>
      </c>
      <c r="M169" s="9" t="s">
        <v>25</v>
      </c>
      <c r="N169" s="9" t="s">
        <v>25</v>
      </c>
      <c r="O169" s="8" t="s">
        <v>23</v>
      </c>
    </row>
    <row r="170" spans="1:15" ht="15" thickBot="1" x14ac:dyDescent="0.4">
      <c r="B170" t="str">
        <f t="shared" si="101"/>
        <v>CPAC East</v>
      </c>
      <c r="C170" s="16"/>
      <c r="D170" s="16"/>
      <c r="E170" s="16"/>
      <c r="F170" s="16" t="s">
        <v>66</v>
      </c>
      <c r="G170" s="16" t="s">
        <v>67</v>
      </c>
      <c r="H170" s="24" t="s">
        <v>30</v>
      </c>
      <c r="I170" s="1"/>
      <c r="J170" s="1"/>
      <c r="K170" s="1"/>
      <c r="L170" s="1"/>
      <c r="M170" s="1"/>
      <c r="N170" s="1"/>
      <c r="O170" s="1"/>
    </row>
    <row r="171" spans="1:15" ht="15" thickBot="1" x14ac:dyDescent="0.4">
      <c r="A171" t="str">
        <f t="shared" ref="A171:A202" si="133">IF(LEFT(G170,2)="FC",LEFT(G170,5),LEFT(G170,4))</f>
        <v>13QY</v>
      </c>
      <c r="B171" t="str">
        <f t="shared" si="101"/>
        <v>CPAC East</v>
      </c>
      <c r="C171" s="18"/>
      <c r="D171" s="18"/>
      <c r="E171" s="18"/>
      <c r="F171" s="18"/>
      <c r="G171" s="18"/>
      <c r="H171" s="25"/>
      <c r="I171" s="3" t="s">
        <v>18</v>
      </c>
      <c r="J171" s="11"/>
      <c r="K171" s="11"/>
      <c r="L171" s="11"/>
      <c r="M171" s="11"/>
      <c r="N171" s="11"/>
      <c r="O171" s="11"/>
    </row>
    <row r="172" spans="1:15" ht="15" thickBot="1" x14ac:dyDescent="0.4">
      <c r="A172" t="str">
        <f t="shared" ref="A172" si="134">IF(LEFT(G170,2)="FC",LEFT(G170,5),LEFT(G170,4))</f>
        <v>13QY</v>
      </c>
      <c r="B172" t="str">
        <f t="shared" si="101"/>
        <v>CPAC East</v>
      </c>
      <c r="C172" s="18"/>
      <c r="D172" s="18"/>
      <c r="E172" s="18"/>
      <c r="F172" s="18"/>
      <c r="G172" s="18"/>
      <c r="H172" s="25"/>
      <c r="I172" s="5" t="s">
        <v>19</v>
      </c>
      <c r="J172" s="11"/>
      <c r="K172" s="11"/>
      <c r="L172" s="11"/>
      <c r="M172" s="11"/>
      <c r="N172" s="11"/>
      <c r="O172" s="11"/>
    </row>
    <row r="173" spans="1:15" ht="15" thickBot="1" x14ac:dyDescent="0.4">
      <c r="A173" t="str">
        <f t="shared" ref="A173" si="135">IF(LEFT(G170,2)="FC",LEFT(G170,5),LEFT(G170,4))</f>
        <v>13QY</v>
      </c>
      <c r="B173" t="str">
        <f t="shared" si="101"/>
        <v>CPAC East</v>
      </c>
      <c r="C173" s="18"/>
      <c r="D173" s="18"/>
      <c r="E173" s="18"/>
      <c r="F173" s="18"/>
      <c r="G173" s="18"/>
      <c r="H173" s="25"/>
      <c r="I173" s="3" t="s">
        <v>20</v>
      </c>
      <c r="J173" s="11"/>
      <c r="K173" s="11"/>
      <c r="L173" s="11"/>
      <c r="M173" s="11"/>
      <c r="N173" s="11"/>
      <c r="O173" s="11"/>
    </row>
    <row r="174" spans="1:15" ht="15" thickBot="1" x14ac:dyDescent="0.4">
      <c r="A174" t="str">
        <f t="shared" ref="A174" si="136">IF(LEFT(G170,2)="FC",LEFT(G170,5),LEFT(G170,4))</f>
        <v>13QY</v>
      </c>
      <c r="B174" t="str">
        <f t="shared" si="101"/>
        <v>CPAC East</v>
      </c>
      <c r="C174" s="18"/>
      <c r="D174" s="18"/>
      <c r="E174" s="18"/>
      <c r="F174" s="18"/>
      <c r="G174" s="18"/>
      <c r="H174" s="25"/>
      <c r="I174" s="5" t="s">
        <v>21</v>
      </c>
      <c r="J174" s="11"/>
      <c r="K174" s="11"/>
      <c r="L174" s="11"/>
      <c r="M174" s="11"/>
      <c r="N174" s="11"/>
      <c r="O174" s="11"/>
    </row>
    <row r="175" spans="1:15" ht="15" thickBot="1" x14ac:dyDescent="0.4">
      <c r="A175" t="str">
        <f t="shared" ref="A175" si="137">IF(LEFT(G170,2)="FC",LEFT(G170,5),LEFT(G170,4))</f>
        <v>13QY</v>
      </c>
      <c r="B175" t="str">
        <f t="shared" si="101"/>
        <v>CPAC East</v>
      </c>
      <c r="C175" s="19"/>
      <c r="D175" s="19"/>
      <c r="E175" s="19"/>
      <c r="F175" s="19"/>
      <c r="G175" s="19"/>
      <c r="H175" s="26"/>
      <c r="I175" s="3" t="s">
        <v>22</v>
      </c>
      <c r="J175" s="11" t="s">
        <v>46</v>
      </c>
      <c r="K175" s="11" t="s">
        <v>46</v>
      </c>
      <c r="L175" s="11" t="s">
        <v>46</v>
      </c>
      <c r="M175" s="11" t="s">
        <v>46</v>
      </c>
      <c r="N175" s="11" t="s">
        <v>46</v>
      </c>
      <c r="O175" s="11" t="s">
        <v>46</v>
      </c>
    </row>
    <row r="176" spans="1:15" ht="15" thickBot="1" x14ac:dyDescent="0.4">
      <c r="B176" t="str">
        <f t="shared" si="101"/>
        <v>CPAC East</v>
      </c>
      <c r="C176" s="16"/>
      <c r="D176" s="16"/>
      <c r="E176" s="16"/>
      <c r="F176" s="16"/>
      <c r="G176" s="16" t="s">
        <v>68</v>
      </c>
      <c r="H176" s="30" t="s">
        <v>39</v>
      </c>
      <c r="I176" s="1"/>
      <c r="J176" s="1"/>
      <c r="K176" s="1"/>
      <c r="L176" s="1"/>
      <c r="M176" s="1"/>
      <c r="N176" s="1"/>
      <c r="O176" s="1"/>
    </row>
    <row r="177" spans="1:15" ht="15" thickBot="1" x14ac:dyDescent="0.4">
      <c r="A177" t="str">
        <f t="shared" ref="A177:A208" si="138">IF(LEFT(G176,2)="FC",LEFT(G176,5),LEFT(G176,4))</f>
        <v>FC068</v>
      </c>
      <c r="B177" t="str">
        <f t="shared" si="101"/>
        <v>CPAC East</v>
      </c>
      <c r="C177" s="18"/>
      <c r="D177" s="18"/>
      <c r="E177" s="18"/>
      <c r="F177" s="18"/>
      <c r="G177" s="18"/>
      <c r="H177" s="31"/>
      <c r="I177" s="3" t="s">
        <v>18</v>
      </c>
      <c r="J177" s="4">
        <v>74</v>
      </c>
      <c r="K177" s="4">
        <v>37</v>
      </c>
      <c r="L177" s="4">
        <v>36</v>
      </c>
      <c r="M177" s="4">
        <v>33</v>
      </c>
      <c r="N177" s="4">
        <v>44</v>
      </c>
      <c r="O177" s="4">
        <v>31</v>
      </c>
    </row>
    <row r="178" spans="1:15" ht="15" thickBot="1" x14ac:dyDescent="0.4">
      <c r="A178" t="str">
        <f t="shared" ref="A178" si="139">IF(LEFT(G176,2)="FC",LEFT(G176,5),LEFT(G176,4))</f>
        <v>FC068</v>
      </c>
      <c r="B178" t="str">
        <f t="shared" si="101"/>
        <v>CPAC East</v>
      </c>
      <c r="C178" s="18"/>
      <c r="D178" s="18"/>
      <c r="E178" s="18"/>
      <c r="F178" s="18"/>
      <c r="G178" s="18"/>
      <c r="H178" s="31"/>
      <c r="I178" s="5" t="s">
        <v>19</v>
      </c>
      <c r="J178" s="9">
        <v>98</v>
      </c>
      <c r="K178" s="7">
        <v>90</v>
      </c>
      <c r="L178" s="9">
        <v>123</v>
      </c>
      <c r="M178" s="9">
        <v>93</v>
      </c>
      <c r="N178" s="7">
        <v>81</v>
      </c>
      <c r="O178" s="6">
        <v>62</v>
      </c>
    </row>
    <row r="179" spans="1:15" ht="15" thickBot="1" x14ac:dyDescent="0.4">
      <c r="A179" t="str">
        <f t="shared" ref="A179" si="140">IF(LEFT(G176,2)="FC",LEFT(G176,5),LEFT(G176,4))</f>
        <v>FC068</v>
      </c>
      <c r="B179" t="str">
        <f t="shared" si="101"/>
        <v>CPAC East</v>
      </c>
      <c r="C179" s="18"/>
      <c r="D179" s="18"/>
      <c r="E179" s="18"/>
      <c r="F179" s="18"/>
      <c r="G179" s="18"/>
      <c r="H179" s="31"/>
      <c r="I179" s="3" t="s">
        <v>20</v>
      </c>
      <c r="J179" s="8">
        <v>72.2</v>
      </c>
      <c r="K179" s="10">
        <v>28.4</v>
      </c>
      <c r="L179" s="10">
        <v>15.6</v>
      </c>
      <c r="M179" s="10">
        <v>15.8</v>
      </c>
      <c r="N179" s="10">
        <v>28.2</v>
      </c>
      <c r="O179" s="10">
        <v>8.9</v>
      </c>
    </row>
    <row r="180" spans="1:15" ht="15" thickBot="1" x14ac:dyDescent="0.4">
      <c r="A180" t="str">
        <f t="shared" ref="A180" si="141">IF(LEFT(G176,2)="FC",LEFT(G176,5),LEFT(G176,4))</f>
        <v>FC068</v>
      </c>
      <c r="B180" t="str">
        <f t="shared" si="101"/>
        <v>CPAC East</v>
      </c>
      <c r="C180" s="18"/>
      <c r="D180" s="18"/>
      <c r="E180" s="18"/>
      <c r="F180" s="18"/>
      <c r="G180" s="18"/>
      <c r="H180" s="31"/>
      <c r="I180" s="5" t="s">
        <v>21</v>
      </c>
      <c r="J180" s="8">
        <v>0.45</v>
      </c>
      <c r="K180" s="10">
        <v>1.06</v>
      </c>
      <c r="L180" s="10">
        <v>2.62</v>
      </c>
      <c r="M180" s="10">
        <v>1.96</v>
      </c>
      <c r="N180" s="10">
        <v>0.96</v>
      </c>
      <c r="O180" s="10">
        <v>2.34</v>
      </c>
    </row>
    <row r="181" spans="1:15" ht="15" thickBot="1" x14ac:dyDescent="0.4">
      <c r="A181" t="str">
        <f t="shared" ref="A181" si="142">IF(LEFT(G176,2)="FC",LEFT(G176,5),LEFT(G176,4))</f>
        <v>FC068</v>
      </c>
      <c r="B181" t="str">
        <f t="shared" si="101"/>
        <v>CPAC East</v>
      </c>
      <c r="C181" s="19"/>
      <c r="D181" s="19"/>
      <c r="E181" s="19"/>
      <c r="F181" s="19"/>
      <c r="G181" s="19"/>
      <c r="H181" s="32"/>
      <c r="I181" s="3" t="s">
        <v>22</v>
      </c>
      <c r="J181" s="8" t="s">
        <v>23</v>
      </c>
      <c r="K181" s="11"/>
      <c r="L181" s="10" t="s">
        <v>24</v>
      </c>
      <c r="M181" s="10" t="s">
        <v>24</v>
      </c>
      <c r="N181" s="10" t="s">
        <v>24</v>
      </c>
      <c r="O181" s="10" t="s">
        <v>24</v>
      </c>
    </row>
    <row r="182" spans="1:15" ht="15" thickBot="1" x14ac:dyDescent="0.4">
      <c r="B182" t="str">
        <f t="shared" si="101"/>
        <v>CPAC East</v>
      </c>
      <c r="C182" s="16"/>
      <c r="D182" s="16"/>
      <c r="E182" s="16"/>
      <c r="F182" s="16"/>
      <c r="G182" s="16" t="s">
        <v>69</v>
      </c>
      <c r="H182" s="24" t="s">
        <v>30</v>
      </c>
      <c r="I182" s="1"/>
      <c r="J182" s="1"/>
      <c r="K182" s="1"/>
      <c r="L182" s="1"/>
      <c r="M182" s="1"/>
      <c r="N182" s="1"/>
      <c r="O182" s="1"/>
    </row>
    <row r="183" spans="1:15" ht="15" thickBot="1" x14ac:dyDescent="0.4">
      <c r="A183" t="str">
        <f t="shared" ref="A183:A214" si="143">IF(LEFT(G182,2)="FC",LEFT(G182,5),LEFT(G182,4))</f>
        <v>FC117</v>
      </c>
      <c r="B183" t="str">
        <f t="shared" si="101"/>
        <v>CPAC East</v>
      </c>
      <c r="C183" s="18"/>
      <c r="D183" s="18"/>
      <c r="E183" s="18"/>
      <c r="F183" s="18"/>
      <c r="G183" s="18"/>
      <c r="H183" s="25"/>
      <c r="I183" s="3" t="s">
        <v>18</v>
      </c>
      <c r="J183" s="11"/>
      <c r="K183" s="11"/>
      <c r="L183" s="11"/>
      <c r="M183" s="11"/>
      <c r="N183" s="11"/>
      <c r="O183" s="11"/>
    </row>
    <row r="184" spans="1:15" ht="15" thickBot="1" x14ac:dyDescent="0.4">
      <c r="A184" t="str">
        <f t="shared" ref="A184" si="144">IF(LEFT(G182,2)="FC",LEFT(G182,5),LEFT(G182,4))</f>
        <v>FC117</v>
      </c>
      <c r="B184" t="str">
        <f t="shared" si="101"/>
        <v>CPAC East</v>
      </c>
      <c r="C184" s="18"/>
      <c r="D184" s="18"/>
      <c r="E184" s="18"/>
      <c r="F184" s="18"/>
      <c r="G184" s="18"/>
      <c r="H184" s="25"/>
      <c r="I184" s="5" t="s">
        <v>19</v>
      </c>
      <c r="J184" s="11"/>
      <c r="K184" s="11"/>
      <c r="L184" s="11"/>
      <c r="M184" s="11"/>
      <c r="N184" s="11"/>
      <c r="O184" s="11"/>
    </row>
    <row r="185" spans="1:15" ht="15" thickBot="1" x14ac:dyDescent="0.4">
      <c r="A185" t="str">
        <f t="shared" ref="A185" si="145">IF(LEFT(G182,2)="FC",LEFT(G182,5),LEFT(G182,4))</f>
        <v>FC117</v>
      </c>
      <c r="B185" t="str">
        <f t="shared" si="101"/>
        <v>CPAC East</v>
      </c>
      <c r="C185" s="18"/>
      <c r="D185" s="18"/>
      <c r="E185" s="18"/>
      <c r="F185" s="18"/>
      <c r="G185" s="18"/>
      <c r="H185" s="25"/>
      <c r="I185" s="3" t="s">
        <v>20</v>
      </c>
      <c r="J185" s="11"/>
      <c r="K185" s="11"/>
      <c r="L185" s="11"/>
      <c r="M185" s="11"/>
      <c r="N185" s="11"/>
      <c r="O185" s="11"/>
    </row>
    <row r="186" spans="1:15" ht="15" thickBot="1" x14ac:dyDescent="0.4">
      <c r="A186" t="str">
        <f t="shared" ref="A186" si="146">IF(LEFT(G182,2)="FC",LEFT(G182,5),LEFT(G182,4))</f>
        <v>FC117</v>
      </c>
      <c r="B186" t="str">
        <f t="shared" si="101"/>
        <v>CPAC East</v>
      </c>
      <c r="C186" s="18"/>
      <c r="D186" s="18"/>
      <c r="E186" s="18"/>
      <c r="F186" s="18"/>
      <c r="G186" s="18"/>
      <c r="H186" s="25"/>
      <c r="I186" s="5" t="s">
        <v>21</v>
      </c>
      <c r="J186" s="11"/>
      <c r="K186" s="11"/>
      <c r="L186" s="11"/>
      <c r="M186" s="11"/>
      <c r="N186" s="11"/>
      <c r="O186" s="11"/>
    </row>
    <row r="187" spans="1:15" ht="15" thickBot="1" x14ac:dyDescent="0.4">
      <c r="A187" t="str">
        <f t="shared" ref="A187" si="147">IF(LEFT(G182,2)="FC",LEFT(G182,5),LEFT(G182,4))</f>
        <v>FC117</v>
      </c>
      <c r="B187" t="str">
        <f t="shared" si="101"/>
        <v>CPAC East</v>
      </c>
      <c r="C187" s="19"/>
      <c r="D187" s="19"/>
      <c r="E187" s="19"/>
      <c r="F187" s="19"/>
      <c r="G187" s="19"/>
      <c r="H187" s="26"/>
      <c r="I187" s="3" t="s">
        <v>22</v>
      </c>
      <c r="J187" s="11" t="s">
        <v>45</v>
      </c>
      <c r="K187" s="11" t="s">
        <v>45</v>
      </c>
      <c r="L187" s="11" t="s">
        <v>31</v>
      </c>
      <c r="M187" s="11" t="s">
        <v>45</v>
      </c>
      <c r="N187" s="11" t="s">
        <v>45</v>
      </c>
      <c r="O187" s="11" t="s">
        <v>45</v>
      </c>
    </row>
    <row r="188" spans="1:15" ht="15" thickBot="1" x14ac:dyDescent="0.4">
      <c r="B188" t="str">
        <f t="shared" si="101"/>
        <v>CPAC East</v>
      </c>
      <c r="C188" s="16"/>
      <c r="D188" s="16"/>
      <c r="E188" s="16"/>
      <c r="F188" s="16"/>
      <c r="G188" s="16" t="s">
        <v>70</v>
      </c>
      <c r="H188" s="27" t="s">
        <v>34</v>
      </c>
      <c r="I188" s="1"/>
      <c r="J188" s="1"/>
      <c r="K188" s="1"/>
      <c r="L188" s="1"/>
      <c r="M188" s="1"/>
      <c r="N188" s="1"/>
      <c r="O188" s="1"/>
    </row>
    <row r="189" spans="1:15" ht="15" thickBot="1" x14ac:dyDescent="0.4">
      <c r="A189" t="str">
        <f t="shared" ref="A189:A220" si="148">IF(LEFT(G188,2)="FC",LEFT(G188,5),LEFT(G188,4))</f>
        <v>FC169</v>
      </c>
      <c r="B189" t="str">
        <f t="shared" si="101"/>
        <v>CPAC East</v>
      </c>
      <c r="C189" s="18"/>
      <c r="D189" s="18"/>
      <c r="E189" s="18"/>
      <c r="F189" s="18"/>
      <c r="G189" s="18"/>
      <c r="H189" s="28"/>
      <c r="I189" s="3" t="s">
        <v>18</v>
      </c>
      <c r="J189" s="4">
        <v>70</v>
      </c>
      <c r="K189" s="4">
        <v>30</v>
      </c>
      <c r="L189" s="8">
        <v>18</v>
      </c>
      <c r="M189" s="4">
        <v>36</v>
      </c>
      <c r="N189" s="4">
        <v>39</v>
      </c>
      <c r="O189" s="4">
        <v>34</v>
      </c>
    </row>
    <row r="190" spans="1:15" ht="15" thickBot="1" x14ac:dyDescent="0.4">
      <c r="A190" t="str">
        <f t="shared" ref="A190" si="149">IF(LEFT(G188,2)="FC",LEFT(G188,5),LEFT(G188,4))</f>
        <v>FC169</v>
      </c>
      <c r="B190" t="str">
        <f t="shared" si="101"/>
        <v>CPAC East</v>
      </c>
      <c r="C190" s="18"/>
      <c r="D190" s="18"/>
      <c r="E190" s="18"/>
      <c r="F190" s="18"/>
      <c r="G190" s="18"/>
      <c r="H190" s="28"/>
      <c r="I190" s="5" t="s">
        <v>19</v>
      </c>
      <c r="J190" s="9">
        <v>150</v>
      </c>
      <c r="K190" s="6">
        <v>66</v>
      </c>
      <c r="L190" s="9">
        <v>115</v>
      </c>
      <c r="M190" s="7">
        <v>90</v>
      </c>
      <c r="N190" s="7">
        <v>78</v>
      </c>
      <c r="O190" s="6">
        <v>63</v>
      </c>
    </row>
    <row r="191" spans="1:15" ht="15" thickBot="1" x14ac:dyDescent="0.4">
      <c r="A191" t="str">
        <f t="shared" ref="A191" si="150">IF(LEFT(G188,2)="FC",LEFT(G188,5),LEFT(G188,4))</f>
        <v>FC169</v>
      </c>
      <c r="B191" t="str">
        <f t="shared" si="101"/>
        <v>CPAC East</v>
      </c>
      <c r="C191" s="18"/>
      <c r="D191" s="18"/>
      <c r="E191" s="18"/>
      <c r="F191" s="18"/>
      <c r="G191" s="18"/>
      <c r="H191" s="28"/>
      <c r="I191" s="3" t="s">
        <v>20</v>
      </c>
      <c r="J191" s="8">
        <v>65.7</v>
      </c>
      <c r="K191" s="10">
        <v>27.6</v>
      </c>
      <c r="L191" s="9">
        <v>30.5</v>
      </c>
      <c r="M191" s="10">
        <v>17.5</v>
      </c>
      <c r="N191" s="10">
        <v>27.1</v>
      </c>
      <c r="O191" s="10">
        <v>12.2</v>
      </c>
    </row>
    <row r="192" spans="1:15" ht="15" thickBot="1" x14ac:dyDescent="0.4">
      <c r="A192" t="str">
        <f t="shared" ref="A192" si="151">IF(LEFT(G188,2)="FC",LEFT(G188,5),LEFT(G188,4))</f>
        <v>FC169</v>
      </c>
      <c r="B192" t="str">
        <f t="shared" si="101"/>
        <v>CPAC East</v>
      </c>
      <c r="C192" s="18"/>
      <c r="D192" s="18"/>
      <c r="E192" s="18"/>
      <c r="F192" s="18"/>
      <c r="G192" s="18"/>
      <c r="H192" s="28"/>
      <c r="I192" s="5" t="s">
        <v>21</v>
      </c>
      <c r="J192" s="9">
        <v>0.76</v>
      </c>
      <c r="K192" s="10">
        <v>0.79</v>
      </c>
      <c r="L192" s="10">
        <v>1.26</v>
      </c>
      <c r="M192" s="10">
        <v>1.71</v>
      </c>
      <c r="N192" s="10">
        <v>0.95</v>
      </c>
      <c r="O192" s="10">
        <v>1.72</v>
      </c>
    </row>
    <row r="193" spans="1:15" ht="15" thickBot="1" x14ac:dyDescent="0.4">
      <c r="A193" t="str">
        <f t="shared" ref="A193" si="152">IF(LEFT(G188,2)="FC",LEFT(G188,5),LEFT(G188,4))</f>
        <v>FC169</v>
      </c>
      <c r="B193" t="str">
        <f t="shared" si="101"/>
        <v>CPAC East</v>
      </c>
      <c r="C193" s="19"/>
      <c r="D193" s="19"/>
      <c r="E193" s="19"/>
      <c r="F193" s="19"/>
      <c r="G193" s="19"/>
      <c r="H193" s="29"/>
      <c r="I193" s="3" t="s">
        <v>22</v>
      </c>
      <c r="J193" s="10" t="s">
        <v>24</v>
      </c>
      <c r="K193" s="10" t="s">
        <v>24</v>
      </c>
      <c r="L193" s="10" t="s">
        <v>24</v>
      </c>
      <c r="M193" s="11"/>
      <c r="N193" s="10" t="s">
        <v>24</v>
      </c>
      <c r="O193" s="10" t="s">
        <v>24</v>
      </c>
    </row>
    <row r="194" spans="1:15" ht="15" thickBot="1" x14ac:dyDescent="0.4">
      <c r="B194" t="str">
        <f t="shared" si="101"/>
        <v>CPAC East</v>
      </c>
      <c r="C194" s="16"/>
      <c r="D194" s="16"/>
      <c r="E194" s="16"/>
      <c r="F194" s="16"/>
      <c r="G194" s="16" t="s">
        <v>71</v>
      </c>
      <c r="H194" s="24" t="s">
        <v>30</v>
      </c>
      <c r="I194" s="1"/>
      <c r="J194" s="1"/>
      <c r="K194" s="1"/>
      <c r="L194" s="1"/>
      <c r="M194" s="1"/>
      <c r="N194" s="1"/>
      <c r="O194" s="1"/>
    </row>
    <row r="195" spans="1:15" ht="15" thickBot="1" x14ac:dyDescent="0.4">
      <c r="A195" t="str">
        <f t="shared" ref="A195:A226" si="153">IF(LEFT(G194,2)="FC",LEFT(G194,5),LEFT(G194,4))</f>
        <v>FC307</v>
      </c>
      <c r="B195" t="str">
        <f t="shared" si="101"/>
        <v>CPAC East</v>
      </c>
      <c r="C195" s="18"/>
      <c r="D195" s="18"/>
      <c r="E195" s="18"/>
      <c r="F195" s="18"/>
      <c r="G195" s="18"/>
      <c r="H195" s="25"/>
      <c r="I195" s="3" t="s">
        <v>18</v>
      </c>
      <c r="J195" s="11"/>
      <c r="K195" s="11"/>
      <c r="L195" s="11"/>
      <c r="M195" s="11"/>
      <c r="N195" s="11"/>
      <c r="O195" s="11"/>
    </row>
    <row r="196" spans="1:15" ht="15" thickBot="1" x14ac:dyDescent="0.4">
      <c r="A196" t="str">
        <f t="shared" ref="A196" si="154">IF(LEFT(G194,2)="FC",LEFT(G194,5),LEFT(G194,4))</f>
        <v>FC307</v>
      </c>
      <c r="B196" t="str">
        <f t="shared" ref="B196:B259" si="155">$D$2</f>
        <v>CPAC East</v>
      </c>
      <c r="C196" s="18"/>
      <c r="D196" s="18"/>
      <c r="E196" s="18"/>
      <c r="F196" s="18"/>
      <c r="G196" s="18"/>
      <c r="H196" s="25"/>
      <c r="I196" s="5" t="s">
        <v>19</v>
      </c>
      <c r="J196" s="11"/>
      <c r="K196" s="11"/>
      <c r="L196" s="11"/>
      <c r="M196" s="11"/>
      <c r="N196" s="11"/>
      <c r="O196" s="11"/>
    </row>
    <row r="197" spans="1:15" ht="15" thickBot="1" x14ac:dyDescent="0.4">
      <c r="A197" t="str">
        <f t="shared" ref="A197" si="156">IF(LEFT(G194,2)="FC",LEFT(G194,5),LEFT(G194,4))</f>
        <v>FC307</v>
      </c>
      <c r="B197" t="str">
        <f t="shared" si="155"/>
        <v>CPAC East</v>
      </c>
      <c r="C197" s="18"/>
      <c r="D197" s="18"/>
      <c r="E197" s="18"/>
      <c r="F197" s="18"/>
      <c r="G197" s="18"/>
      <c r="H197" s="25"/>
      <c r="I197" s="3" t="s">
        <v>20</v>
      </c>
      <c r="J197" s="11"/>
      <c r="K197" s="11"/>
      <c r="L197" s="11"/>
      <c r="M197" s="11"/>
      <c r="N197" s="11"/>
      <c r="O197" s="11"/>
    </row>
    <row r="198" spans="1:15" ht="15" thickBot="1" x14ac:dyDescent="0.4">
      <c r="A198" t="str">
        <f t="shared" ref="A198" si="157">IF(LEFT(G194,2)="FC",LEFT(G194,5),LEFT(G194,4))</f>
        <v>FC307</v>
      </c>
      <c r="B198" t="str">
        <f t="shared" si="155"/>
        <v>CPAC East</v>
      </c>
      <c r="C198" s="18"/>
      <c r="D198" s="18"/>
      <c r="E198" s="18"/>
      <c r="F198" s="18"/>
      <c r="G198" s="18"/>
      <c r="H198" s="25"/>
      <c r="I198" s="5" t="s">
        <v>21</v>
      </c>
      <c r="J198" s="11"/>
      <c r="K198" s="11"/>
      <c r="L198" s="11"/>
      <c r="M198" s="11"/>
      <c r="N198" s="11"/>
      <c r="O198" s="11"/>
    </row>
    <row r="199" spans="1:15" ht="15" thickBot="1" x14ac:dyDescent="0.4">
      <c r="A199" t="str">
        <f t="shared" ref="A199" si="158">IF(LEFT(G194,2)="FC",LEFT(G194,5),LEFT(G194,4))</f>
        <v>FC307</v>
      </c>
      <c r="B199" t="str">
        <f t="shared" si="155"/>
        <v>CPAC East</v>
      </c>
      <c r="C199" s="19"/>
      <c r="D199" s="19"/>
      <c r="E199" s="19"/>
      <c r="F199" s="19"/>
      <c r="G199" s="19"/>
      <c r="H199" s="26"/>
      <c r="I199" s="3" t="s">
        <v>22</v>
      </c>
      <c r="J199" s="11" t="s">
        <v>46</v>
      </c>
      <c r="K199" s="11" t="s">
        <v>46</v>
      </c>
      <c r="L199" s="11" t="s">
        <v>46</v>
      </c>
      <c r="M199" s="11" t="s">
        <v>46</v>
      </c>
      <c r="N199" s="11" t="s">
        <v>46</v>
      </c>
      <c r="O199" s="11" t="s">
        <v>46</v>
      </c>
    </row>
    <row r="200" spans="1:15" ht="15" thickBot="1" x14ac:dyDescent="0.4">
      <c r="B200" t="str">
        <f t="shared" si="155"/>
        <v>CPAC East</v>
      </c>
      <c r="C200" s="16"/>
      <c r="D200" s="16"/>
      <c r="E200" s="16"/>
      <c r="F200" s="16"/>
      <c r="G200" s="16" t="s">
        <v>72</v>
      </c>
      <c r="H200" s="27" t="s">
        <v>34</v>
      </c>
      <c r="I200" s="1"/>
      <c r="J200" s="1"/>
      <c r="K200" s="1"/>
      <c r="L200" s="1"/>
      <c r="M200" s="1"/>
      <c r="N200" s="1"/>
      <c r="O200" s="1"/>
    </row>
    <row r="201" spans="1:15" ht="15" thickBot="1" x14ac:dyDescent="0.4">
      <c r="A201" t="str">
        <f t="shared" ref="A201:A232" si="159">IF(LEFT(G200,2)="FC",LEFT(G200,5),LEFT(G200,4))</f>
        <v>FC273</v>
      </c>
      <c r="B201" t="str">
        <f t="shared" si="155"/>
        <v>CPAC East</v>
      </c>
      <c r="C201" s="18"/>
      <c r="D201" s="18"/>
      <c r="E201" s="18"/>
      <c r="F201" s="18"/>
      <c r="G201" s="18"/>
      <c r="H201" s="28"/>
      <c r="I201" s="3" t="s">
        <v>18</v>
      </c>
      <c r="J201" s="8">
        <v>20</v>
      </c>
      <c r="K201" s="8">
        <v>15</v>
      </c>
      <c r="L201" s="4">
        <v>42</v>
      </c>
      <c r="M201" s="4">
        <v>33</v>
      </c>
      <c r="N201" s="4">
        <v>50</v>
      </c>
      <c r="O201" s="4">
        <v>30</v>
      </c>
    </row>
    <row r="202" spans="1:15" ht="15" thickBot="1" x14ac:dyDescent="0.4">
      <c r="A202" t="str">
        <f t="shared" ref="A202" si="160">IF(LEFT(G200,2)="FC",LEFT(G200,5),LEFT(G200,4))</f>
        <v>FC273</v>
      </c>
      <c r="B202" t="str">
        <f t="shared" si="155"/>
        <v>CPAC East</v>
      </c>
      <c r="C202" s="18"/>
      <c r="D202" s="18"/>
      <c r="E202" s="18"/>
      <c r="F202" s="18"/>
      <c r="G202" s="18"/>
      <c r="H202" s="28"/>
      <c r="I202" s="5" t="s">
        <v>19</v>
      </c>
      <c r="J202" s="6">
        <v>57</v>
      </c>
      <c r="K202" s="6">
        <v>66</v>
      </c>
      <c r="L202" s="9">
        <v>92</v>
      </c>
      <c r="M202" s="6">
        <v>58</v>
      </c>
      <c r="N202" s="6">
        <v>64</v>
      </c>
      <c r="O202" s="6">
        <v>62</v>
      </c>
    </row>
    <row r="203" spans="1:15" ht="15" thickBot="1" x14ac:dyDescent="0.4">
      <c r="A203" t="str">
        <f t="shared" ref="A203" si="161">IF(LEFT(G200,2)="FC",LEFT(G200,5),LEFT(G200,4))</f>
        <v>FC273</v>
      </c>
      <c r="B203" t="str">
        <f t="shared" si="155"/>
        <v>CPAC East</v>
      </c>
      <c r="C203" s="18"/>
      <c r="D203" s="18"/>
      <c r="E203" s="18"/>
      <c r="F203" s="18"/>
      <c r="G203" s="18"/>
      <c r="H203" s="28"/>
      <c r="I203" s="3" t="s">
        <v>20</v>
      </c>
      <c r="J203" s="9">
        <v>33.700000000000003</v>
      </c>
      <c r="K203" s="10">
        <v>23.5</v>
      </c>
      <c r="L203" s="10">
        <v>19.5</v>
      </c>
      <c r="M203" s="10">
        <v>23.7</v>
      </c>
      <c r="N203" s="10">
        <v>24.3</v>
      </c>
      <c r="O203" s="10">
        <v>9.6999999999999993</v>
      </c>
    </row>
    <row r="204" spans="1:15" ht="15" thickBot="1" x14ac:dyDescent="0.4">
      <c r="A204" t="str">
        <f t="shared" ref="A204" si="162">IF(LEFT(G200,2)="FC",LEFT(G200,5),LEFT(G200,4))</f>
        <v>FC273</v>
      </c>
      <c r="B204" t="str">
        <f t="shared" si="155"/>
        <v>CPAC East</v>
      </c>
      <c r="C204" s="18"/>
      <c r="D204" s="18"/>
      <c r="E204" s="18"/>
      <c r="F204" s="18"/>
      <c r="G204" s="18"/>
      <c r="H204" s="28"/>
      <c r="I204" s="5" t="s">
        <v>21</v>
      </c>
      <c r="J204" s="9">
        <v>0.56000000000000005</v>
      </c>
      <c r="K204" s="10">
        <v>0.94</v>
      </c>
      <c r="L204" s="10">
        <v>1.57</v>
      </c>
      <c r="M204" s="10">
        <v>0.82</v>
      </c>
      <c r="N204" s="10">
        <v>0.87</v>
      </c>
      <c r="O204" s="10">
        <v>2.13</v>
      </c>
    </row>
    <row r="205" spans="1:15" ht="15" thickBot="1" x14ac:dyDescent="0.4">
      <c r="A205" t="str">
        <f t="shared" ref="A205" si="163">IF(LEFT(G200,2)="FC",LEFT(G200,5),LEFT(G200,4))</f>
        <v>FC273</v>
      </c>
      <c r="B205" t="str">
        <f t="shared" si="155"/>
        <v>CPAC East</v>
      </c>
      <c r="C205" s="19"/>
      <c r="D205" s="19"/>
      <c r="E205" s="19"/>
      <c r="F205" s="19"/>
      <c r="G205" s="19"/>
      <c r="H205" s="29"/>
      <c r="I205" s="3" t="s">
        <v>22</v>
      </c>
      <c r="J205" s="9" t="s">
        <v>25</v>
      </c>
      <c r="K205" s="10" t="s">
        <v>24</v>
      </c>
      <c r="L205" s="11"/>
      <c r="M205" s="9" t="s">
        <v>25</v>
      </c>
      <c r="N205" s="10" t="s">
        <v>24</v>
      </c>
      <c r="O205" s="10" t="s">
        <v>24</v>
      </c>
    </row>
    <row r="206" spans="1:15" ht="15" thickBot="1" x14ac:dyDescent="0.4">
      <c r="B206" t="str">
        <f t="shared" si="155"/>
        <v>CPAC East</v>
      </c>
      <c r="C206" s="16"/>
      <c r="D206" s="16"/>
      <c r="E206" s="16"/>
      <c r="F206" s="16"/>
      <c r="G206" s="16" t="s">
        <v>73</v>
      </c>
      <c r="H206" s="24" t="s">
        <v>30</v>
      </c>
      <c r="I206" s="1"/>
      <c r="J206" s="1"/>
      <c r="K206" s="1"/>
      <c r="L206" s="1"/>
      <c r="M206" s="1"/>
      <c r="N206" s="1"/>
      <c r="O206" s="1"/>
    </row>
    <row r="207" spans="1:15" ht="15" thickBot="1" x14ac:dyDescent="0.4">
      <c r="A207" t="str">
        <f t="shared" ref="A207:A238" si="164">IF(LEFT(G206,2)="FC",LEFT(G206,5),LEFT(G206,4))</f>
        <v>FC284</v>
      </c>
      <c r="B207" t="str">
        <f t="shared" si="155"/>
        <v>CPAC East</v>
      </c>
      <c r="C207" s="18"/>
      <c r="D207" s="18"/>
      <c r="E207" s="18"/>
      <c r="F207" s="18"/>
      <c r="G207" s="18"/>
      <c r="H207" s="25"/>
      <c r="I207" s="3" t="s">
        <v>18</v>
      </c>
      <c r="J207" s="11"/>
      <c r="K207" s="11"/>
      <c r="L207" s="11"/>
      <c r="M207" s="11"/>
      <c r="N207" s="11"/>
      <c r="O207" s="11"/>
    </row>
    <row r="208" spans="1:15" ht="15" thickBot="1" x14ac:dyDescent="0.4">
      <c r="A208" t="str">
        <f t="shared" ref="A208" si="165">IF(LEFT(G206,2)="FC",LEFT(G206,5),LEFT(G206,4))</f>
        <v>FC284</v>
      </c>
      <c r="B208" t="str">
        <f t="shared" si="155"/>
        <v>CPAC East</v>
      </c>
      <c r="C208" s="18"/>
      <c r="D208" s="18"/>
      <c r="E208" s="18"/>
      <c r="F208" s="18"/>
      <c r="G208" s="18"/>
      <c r="H208" s="25"/>
      <c r="I208" s="5" t="s">
        <v>19</v>
      </c>
      <c r="J208" s="11"/>
      <c r="K208" s="11"/>
      <c r="L208" s="11"/>
      <c r="M208" s="11"/>
      <c r="N208" s="11"/>
      <c r="O208" s="11"/>
    </row>
    <row r="209" spans="1:15" ht="15" thickBot="1" x14ac:dyDescent="0.4">
      <c r="A209" t="str">
        <f t="shared" ref="A209" si="166">IF(LEFT(G206,2)="FC",LEFT(G206,5),LEFT(G206,4))</f>
        <v>FC284</v>
      </c>
      <c r="B209" t="str">
        <f t="shared" si="155"/>
        <v>CPAC East</v>
      </c>
      <c r="C209" s="18"/>
      <c r="D209" s="18"/>
      <c r="E209" s="18"/>
      <c r="F209" s="18"/>
      <c r="G209" s="18"/>
      <c r="H209" s="25"/>
      <c r="I209" s="3" t="s">
        <v>20</v>
      </c>
      <c r="J209" s="11"/>
      <c r="K209" s="11"/>
      <c r="L209" s="11"/>
      <c r="M209" s="11"/>
      <c r="N209" s="11"/>
      <c r="O209" s="11"/>
    </row>
    <row r="210" spans="1:15" ht="15" thickBot="1" x14ac:dyDescent="0.4">
      <c r="A210" t="str">
        <f t="shared" ref="A210" si="167">IF(LEFT(G206,2)="FC",LEFT(G206,5),LEFT(G206,4))</f>
        <v>FC284</v>
      </c>
      <c r="B210" t="str">
        <f t="shared" si="155"/>
        <v>CPAC East</v>
      </c>
      <c r="C210" s="18"/>
      <c r="D210" s="18"/>
      <c r="E210" s="18"/>
      <c r="F210" s="18"/>
      <c r="G210" s="18"/>
      <c r="H210" s="25"/>
      <c r="I210" s="5" t="s">
        <v>21</v>
      </c>
      <c r="J210" s="11"/>
      <c r="K210" s="11"/>
      <c r="L210" s="11"/>
      <c r="M210" s="11"/>
      <c r="N210" s="11"/>
      <c r="O210" s="11"/>
    </row>
    <row r="211" spans="1:15" ht="15" thickBot="1" x14ac:dyDescent="0.4">
      <c r="A211" t="str">
        <f t="shared" ref="A211" si="168">IF(LEFT(G206,2)="FC",LEFT(G206,5),LEFT(G206,4))</f>
        <v>FC284</v>
      </c>
      <c r="B211" t="str">
        <f t="shared" si="155"/>
        <v>CPAC East</v>
      </c>
      <c r="C211" s="19"/>
      <c r="D211" s="19"/>
      <c r="E211" s="19"/>
      <c r="F211" s="19"/>
      <c r="G211" s="19"/>
      <c r="H211" s="26"/>
      <c r="I211" s="3" t="s">
        <v>22</v>
      </c>
      <c r="J211" s="11" t="s">
        <v>46</v>
      </c>
      <c r="K211" s="11" t="s">
        <v>46</v>
      </c>
      <c r="L211" s="11" t="s">
        <v>46</v>
      </c>
      <c r="M211" s="11" t="s">
        <v>46</v>
      </c>
      <c r="N211" s="11" t="s">
        <v>46</v>
      </c>
      <c r="O211" s="11" t="s">
        <v>46</v>
      </c>
    </row>
    <row r="212" spans="1:15" ht="15" thickBot="1" x14ac:dyDescent="0.4">
      <c r="B212" t="str">
        <f t="shared" si="155"/>
        <v>CPAC East</v>
      </c>
      <c r="C212" s="16"/>
      <c r="D212" s="16"/>
      <c r="E212" s="16"/>
      <c r="F212" s="16"/>
      <c r="G212" s="16" t="s">
        <v>74</v>
      </c>
      <c r="H212" s="24" t="s">
        <v>30</v>
      </c>
      <c r="I212" s="1"/>
      <c r="J212" s="1"/>
      <c r="K212" s="1"/>
      <c r="L212" s="1"/>
      <c r="M212" s="1"/>
      <c r="N212" s="1"/>
      <c r="O212" s="1"/>
    </row>
    <row r="213" spans="1:15" ht="15" thickBot="1" x14ac:dyDescent="0.4">
      <c r="A213" t="str">
        <f t="shared" ref="A213:A244" si="169">IF(LEFT(G212,2)="FC",LEFT(G212,5),LEFT(G212,4))</f>
        <v>FC384</v>
      </c>
      <c r="B213" t="str">
        <f t="shared" si="155"/>
        <v>CPAC East</v>
      </c>
      <c r="C213" s="18"/>
      <c r="D213" s="18"/>
      <c r="E213" s="18"/>
      <c r="F213" s="18"/>
      <c r="G213" s="18"/>
      <c r="H213" s="25"/>
      <c r="I213" s="3" t="s">
        <v>18</v>
      </c>
      <c r="J213" s="11"/>
      <c r="K213" s="11"/>
      <c r="L213" s="11"/>
      <c r="M213" s="11"/>
      <c r="N213" s="11"/>
      <c r="O213" s="11"/>
    </row>
    <row r="214" spans="1:15" ht="15" thickBot="1" x14ac:dyDescent="0.4">
      <c r="A214" t="str">
        <f t="shared" ref="A214" si="170">IF(LEFT(G212,2)="FC",LEFT(G212,5),LEFT(G212,4))</f>
        <v>FC384</v>
      </c>
      <c r="B214" t="str">
        <f t="shared" si="155"/>
        <v>CPAC East</v>
      </c>
      <c r="C214" s="18"/>
      <c r="D214" s="18"/>
      <c r="E214" s="18"/>
      <c r="F214" s="18"/>
      <c r="G214" s="18"/>
      <c r="H214" s="25"/>
      <c r="I214" s="5" t="s">
        <v>19</v>
      </c>
      <c r="J214" s="11"/>
      <c r="K214" s="11"/>
      <c r="L214" s="11"/>
      <c r="M214" s="11"/>
      <c r="N214" s="11"/>
      <c r="O214" s="11"/>
    </row>
    <row r="215" spans="1:15" ht="15" thickBot="1" x14ac:dyDescent="0.4">
      <c r="A215" t="str">
        <f t="shared" ref="A215" si="171">IF(LEFT(G212,2)="FC",LEFT(G212,5),LEFT(G212,4))</f>
        <v>FC384</v>
      </c>
      <c r="B215" t="str">
        <f t="shared" si="155"/>
        <v>CPAC East</v>
      </c>
      <c r="C215" s="18"/>
      <c r="D215" s="18"/>
      <c r="E215" s="18"/>
      <c r="F215" s="18"/>
      <c r="G215" s="18"/>
      <c r="H215" s="25"/>
      <c r="I215" s="3" t="s">
        <v>20</v>
      </c>
      <c r="J215" s="11"/>
      <c r="K215" s="11"/>
      <c r="L215" s="11"/>
      <c r="M215" s="11"/>
      <c r="N215" s="11"/>
      <c r="O215" s="11"/>
    </row>
    <row r="216" spans="1:15" ht="15" thickBot="1" x14ac:dyDescent="0.4">
      <c r="A216" t="str">
        <f t="shared" ref="A216" si="172">IF(LEFT(G212,2)="FC",LEFT(G212,5),LEFT(G212,4))</f>
        <v>FC384</v>
      </c>
      <c r="B216" t="str">
        <f t="shared" si="155"/>
        <v>CPAC East</v>
      </c>
      <c r="C216" s="18"/>
      <c r="D216" s="18"/>
      <c r="E216" s="18"/>
      <c r="F216" s="18"/>
      <c r="G216" s="18"/>
      <c r="H216" s="25"/>
      <c r="I216" s="5" t="s">
        <v>21</v>
      </c>
      <c r="J216" s="11"/>
      <c r="K216" s="11"/>
      <c r="L216" s="11"/>
      <c r="M216" s="11"/>
      <c r="N216" s="11"/>
      <c r="O216" s="11"/>
    </row>
    <row r="217" spans="1:15" ht="15" thickBot="1" x14ac:dyDescent="0.4">
      <c r="A217" t="str">
        <f t="shared" ref="A217" si="173">IF(LEFT(G212,2)="FC",LEFT(G212,5),LEFT(G212,4))</f>
        <v>FC384</v>
      </c>
      <c r="B217" t="str">
        <f t="shared" si="155"/>
        <v>CPAC East</v>
      </c>
      <c r="C217" s="19"/>
      <c r="D217" s="19"/>
      <c r="E217" s="19"/>
      <c r="F217" s="19"/>
      <c r="G217" s="19"/>
      <c r="H217" s="26"/>
      <c r="I217" s="3" t="s">
        <v>22</v>
      </c>
      <c r="J217" s="11" t="s">
        <v>46</v>
      </c>
      <c r="K217" s="11" t="s">
        <v>46</v>
      </c>
      <c r="L217" s="11" t="s">
        <v>46</v>
      </c>
      <c r="M217" s="11" t="s">
        <v>46</v>
      </c>
      <c r="N217" s="11" t="s">
        <v>46</v>
      </c>
      <c r="O217" s="11" t="s">
        <v>46</v>
      </c>
    </row>
    <row r="218" spans="1:15" ht="15" thickBot="1" x14ac:dyDescent="0.4">
      <c r="B218" t="str">
        <f t="shared" si="155"/>
        <v>CPAC East</v>
      </c>
      <c r="C218" s="16"/>
      <c r="D218" s="16"/>
      <c r="E218" s="16" t="s">
        <v>75</v>
      </c>
      <c r="F218" s="16" t="s">
        <v>76</v>
      </c>
      <c r="G218" s="16" t="s">
        <v>77</v>
      </c>
      <c r="H218" s="24" t="s">
        <v>30</v>
      </c>
      <c r="I218" s="1"/>
      <c r="J218" s="1"/>
      <c r="K218" s="1"/>
      <c r="L218" s="1"/>
      <c r="M218" s="1"/>
      <c r="N218" s="1"/>
      <c r="O218" s="1"/>
    </row>
    <row r="219" spans="1:15" ht="15" thickBot="1" x14ac:dyDescent="0.4">
      <c r="A219" t="str">
        <f t="shared" ref="A219:A250" si="174">IF(LEFT(G218,2)="FC",LEFT(G218,5),LEFT(G218,4))</f>
        <v>13O5</v>
      </c>
      <c r="B219" t="str">
        <f t="shared" si="155"/>
        <v>CPAC East</v>
      </c>
      <c r="C219" s="18"/>
      <c r="D219" s="18"/>
      <c r="E219" s="18"/>
      <c r="F219" s="18"/>
      <c r="G219" s="18"/>
      <c r="H219" s="25"/>
      <c r="I219" s="3" t="s">
        <v>18</v>
      </c>
      <c r="J219" s="11"/>
      <c r="K219" s="11"/>
      <c r="L219" s="11"/>
      <c r="M219" s="11"/>
      <c r="N219" s="11"/>
      <c r="O219" s="11"/>
    </row>
    <row r="220" spans="1:15" ht="15" thickBot="1" x14ac:dyDescent="0.4">
      <c r="A220" t="str">
        <f t="shared" ref="A220" si="175">IF(LEFT(G218,2)="FC",LEFT(G218,5),LEFT(G218,4))</f>
        <v>13O5</v>
      </c>
      <c r="B220" t="str">
        <f t="shared" si="155"/>
        <v>CPAC East</v>
      </c>
      <c r="C220" s="18"/>
      <c r="D220" s="18"/>
      <c r="E220" s="18"/>
      <c r="F220" s="18"/>
      <c r="G220" s="18"/>
      <c r="H220" s="25"/>
      <c r="I220" s="5" t="s">
        <v>19</v>
      </c>
      <c r="J220" s="11"/>
      <c r="K220" s="11"/>
      <c r="L220" s="11"/>
      <c r="M220" s="11"/>
      <c r="N220" s="11"/>
      <c r="O220" s="11"/>
    </row>
    <row r="221" spans="1:15" ht="15" thickBot="1" x14ac:dyDescent="0.4">
      <c r="A221" t="str">
        <f t="shared" ref="A221" si="176">IF(LEFT(G218,2)="FC",LEFT(G218,5),LEFT(G218,4))</f>
        <v>13O5</v>
      </c>
      <c r="B221" t="str">
        <f t="shared" si="155"/>
        <v>CPAC East</v>
      </c>
      <c r="C221" s="18"/>
      <c r="D221" s="18"/>
      <c r="E221" s="18"/>
      <c r="F221" s="18"/>
      <c r="G221" s="18"/>
      <c r="H221" s="25"/>
      <c r="I221" s="3" t="s">
        <v>20</v>
      </c>
      <c r="J221" s="11"/>
      <c r="K221" s="11"/>
      <c r="L221" s="11"/>
      <c r="M221" s="11"/>
      <c r="N221" s="11"/>
      <c r="O221" s="11"/>
    </row>
    <row r="222" spans="1:15" ht="15" thickBot="1" x14ac:dyDescent="0.4">
      <c r="A222" t="str">
        <f t="shared" ref="A222" si="177">IF(LEFT(G218,2)="FC",LEFT(G218,5),LEFT(G218,4))</f>
        <v>13O5</v>
      </c>
      <c r="B222" t="str">
        <f t="shared" si="155"/>
        <v>CPAC East</v>
      </c>
      <c r="C222" s="18"/>
      <c r="D222" s="18"/>
      <c r="E222" s="18"/>
      <c r="F222" s="18"/>
      <c r="G222" s="18"/>
      <c r="H222" s="25"/>
      <c r="I222" s="5" t="s">
        <v>21</v>
      </c>
      <c r="J222" s="11"/>
      <c r="K222" s="11"/>
      <c r="L222" s="11"/>
      <c r="M222" s="11"/>
      <c r="N222" s="11"/>
      <c r="O222" s="11"/>
    </row>
    <row r="223" spans="1:15" ht="15" thickBot="1" x14ac:dyDescent="0.4">
      <c r="A223" t="str">
        <f t="shared" ref="A223" si="178">IF(LEFT(G218,2)="FC",LEFT(G218,5),LEFT(G218,4))</f>
        <v>13O5</v>
      </c>
      <c r="B223" t="str">
        <f t="shared" si="155"/>
        <v>CPAC East</v>
      </c>
      <c r="C223" s="19"/>
      <c r="D223" s="19"/>
      <c r="E223" s="19"/>
      <c r="F223" s="19"/>
      <c r="G223" s="19"/>
      <c r="H223" s="26"/>
      <c r="I223" s="3" t="s">
        <v>22</v>
      </c>
      <c r="J223" s="11" t="s">
        <v>31</v>
      </c>
      <c r="K223" s="11" t="s">
        <v>31</v>
      </c>
      <c r="L223" s="11" t="s">
        <v>31</v>
      </c>
      <c r="M223" s="11" t="s">
        <v>31</v>
      </c>
      <c r="N223" s="11" t="s">
        <v>31</v>
      </c>
      <c r="O223" s="11" t="s">
        <v>31</v>
      </c>
    </row>
    <row r="224" spans="1:15" ht="15" thickBot="1" x14ac:dyDescent="0.4">
      <c r="B224" t="str">
        <f t="shared" si="155"/>
        <v>CPAC East</v>
      </c>
      <c r="C224" s="16"/>
      <c r="D224" s="16"/>
      <c r="E224" s="16"/>
      <c r="F224" s="16"/>
      <c r="G224" s="16" t="s">
        <v>78</v>
      </c>
      <c r="H224" s="27" t="s">
        <v>34</v>
      </c>
      <c r="I224" s="1"/>
      <c r="J224" s="1"/>
      <c r="K224" s="1"/>
      <c r="L224" s="1"/>
      <c r="M224" s="1"/>
      <c r="N224" s="1"/>
      <c r="O224" s="1"/>
    </row>
    <row r="225" spans="1:15" ht="15" thickBot="1" x14ac:dyDescent="0.4">
      <c r="A225" t="str">
        <f t="shared" ref="A225:A256" si="179">IF(LEFT(G224,2)="FC",LEFT(G224,5),LEFT(G224,4))</f>
        <v>FC272</v>
      </c>
      <c r="B225" t="str">
        <f t="shared" si="155"/>
        <v>CPAC East</v>
      </c>
      <c r="C225" s="18"/>
      <c r="D225" s="18"/>
      <c r="E225" s="18"/>
      <c r="F225" s="18"/>
      <c r="G225" s="18"/>
      <c r="H225" s="28"/>
      <c r="I225" s="3" t="s">
        <v>18</v>
      </c>
      <c r="J225" s="4">
        <v>30</v>
      </c>
      <c r="K225" s="4">
        <v>49</v>
      </c>
      <c r="L225" s="4">
        <v>39</v>
      </c>
      <c r="M225" s="4">
        <v>33</v>
      </c>
      <c r="N225" s="4">
        <v>30</v>
      </c>
      <c r="O225" s="4">
        <v>30</v>
      </c>
    </row>
    <row r="226" spans="1:15" ht="15" thickBot="1" x14ac:dyDescent="0.4">
      <c r="A226" t="str">
        <f t="shared" ref="A226" si="180">IF(LEFT(G224,2)="FC",LEFT(G224,5),LEFT(G224,4))</f>
        <v>FC272</v>
      </c>
      <c r="B226" t="str">
        <f t="shared" si="155"/>
        <v>CPAC East</v>
      </c>
      <c r="C226" s="18"/>
      <c r="D226" s="18"/>
      <c r="E226" s="18"/>
      <c r="F226" s="18"/>
      <c r="G226" s="18"/>
      <c r="H226" s="28"/>
      <c r="I226" s="5" t="s">
        <v>19</v>
      </c>
      <c r="J226" s="8">
        <v>41</v>
      </c>
      <c r="K226" s="8">
        <v>46</v>
      </c>
      <c r="L226" s="6">
        <v>54</v>
      </c>
      <c r="M226" s="7">
        <v>79</v>
      </c>
      <c r="N226" s="8">
        <v>37</v>
      </c>
      <c r="O226" s="6">
        <v>54</v>
      </c>
    </row>
    <row r="227" spans="1:15" ht="15" thickBot="1" x14ac:dyDescent="0.4">
      <c r="A227" t="str">
        <f t="shared" ref="A227" si="181">IF(LEFT(G224,2)="FC",LEFT(G224,5),LEFT(G224,4))</f>
        <v>FC272</v>
      </c>
      <c r="B227" t="str">
        <f t="shared" si="155"/>
        <v>CPAC East</v>
      </c>
      <c r="C227" s="18"/>
      <c r="D227" s="18"/>
      <c r="E227" s="18"/>
      <c r="F227" s="18"/>
      <c r="G227" s="18"/>
      <c r="H227" s="28"/>
      <c r="I227" s="3" t="s">
        <v>20</v>
      </c>
      <c r="J227" s="10">
        <v>14.1</v>
      </c>
      <c r="K227" s="10">
        <v>21.6</v>
      </c>
      <c r="L227" s="10">
        <v>14.8</v>
      </c>
      <c r="M227" s="7">
        <v>34.700000000000003</v>
      </c>
      <c r="N227" s="10">
        <v>12.8</v>
      </c>
      <c r="O227" s="10">
        <v>21.2</v>
      </c>
    </row>
    <row r="228" spans="1:15" ht="15" thickBot="1" x14ac:dyDescent="0.4">
      <c r="A228" t="str">
        <f t="shared" ref="A228" si="182">IF(LEFT(G224,2)="FC",LEFT(G224,5),LEFT(G224,4))</f>
        <v>FC272</v>
      </c>
      <c r="B228" t="str">
        <f t="shared" si="155"/>
        <v>CPAC East</v>
      </c>
      <c r="C228" s="18"/>
      <c r="D228" s="18"/>
      <c r="E228" s="18"/>
      <c r="F228" s="18"/>
      <c r="G228" s="18"/>
      <c r="H228" s="28"/>
      <c r="I228" s="5" t="s">
        <v>21</v>
      </c>
      <c r="J228" s="10">
        <v>0.98</v>
      </c>
      <c r="K228" s="9">
        <v>0.72</v>
      </c>
      <c r="L228" s="10">
        <v>1.22</v>
      </c>
      <c r="M228" s="9">
        <v>0.75</v>
      </c>
      <c r="N228" s="10">
        <v>0.96</v>
      </c>
      <c r="O228" s="10">
        <v>0.85</v>
      </c>
    </row>
    <row r="229" spans="1:15" ht="15" thickBot="1" x14ac:dyDescent="0.4">
      <c r="A229" t="str">
        <f t="shared" ref="A229" si="183">IF(LEFT(G224,2)="FC",LEFT(G224,5),LEFT(G224,4))</f>
        <v>FC272</v>
      </c>
      <c r="B229" t="str">
        <f t="shared" si="155"/>
        <v>CPAC East</v>
      </c>
      <c r="C229" s="19"/>
      <c r="D229" s="19"/>
      <c r="E229" s="19"/>
      <c r="F229" s="19"/>
      <c r="G229" s="19"/>
      <c r="H229" s="29"/>
      <c r="I229" s="3" t="s">
        <v>22</v>
      </c>
      <c r="J229" s="9" t="s">
        <v>25</v>
      </c>
      <c r="K229" s="11"/>
      <c r="L229" s="11"/>
      <c r="M229" s="10" t="s">
        <v>24</v>
      </c>
      <c r="N229" s="9" t="s">
        <v>25</v>
      </c>
      <c r="O229" s="9" t="s">
        <v>25</v>
      </c>
    </row>
    <row r="230" spans="1:15" ht="15" thickBot="1" x14ac:dyDescent="0.4">
      <c r="B230" t="str">
        <f t="shared" si="155"/>
        <v>CPAC East</v>
      </c>
      <c r="C230" s="16"/>
      <c r="D230" s="16"/>
      <c r="E230" s="16"/>
      <c r="F230" s="16"/>
      <c r="G230" s="16" t="s">
        <v>79</v>
      </c>
      <c r="H230" s="20" t="s">
        <v>17</v>
      </c>
      <c r="I230" s="1"/>
      <c r="J230" s="1"/>
      <c r="K230" s="1"/>
      <c r="L230" s="1"/>
      <c r="M230" s="1"/>
      <c r="N230" s="1"/>
      <c r="O230" s="1"/>
    </row>
    <row r="231" spans="1:15" ht="15" thickBot="1" x14ac:dyDescent="0.4">
      <c r="A231" t="str">
        <f t="shared" ref="A231:A262" si="184">IF(LEFT(G230,2)="FC",LEFT(G230,5),LEFT(G230,4))</f>
        <v>FC402</v>
      </c>
      <c r="B231" t="str">
        <f t="shared" si="155"/>
        <v>CPAC East</v>
      </c>
      <c r="C231" s="18"/>
      <c r="D231" s="18"/>
      <c r="E231" s="18"/>
      <c r="F231" s="18"/>
      <c r="G231" s="18"/>
      <c r="H231" s="22"/>
      <c r="I231" s="3" t="s">
        <v>18</v>
      </c>
      <c r="J231" s="4">
        <v>32</v>
      </c>
      <c r="K231" s="11"/>
      <c r="L231" s="4">
        <v>30</v>
      </c>
      <c r="M231" s="11"/>
      <c r="N231" s="11"/>
      <c r="O231" s="4">
        <v>33</v>
      </c>
    </row>
    <row r="232" spans="1:15" ht="15" thickBot="1" x14ac:dyDescent="0.4">
      <c r="A232" t="str">
        <f t="shared" ref="A232" si="185">IF(LEFT(G230,2)="FC",LEFT(G230,5),LEFT(G230,4))</f>
        <v>FC402</v>
      </c>
      <c r="B232" t="str">
        <f t="shared" si="155"/>
        <v>CPAC East</v>
      </c>
      <c r="C232" s="18"/>
      <c r="D232" s="18"/>
      <c r="E232" s="18"/>
      <c r="F232" s="18"/>
      <c r="G232" s="18"/>
      <c r="H232" s="22"/>
      <c r="I232" s="5" t="s">
        <v>19</v>
      </c>
      <c r="J232" s="8">
        <v>37</v>
      </c>
      <c r="K232" s="11"/>
      <c r="L232" s="6">
        <v>50</v>
      </c>
      <c r="M232" s="11"/>
      <c r="N232" s="11"/>
      <c r="O232" s="8">
        <v>38</v>
      </c>
    </row>
    <row r="233" spans="1:15" ht="15" thickBot="1" x14ac:dyDescent="0.4">
      <c r="A233" t="str">
        <f t="shared" ref="A233" si="186">IF(LEFT(G230,2)="FC",LEFT(G230,5),LEFT(G230,4))</f>
        <v>FC402</v>
      </c>
      <c r="B233" t="str">
        <f t="shared" si="155"/>
        <v>CPAC East</v>
      </c>
      <c r="C233" s="18"/>
      <c r="D233" s="18"/>
      <c r="E233" s="18"/>
      <c r="F233" s="18"/>
      <c r="G233" s="18"/>
      <c r="H233" s="22"/>
      <c r="I233" s="3" t="s">
        <v>20</v>
      </c>
      <c r="J233" s="10">
        <v>11.6</v>
      </c>
      <c r="K233" s="11"/>
      <c r="L233" s="10">
        <v>9.9</v>
      </c>
      <c r="M233" s="11"/>
      <c r="N233" s="11"/>
      <c r="O233" s="10">
        <v>26.5</v>
      </c>
    </row>
    <row r="234" spans="1:15" ht="15" thickBot="1" x14ac:dyDescent="0.4">
      <c r="A234" t="str">
        <f t="shared" ref="A234" si="187">IF(LEFT(G230,2)="FC",LEFT(G230,5),LEFT(G230,4))</f>
        <v>FC402</v>
      </c>
      <c r="B234" t="str">
        <f t="shared" si="155"/>
        <v>CPAC East</v>
      </c>
      <c r="C234" s="18"/>
      <c r="D234" s="18"/>
      <c r="E234" s="18"/>
      <c r="F234" s="18"/>
      <c r="G234" s="18"/>
      <c r="H234" s="22"/>
      <c r="I234" s="5" t="s">
        <v>21</v>
      </c>
      <c r="J234" s="10">
        <v>1.07</v>
      </c>
      <c r="K234" s="11"/>
      <c r="L234" s="10">
        <v>1.7</v>
      </c>
      <c r="M234" s="11"/>
      <c r="N234" s="11"/>
      <c r="O234" s="8">
        <v>0.48</v>
      </c>
    </row>
    <row r="235" spans="1:15" ht="15" thickBot="1" x14ac:dyDescent="0.4">
      <c r="A235" t="str">
        <f t="shared" ref="A235" si="188">IF(LEFT(G230,2)="FC",LEFT(G230,5),LEFT(G230,4))</f>
        <v>FC402</v>
      </c>
      <c r="B235" t="str">
        <f t="shared" si="155"/>
        <v>CPAC East</v>
      </c>
      <c r="C235" s="19"/>
      <c r="D235" s="19"/>
      <c r="E235" s="19"/>
      <c r="F235" s="19"/>
      <c r="G235" s="19"/>
      <c r="H235" s="23"/>
      <c r="I235" s="3" t="s">
        <v>22</v>
      </c>
      <c r="J235" s="11"/>
      <c r="K235" s="11" t="s">
        <v>27</v>
      </c>
      <c r="L235" s="11"/>
      <c r="M235" s="11" t="s">
        <v>27</v>
      </c>
      <c r="N235" s="11" t="s">
        <v>27</v>
      </c>
      <c r="O235" s="11"/>
    </row>
    <row r="236" spans="1:15" ht="15" thickBot="1" x14ac:dyDescent="0.4">
      <c r="B236" t="str">
        <f t="shared" si="155"/>
        <v>CPAC East</v>
      </c>
      <c r="C236" s="16"/>
      <c r="D236" s="16"/>
      <c r="E236" s="16"/>
      <c r="F236" s="16"/>
      <c r="G236" s="16" t="s">
        <v>80</v>
      </c>
      <c r="H236" s="20" t="s">
        <v>17</v>
      </c>
      <c r="I236" s="1"/>
      <c r="J236" s="1"/>
      <c r="K236" s="1"/>
      <c r="L236" s="1"/>
      <c r="M236" s="1"/>
      <c r="N236" s="1"/>
      <c r="O236" s="1"/>
    </row>
    <row r="237" spans="1:15" ht="15" thickBot="1" x14ac:dyDescent="0.4">
      <c r="A237" t="str">
        <f t="shared" ref="A237:A268" si="189">IF(LEFT(G236,2)="FC",LEFT(G236,5),LEFT(G236,4))</f>
        <v>FC300</v>
      </c>
      <c r="B237" t="str">
        <f t="shared" si="155"/>
        <v>CPAC East</v>
      </c>
      <c r="C237" s="18"/>
      <c r="D237" s="18"/>
      <c r="E237" s="18"/>
      <c r="F237" s="18"/>
      <c r="G237" s="18"/>
      <c r="H237" s="22"/>
      <c r="I237" s="3" t="s">
        <v>18</v>
      </c>
      <c r="J237" s="4">
        <v>54</v>
      </c>
      <c r="K237" s="4">
        <v>36</v>
      </c>
      <c r="L237" s="4">
        <v>30</v>
      </c>
      <c r="M237" s="4">
        <v>43</v>
      </c>
      <c r="N237" s="8">
        <v>16</v>
      </c>
      <c r="O237" s="11"/>
    </row>
    <row r="238" spans="1:15" ht="15" thickBot="1" x14ac:dyDescent="0.4">
      <c r="A238" t="str">
        <f t="shared" ref="A238" si="190">IF(LEFT(G236,2)="FC",LEFT(G236,5),LEFT(G236,4))</f>
        <v>FC300</v>
      </c>
      <c r="B238" t="str">
        <f t="shared" si="155"/>
        <v>CPAC East</v>
      </c>
      <c r="C238" s="18"/>
      <c r="D238" s="18"/>
      <c r="E238" s="18"/>
      <c r="F238" s="18"/>
      <c r="G238" s="18"/>
      <c r="H238" s="22"/>
      <c r="I238" s="5" t="s">
        <v>19</v>
      </c>
      <c r="J238" s="8">
        <v>26</v>
      </c>
      <c r="K238" s="6">
        <v>67</v>
      </c>
      <c r="L238" s="7">
        <v>78</v>
      </c>
      <c r="M238" s="6">
        <v>51</v>
      </c>
      <c r="N238" s="9">
        <v>94</v>
      </c>
      <c r="O238" s="11"/>
    </row>
    <row r="239" spans="1:15" ht="15" thickBot="1" x14ac:dyDescent="0.4">
      <c r="A239" t="str">
        <f t="shared" ref="A239" si="191">IF(LEFT(G236,2)="FC",LEFT(G236,5),LEFT(G236,4))</f>
        <v>FC300</v>
      </c>
      <c r="B239" t="str">
        <f t="shared" si="155"/>
        <v>CPAC East</v>
      </c>
      <c r="C239" s="18"/>
      <c r="D239" s="18"/>
      <c r="E239" s="18"/>
      <c r="F239" s="18"/>
      <c r="G239" s="18"/>
      <c r="H239" s="22"/>
      <c r="I239" s="3" t="s">
        <v>20</v>
      </c>
      <c r="J239" s="7">
        <v>39.200000000000003</v>
      </c>
      <c r="K239" s="7">
        <v>41.4</v>
      </c>
      <c r="L239" s="7">
        <v>40</v>
      </c>
      <c r="M239" s="10">
        <v>27.5</v>
      </c>
      <c r="N239" s="7">
        <v>35.799999999999997</v>
      </c>
      <c r="O239" s="11"/>
    </row>
    <row r="240" spans="1:15" ht="15" thickBot="1" x14ac:dyDescent="0.4">
      <c r="A240" t="str">
        <f t="shared" ref="A240" si="192">IF(LEFT(G236,2)="FC",LEFT(G236,5),LEFT(G236,4))</f>
        <v>FC300</v>
      </c>
      <c r="B240" t="str">
        <f t="shared" si="155"/>
        <v>CPAC East</v>
      </c>
      <c r="C240" s="18"/>
      <c r="D240" s="18"/>
      <c r="E240" s="18"/>
      <c r="F240" s="18"/>
      <c r="G240" s="18"/>
      <c r="H240" s="22"/>
      <c r="I240" s="5" t="s">
        <v>21</v>
      </c>
      <c r="J240" s="8">
        <v>0.22</v>
      </c>
      <c r="K240" s="8">
        <v>0.54</v>
      </c>
      <c r="L240" s="9">
        <v>0.65</v>
      </c>
      <c r="M240" s="9">
        <v>0.61</v>
      </c>
      <c r="N240" s="10">
        <v>0.87</v>
      </c>
      <c r="O240" s="11"/>
    </row>
    <row r="241" spans="1:15" ht="15" thickBot="1" x14ac:dyDescent="0.4">
      <c r="A241" t="str">
        <f t="shared" ref="A241" si="193">IF(LEFT(G236,2)="FC",LEFT(G236,5),LEFT(G236,4))</f>
        <v>FC300</v>
      </c>
      <c r="B241" t="str">
        <f t="shared" si="155"/>
        <v>CPAC East</v>
      </c>
      <c r="C241" s="19"/>
      <c r="D241" s="19"/>
      <c r="E241" s="19"/>
      <c r="F241" s="19"/>
      <c r="G241" s="19"/>
      <c r="H241" s="23"/>
      <c r="I241" s="3" t="s">
        <v>22</v>
      </c>
      <c r="J241" s="11"/>
      <c r="K241" s="11"/>
      <c r="L241" s="9" t="s">
        <v>25</v>
      </c>
      <c r="M241" s="9" t="s">
        <v>25</v>
      </c>
      <c r="N241" s="10" t="s">
        <v>24</v>
      </c>
      <c r="O241" s="11" t="s">
        <v>27</v>
      </c>
    </row>
    <row r="242" spans="1:15" ht="15" thickBot="1" x14ac:dyDescent="0.4">
      <c r="B242" t="str">
        <f t="shared" si="155"/>
        <v>CPAC East</v>
      </c>
      <c r="C242" s="16"/>
      <c r="D242" s="16"/>
      <c r="E242" s="16"/>
      <c r="F242" s="16"/>
      <c r="G242" s="16" t="s">
        <v>81</v>
      </c>
      <c r="H242" s="20" t="s">
        <v>17</v>
      </c>
      <c r="I242" s="1"/>
      <c r="J242" s="1"/>
      <c r="K242" s="1"/>
      <c r="L242" s="1"/>
      <c r="M242" s="1"/>
      <c r="N242" s="1"/>
      <c r="O242" s="1"/>
    </row>
    <row r="243" spans="1:15" ht="15" thickBot="1" x14ac:dyDescent="0.4">
      <c r="A243" t="str">
        <f t="shared" ref="A243:A274" si="194">IF(LEFT(G242,2)="FC",LEFT(G242,5),LEFT(G242,4))</f>
        <v>FC406</v>
      </c>
      <c r="B243" t="str">
        <f t="shared" si="155"/>
        <v>CPAC East</v>
      </c>
      <c r="C243" s="18"/>
      <c r="D243" s="18"/>
      <c r="E243" s="18"/>
      <c r="F243" s="18"/>
      <c r="G243" s="18"/>
      <c r="H243" s="22"/>
      <c r="I243" s="3" t="s">
        <v>18</v>
      </c>
      <c r="J243" s="4">
        <v>32</v>
      </c>
      <c r="K243" s="4">
        <v>36</v>
      </c>
      <c r="L243" s="8">
        <v>18</v>
      </c>
      <c r="M243" s="11"/>
      <c r="N243" s="4">
        <v>30</v>
      </c>
      <c r="O243" s="4">
        <v>30</v>
      </c>
    </row>
    <row r="244" spans="1:15" ht="15" thickBot="1" x14ac:dyDescent="0.4">
      <c r="A244" t="str">
        <f t="shared" ref="A244" si="195">IF(LEFT(G242,2)="FC",LEFT(G242,5),LEFT(G242,4))</f>
        <v>FC406</v>
      </c>
      <c r="B244" t="str">
        <f t="shared" si="155"/>
        <v>CPAC East</v>
      </c>
      <c r="C244" s="18"/>
      <c r="D244" s="18"/>
      <c r="E244" s="18"/>
      <c r="F244" s="18"/>
      <c r="G244" s="18"/>
      <c r="H244" s="22"/>
      <c r="I244" s="5" t="s">
        <v>19</v>
      </c>
      <c r="J244" s="7">
        <v>80</v>
      </c>
      <c r="K244" s="6">
        <v>57</v>
      </c>
      <c r="L244" s="6">
        <v>69</v>
      </c>
      <c r="M244" s="11"/>
      <c r="N244" s="6">
        <v>53</v>
      </c>
      <c r="O244" s="6">
        <v>59</v>
      </c>
    </row>
    <row r="245" spans="1:15" ht="15" thickBot="1" x14ac:dyDescent="0.4">
      <c r="A245" t="str">
        <f t="shared" ref="A245" si="196">IF(LEFT(G242,2)="FC",LEFT(G242,5),LEFT(G242,4))</f>
        <v>FC406</v>
      </c>
      <c r="B245" t="str">
        <f t="shared" si="155"/>
        <v>CPAC East</v>
      </c>
      <c r="C245" s="18"/>
      <c r="D245" s="18"/>
      <c r="E245" s="18"/>
      <c r="F245" s="18"/>
      <c r="G245" s="18"/>
      <c r="H245" s="22"/>
      <c r="I245" s="3" t="s">
        <v>20</v>
      </c>
      <c r="J245" s="10">
        <v>22.1</v>
      </c>
      <c r="K245" s="10">
        <v>19.899999999999999</v>
      </c>
      <c r="L245" s="9">
        <v>29.2</v>
      </c>
      <c r="M245" s="11"/>
      <c r="N245" s="10">
        <v>9.3000000000000007</v>
      </c>
      <c r="O245" s="10">
        <v>26.5</v>
      </c>
    </row>
    <row r="246" spans="1:15" ht="15" thickBot="1" x14ac:dyDescent="0.4">
      <c r="A246" t="str">
        <f t="shared" ref="A246" si="197">IF(LEFT(G242,2)="FC",LEFT(G242,5),LEFT(G242,4))</f>
        <v>FC406</v>
      </c>
      <c r="B246" t="str">
        <f t="shared" si="155"/>
        <v>CPAC East</v>
      </c>
      <c r="C246" s="18"/>
      <c r="D246" s="18"/>
      <c r="E246" s="18"/>
      <c r="F246" s="18"/>
      <c r="G246" s="18"/>
      <c r="H246" s="22"/>
      <c r="I246" s="5" t="s">
        <v>21</v>
      </c>
      <c r="J246" s="10">
        <v>1.2</v>
      </c>
      <c r="K246" s="10">
        <v>0.95</v>
      </c>
      <c r="L246" s="10">
        <v>0.79</v>
      </c>
      <c r="M246" s="11"/>
      <c r="N246" s="10">
        <v>1.89</v>
      </c>
      <c r="O246" s="9">
        <v>0.74</v>
      </c>
    </row>
    <row r="247" spans="1:15" ht="15" thickBot="1" x14ac:dyDescent="0.4">
      <c r="A247" t="str">
        <f t="shared" ref="A247" si="198">IF(LEFT(G242,2)="FC",LEFT(G242,5),LEFT(G242,4))</f>
        <v>FC406</v>
      </c>
      <c r="B247" t="str">
        <f t="shared" si="155"/>
        <v>CPAC East</v>
      </c>
      <c r="C247" s="19"/>
      <c r="D247" s="19"/>
      <c r="E247" s="19"/>
      <c r="F247" s="19"/>
      <c r="G247" s="19"/>
      <c r="H247" s="23"/>
      <c r="I247" s="3" t="s">
        <v>22</v>
      </c>
      <c r="J247" s="11"/>
      <c r="K247" s="10" t="s">
        <v>24</v>
      </c>
      <c r="L247" s="10" t="s">
        <v>24</v>
      </c>
      <c r="M247" s="11" t="s">
        <v>27</v>
      </c>
      <c r="N247" s="11"/>
      <c r="O247" s="11"/>
    </row>
    <row r="248" spans="1:15" ht="15" thickBot="1" x14ac:dyDescent="0.4">
      <c r="B248" t="str">
        <f t="shared" si="155"/>
        <v>CPAC East</v>
      </c>
      <c r="C248" s="16"/>
      <c r="D248" s="16"/>
      <c r="E248" s="16"/>
      <c r="F248" s="16" t="s">
        <v>82</v>
      </c>
      <c r="G248" s="16" t="s">
        <v>83</v>
      </c>
      <c r="H248" s="24" t="s">
        <v>30</v>
      </c>
      <c r="I248" s="1"/>
      <c r="J248" s="1"/>
      <c r="K248" s="1"/>
      <c r="L248" s="1"/>
      <c r="M248" s="1"/>
      <c r="N248" s="1"/>
      <c r="O248" s="1"/>
    </row>
    <row r="249" spans="1:15" ht="15" thickBot="1" x14ac:dyDescent="0.4">
      <c r="A249" t="str">
        <f t="shared" ref="A249:A280" si="199">IF(LEFT(G248,2)="FC",LEFT(G248,5),LEFT(G248,4))</f>
        <v>13QQ</v>
      </c>
      <c r="B249" t="str">
        <f t="shared" si="155"/>
        <v>CPAC East</v>
      </c>
      <c r="C249" s="18"/>
      <c r="D249" s="18"/>
      <c r="E249" s="18"/>
      <c r="F249" s="18"/>
      <c r="G249" s="18"/>
      <c r="H249" s="25"/>
      <c r="I249" s="3" t="s">
        <v>18</v>
      </c>
      <c r="J249" s="11"/>
      <c r="K249" s="11"/>
      <c r="L249" s="11"/>
      <c r="M249" s="11"/>
      <c r="N249" s="11"/>
      <c r="O249" s="11"/>
    </row>
    <row r="250" spans="1:15" ht="15" thickBot="1" x14ac:dyDescent="0.4">
      <c r="A250" t="str">
        <f t="shared" ref="A250" si="200">IF(LEFT(G248,2)="FC",LEFT(G248,5),LEFT(G248,4))</f>
        <v>13QQ</v>
      </c>
      <c r="B250" t="str">
        <f t="shared" si="155"/>
        <v>CPAC East</v>
      </c>
      <c r="C250" s="18"/>
      <c r="D250" s="18"/>
      <c r="E250" s="18"/>
      <c r="F250" s="18"/>
      <c r="G250" s="18"/>
      <c r="H250" s="25"/>
      <c r="I250" s="5" t="s">
        <v>19</v>
      </c>
      <c r="J250" s="11"/>
      <c r="K250" s="11"/>
      <c r="L250" s="11"/>
      <c r="M250" s="11"/>
      <c r="N250" s="11"/>
      <c r="O250" s="11"/>
    </row>
    <row r="251" spans="1:15" ht="15" thickBot="1" x14ac:dyDescent="0.4">
      <c r="A251" t="str">
        <f t="shared" ref="A251" si="201">IF(LEFT(G248,2)="FC",LEFT(G248,5),LEFT(G248,4))</f>
        <v>13QQ</v>
      </c>
      <c r="B251" t="str">
        <f t="shared" si="155"/>
        <v>CPAC East</v>
      </c>
      <c r="C251" s="18"/>
      <c r="D251" s="18"/>
      <c r="E251" s="18"/>
      <c r="F251" s="18"/>
      <c r="G251" s="18"/>
      <c r="H251" s="25"/>
      <c r="I251" s="3" t="s">
        <v>20</v>
      </c>
      <c r="J251" s="11"/>
      <c r="K251" s="11"/>
      <c r="L251" s="11"/>
      <c r="M251" s="11"/>
      <c r="N251" s="11"/>
      <c r="O251" s="11"/>
    </row>
    <row r="252" spans="1:15" ht="15" thickBot="1" x14ac:dyDescent="0.4">
      <c r="A252" t="str">
        <f t="shared" ref="A252" si="202">IF(LEFT(G248,2)="FC",LEFT(G248,5),LEFT(G248,4))</f>
        <v>13QQ</v>
      </c>
      <c r="B252" t="str">
        <f t="shared" si="155"/>
        <v>CPAC East</v>
      </c>
      <c r="C252" s="18"/>
      <c r="D252" s="18"/>
      <c r="E252" s="18"/>
      <c r="F252" s="18"/>
      <c r="G252" s="18"/>
      <c r="H252" s="25"/>
      <c r="I252" s="5" t="s">
        <v>21</v>
      </c>
      <c r="J252" s="11"/>
      <c r="K252" s="11"/>
      <c r="L252" s="11"/>
      <c r="M252" s="11"/>
      <c r="N252" s="11"/>
      <c r="O252" s="11"/>
    </row>
    <row r="253" spans="1:15" ht="15" thickBot="1" x14ac:dyDescent="0.4">
      <c r="A253" t="str">
        <f t="shared" ref="A253" si="203">IF(LEFT(G248,2)="FC",LEFT(G248,5),LEFT(G248,4))</f>
        <v>13QQ</v>
      </c>
      <c r="B253" t="str">
        <f t="shared" si="155"/>
        <v>CPAC East</v>
      </c>
      <c r="C253" s="19"/>
      <c r="D253" s="19"/>
      <c r="E253" s="19"/>
      <c r="F253" s="19"/>
      <c r="G253" s="19"/>
      <c r="H253" s="26"/>
      <c r="I253" s="3" t="s">
        <v>22</v>
      </c>
      <c r="J253" s="11" t="s">
        <v>46</v>
      </c>
      <c r="K253" s="11" t="s">
        <v>45</v>
      </c>
      <c r="L253" s="11" t="s">
        <v>46</v>
      </c>
      <c r="M253" s="11" t="s">
        <v>46</v>
      </c>
      <c r="N253" s="11" t="s">
        <v>46</v>
      </c>
      <c r="O253" s="11" t="s">
        <v>46</v>
      </c>
    </row>
    <row r="254" spans="1:15" ht="15" thickBot="1" x14ac:dyDescent="0.4">
      <c r="B254" t="str">
        <f t="shared" si="155"/>
        <v>CPAC East</v>
      </c>
      <c r="C254" s="16"/>
      <c r="D254" s="16"/>
      <c r="E254" s="16"/>
      <c r="F254" s="16"/>
      <c r="G254" s="16" t="s">
        <v>84</v>
      </c>
      <c r="H254" s="24" t="s">
        <v>30</v>
      </c>
      <c r="I254" s="1"/>
      <c r="J254" s="1"/>
      <c r="K254" s="1"/>
      <c r="L254" s="1"/>
      <c r="M254" s="1"/>
      <c r="N254" s="1"/>
      <c r="O254" s="1"/>
    </row>
    <row r="255" spans="1:15" ht="15" thickBot="1" x14ac:dyDescent="0.4">
      <c r="A255" t="str">
        <f t="shared" ref="A255:A286" si="204">IF(LEFT(G254,2)="FC",LEFT(G254,5),LEFT(G254,4))</f>
        <v>13QR</v>
      </c>
      <c r="B255" t="str">
        <f t="shared" si="155"/>
        <v>CPAC East</v>
      </c>
      <c r="C255" s="18"/>
      <c r="D255" s="18"/>
      <c r="E255" s="18"/>
      <c r="F255" s="18"/>
      <c r="G255" s="18"/>
      <c r="H255" s="25"/>
      <c r="I255" s="3" t="s">
        <v>18</v>
      </c>
      <c r="J255" s="11"/>
      <c r="K255" s="11"/>
      <c r="L255" s="11"/>
      <c r="M255" s="11"/>
      <c r="N255" s="11"/>
      <c r="O255" s="11"/>
    </row>
    <row r="256" spans="1:15" ht="15" thickBot="1" x14ac:dyDescent="0.4">
      <c r="A256" t="str">
        <f t="shared" ref="A256" si="205">IF(LEFT(G254,2)="FC",LEFT(G254,5),LEFT(G254,4))</f>
        <v>13QR</v>
      </c>
      <c r="B256" t="str">
        <f t="shared" si="155"/>
        <v>CPAC East</v>
      </c>
      <c r="C256" s="18"/>
      <c r="D256" s="18"/>
      <c r="E256" s="18"/>
      <c r="F256" s="18"/>
      <c r="G256" s="18"/>
      <c r="H256" s="25"/>
      <c r="I256" s="5" t="s">
        <v>19</v>
      </c>
      <c r="J256" s="11"/>
      <c r="K256" s="11"/>
      <c r="L256" s="11"/>
      <c r="M256" s="11"/>
      <c r="N256" s="11"/>
      <c r="O256" s="11"/>
    </row>
    <row r="257" spans="1:15" ht="15" thickBot="1" x14ac:dyDescent="0.4">
      <c r="A257" t="str">
        <f t="shared" ref="A257" si="206">IF(LEFT(G254,2)="FC",LEFT(G254,5),LEFT(G254,4))</f>
        <v>13QR</v>
      </c>
      <c r="B257" t="str">
        <f t="shared" si="155"/>
        <v>CPAC East</v>
      </c>
      <c r="C257" s="18"/>
      <c r="D257" s="18"/>
      <c r="E257" s="18"/>
      <c r="F257" s="18"/>
      <c r="G257" s="18"/>
      <c r="H257" s="25"/>
      <c r="I257" s="3" t="s">
        <v>20</v>
      </c>
      <c r="J257" s="11"/>
      <c r="K257" s="11"/>
      <c r="L257" s="11"/>
      <c r="M257" s="11"/>
      <c r="N257" s="11"/>
      <c r="O257" s="11"/>
    </row>
    <row r="258" spans="1:15" ht="15" thickBot="1" x14ac:dyDescent="0.4">
      <c r="A258" t="str">
        <f t="shared" ref="A258" si="207">IF(LEFT(G254,2)="FC",LEFT(G254,5),LEFT(G254,4))</f>
        <v>13QR</v>
      </c>
      <c r="B258" t="str">
        <f t="shared" si="155"/>
        <v>CPAC East</v>
      </c>
      <c r="C258" s="18"/>
      <c r="D258" s="18"/>
      <c r="E258" s="18"/>
      <c r="F258" s="18"/>
      <c r="G258" s="18"/>
      <c r="H258" s="25"/>
      <c r="I258" s="5" t="s">
        <v>21</v>
      </c>
      <c r="J258" s="11"/>
      <c r="K258" s="11"/>
      <c r="L258" s="11"/>
      <c r="M258" s="11"/>
      <c r="N258" s="11"/>
      <c r="O258" s="11"/>
    </row>
    <row r="259" spans="1:15" ht="15" thickBot="1" x14ac:dyDescent="0.4">
      <c r="A259" t="str">
        <f t="shared" ref="A259" si="208">IF(LEFT(G254,2)="FC",LEFT(G254,5),LEFT(G254,4))</f>
        <v>13QR</v>
      </c>
      <c r="B259" t="str">
        <f t="shared" si="155"/>
        <v>CPAC East</v>
      </c>
      <c r="C259" s="19"/>
      <c r="D259" s="19"/>
      <c r="E259" s="19"/>
      <c r="F259" s="19"/>
      <c r="G259" s="19"/>
      <c r="H259" s="26"/>
      <c r="I259" s="3" t="s">
        <v>22</v>
      </c>
      <c r="J259" s="11" t="s">
        <v>45</v>
      </c>
      <c r="K259" s="11" t="s">
        <v>46</v>
      </c>
      <c r="L259" s="11" t="s">
        <v>46</v>
      </c>
      <c r="M259" s="11" t="s">
        <v>46</v>
      </c>
      <c r="N259" s="11" t="s">
        <v>46</v>
      </c>
      <c r="O259" s="11" t="s">
        <v>46</v>
      </c>
    </row>
    <row r="260" spans="1:15" ht="15" thickBot="1" x14ac:dyDescent="0.4">
      <c r="B260" t="str">
        <f t="shared" ref="B260:B313" si="209">$D$2</f>
        <v>CPAC East</v>
      </c>
      <c r="C260" s="16"/>
      <c r="D260" s="16"/>
      <c r="E260" s="16"/>
      <c r="F260" s="16"/>
      <c r="G260" s="16" t="s">
        <v>85</v>
      </c>
      <c r="H260" s="24" t="s">
        <v>30</v>
      </c>
      <c r="I260" s="1"/>
      <c r="J260" s="1"/>
      <c r="K260" s="1"/>
      <c r="L260" s="1"/>
      <c r="M260" s="1"/>
      <c r="N260" s="1"/>
      <c r="O260" s="1"/>
    </row>
    <row r="261" spans="1:15" ht="15" thickBot="1" x14ac:dyDescent="0.4">
      <c r="A261" t="str">
        <f t="shared" ref="A261:A292" si="210">IF(LEFT(G260,2)="FC",LEFT(G260,5),LEFT(G260,4))</f>
        <v>FC399</v>
      </c>
      <c r="B261" t="str">
        <f t="shared" si="209"/>
        <v>CPAC East</v>
      </c>
      <c r="C261" s="18"/>
      <c r="D261" s="18"/>
      <c r="E261" s="18"/>
      <c r="F261" s="18"/>
      <c r="G261" s="18"/>
      <c r="H261" s="25"/>
      <c r="I261" s="3" t="s">
        <v>18</v>
      </c>
      <c r="J261" s="11"/>
      <c r="K261" s="8">
        <v>15</v>
      </c>
      <c r="L261" s="4">
        <v>30</v>
      </c>
      <c r="M261" s="11"/>
      <c r="N261" s="11"/>
      <c r="O261" s="11"/>
    </row>
    <row r="262" spans="1:15" ht="15" thickBot="1" x14ac:dyDescent="0.4">
      <c r="A262" t="str">
        <f t="shared" ref="A262" si="211">IF(LEFT(G260,2)="FC",LEFT(G260,5),LEFT(G260,4))</f>
        <v>FC399</v>
      </c>
      <c r="B262" t="str">
        <f t="shared" si="209"/>
        <v>CPAC East</v>
      </c>
      <c r="C262" s="18"/>
      <c r="D262" s="18"/>
      <c r="E262" s="18"/>
      <c r="F262" s="18"/>
      <c r="G262" s="18"/>
      <c r="H262" s="25"/>
      <c r="I262" s="5" t="s">
        <v>19</v>
      </c>
      <c r="J262" s="11"/>
      <c r="K262" s="8">
        <v>-70</v>
      </c>
      <c r="L262" s="9">
        <v>103</v>
      </c>
      <c r="M262" s="11"/>
      <c r="N262" s="11"/>
      <c r="O262" s="11"/>
    </row>
    <row r="263" spans="1:15" ht="15" thickBot="1" x14ac:dyDescent="0.4">
      <c r="A263" t="str">
        <f t="shared" ref="A263" si="212">IF(LEFT(G260,2)="FC",LEFT(G260,5),LEFT(G260,4))</f>
        <v>FC399</v>
      </c>
      <c r="B263" t="str">
        <f t="shared" si="209"/>
        <v>CPAC East</v>
      </c>
      <c r="C263" s="18"/>
      <c r="D263" s="18"/>
      <c r="E263" s="18"/>
      <c r="F263" s="18"/>
      <c r="G263" s="18"/>
      <c r="H263" s="25"/>
      <c r="I263" s="3" t="s">
        <v>20</v>
      </c>
      <c r="J263" s="11"/>
      <c r="K263" s="9">
        <v>34</v>
      </c>
      <c r="L263" s="8">
        <v>71.7</v>
      </c>
      <c r="M263" s="11"/>
      <c r="N263" s="11"/>
      <c r="O263" s="11"/>
    </row>
    <row r="264" spans="1:15" ht="15" thickBot="1" x14ac:dyDescent="0.4">
      <c r="A264" t="str">
        <f t="shared" ref="A264" si="213">IF(LEFT(G260,2)="FC",LEFT(G260,5),LEFT(G260,4))</f>
        <v>FC399</v>
      </c>
      <c r="B264" t="str">
        <f t="shared" si="209"/>
        <v>CPAC East</v>
      </c>
      <c r="C264" s="18"/>
      <c r="D264" s="18"/>
      <c r="E264" s="18"/>
      <c r="F264" s="18"/>
      <c r="G264" s="18"/>
      <c r="H264" s="25"/>
      <c r="I264" s="5" t="s">
        <v>21</v>
      </c>
      <c r="J264" s="11"/>
      <c r="K264" s="8">
        <v>-0.68</v>
      </c>
      <c r="L264" s="8">
        <v>0.48</v>
      </c>
      <c r="M264" s="11"/>
      <c r="N264" s="11"/>
      <c r="O264" s="11"/>
    </row>
    <row r="265" spans="1:15" ht="15" thickBot="1" x14ac:dyDescent="0.4">
      <c r="A265" t="str">
        <f t="shared" ref="A265" si="214">IF(LEFT(G260,2)="FC",LEFT(G260,5),LEFT(G260,4))</f>
        <v>FC399</v>
      </c>
      <c r="B265" t="str">
        <f t="shared" si="209"/>
        <v>CPAC East</v>
      </c>
      <c r="C265" s="19"/>
      <c r="D265" s="19"/>
      <c r="E265" s="19"/>
      <c r="F265" s="19"/>
      <c r="G265" s="19"/>
      <c r="H265" s="26"/>
      <c r="I265" s="3" t="s">
        <v>22</v>
      </c>
      <c r="J265" s="11" t="s">
        <v>27</v>
      </c>
      <c r="K265" s="8" t="s">
        <v>23</v>
      </c>
      <c r="L265" s="8" t="s">
        <v>23</v>
      </c>
      <c r="M265" s="11" t="s">
        <v>45</v>
      </c>
      <c r="N265" s="11" t="s">
        <v>45</v>
      </c>
      <c r="O265" s="11" t="s">
        <v>27</v>
      </c>
    </row>
    <row r="266" spans="1:15" ht="15" thickBot="1" x14ac:dyDescent="0.4">
      <c r="B266" t="str">
        <f t="shared" si="209"/>
        <v>CPAC East</v>
      </c>
      <c r="C266" s="16"/>
      <c r="D266" s="16"/>
      <c r="E266" s="16"/>
      <c r="F266" s="16"/>
      <c r="G266" s="16" t="s">
        <v>86</v>
      </c>
      <c r="H266" s="20" t="s">
        <v>17</v>
      </c>
      <c r="I266" s="1"/>
      <c r="J266" s="1"/>
      <c r="K266" s="1"/>
      <c r="L266" s="1"/>
      <c r="M266" s="1"/>
      <c r="N266" s="1"/>
      <c r="O266" s="1"/>
    </row>
    <row r="267" spans="1:15" ht="15" thickBot="1" x14ac:dyDescent="0.4">
      <c r="A267" t="str">
        <f t="shared" ref="A267:A313" si="215">IF(LEFT(G266,2)="FC",LEFT(G266,5),LEFT(G266,4))</f>
        <v>13O3</v>
      </c>
      <c r="B267" t="str">
        <f t="shared" si="209"/>
        <v>CPAC East</v>
      </c>
      <c r="C267" s="18"/>
      <c r="D267" s="18"/>
      <c r="E267" s="18"/>
      <c r="F267" s="18"/>
      <c r="G267" s="18"/>
      <c r="H267" s="22"/>
      <c r="I267" s="3" t="s">
        <v>18</v>
      </c>
      <c r="J267" s="4">
        <v>30</v>
      </c>
      <c r="K267" s="4">
        <v>30</v>
      </c>
      <c r="L267" s="8">
        <v>27</v>
      </c>
      <c r="M267" s="8">
        <v>27</v>
      </c>
      <c r="N267" s="8">
        <v>24</v>
      </c>
      <c r="O267" s="4">
        <v>30</v>
      </c>
    </row>
    <row r="268" spans="1:15" ht="15" thickBot="1" x14ac:dyDescent="0.4">
      <c r="A268" t="str">
        <f t="shared" ref="A268" si="216">IF(LEFT(G266,2)="FC",LEFT(G266,5),LEFT(G266,4))</f>
        <v>13O3</v>
      </c>
      <c r="B268" t="str">
        <f t="shared" si="209"/>
        <v>CPAC East</v>
      </c>
      <c r="C268" s="18"/>
      <c r="D268" s="18"/>
      <c r="E268" s="18"/>
      <c r="F268" s="18"/>
      <c r="G268" s="18"/>
      <c r="H268" s="22"/>
      <c r="I268" s="5" t="s">
        <v>19</v>
      </c>
      <c r="J268" s="6">
        <v>55</v>
      </c>
      <c r="K268" s="8">
        <v>35</v>
      </c>
      <c r="L268" s="7">
        <v>71</v>
      </c>
      <c r="M268" s="7">
        <v>77</v>
      </c>
      <c r="N268" s="7">
        <v>73</v>
      </c>
      <c r="O268" s="9">
        <v>126</v>
      </c>
    </row>
    <row r="269" spans="1:15" ht="15" thickBot="1" x14ac:dyDescent="0.4">
      <c r="A269" t="str">
        <f t="shared" ref="A269" si="217">IF(LEFT(G266,2)="FC",LEFT(G266,5),LEFT(G266,4))</f>
        <v>13O3</v>
      </c>
      <c r="B269" t="str">
        <f t="shared" si="209"/>
        <v>CPAC East</v>
      </c>
      <c r="C269" s="18"/>
      <c r="D269" s="18"/>
      <c r="E269" s="18"/>
      <c r="F269" s="18"/>
      <c r="G269" s="18"/>
      <c r="H269" s="22"/>
      <c r="I269" s="3" t="s">
        <v>20</v>
      </c>
      <c r="J269" s="7">
        <v>36.200000000000003</v>
      </c>
      <c r="K269" s="9">
        <v>31.3</v>
      </c>
      <c r="L269" s="7">
        <v>35</v>
      </c>
      <c r="M269" s="6">
        <v>41.8</v>
      </c>
      <c r="N269" s="8">
        <v>60.7</v>
      </c>
      <c r="O269" s="6">
        <v>46.4</v>
      </c>
    </row>
    <row r="270" spans="1:15" ht="15" thickBot="1" x14ac:dyDescent="0.4">
      <c r="A270" t="str">
        <f t="shared" ref="A270" si="218">IF(LEFT(G266,2)="FC",LEFT(G266,5),LEFT(G266,4))</f>
        <v>13O3</v>
      </c>
      <c r="B270" t="str">
        <f t="shared" si="209"/>
        <v>CPAC East</v>
      </c>
      <c r="C270" s="18"/>
      <c r="D270" s="18"/>
      <c r="E270" s="18"/>
      <c r="F270" s="18"/>
      <c r="G270" s="18"/>
      <c r="H270" s="22"/>
      <c r="I270" s="5" t="s">
        <v>21</v>
      </c>
      <c r="J270" s="8">
        <v>0.51</v>
      </c>
      <c r="K270" s="8">
        <v>0.37</v>
      </c>
      <c r="L270" s="9">
        <v>0.68</v>
      </c>
      <c r="M270" s="9">
        <v>0.61</v>
      </c>
      <c r="N270" s="8">
        <v>0.4</v>
      </c>
      <c r="O270" s="10">
        <v>0.91</v>
      </c>
    </row>
    <row r="271" spans="1:15" ht="15" thickBot="1" x14ac:dyDescent="0.4">
      <c r="A271" t="str">
        <f t="shared" ref="A271" si="219">IF(LEFT(G266,2)="FC",LEFT(G266,5),LEFT(G266,4))</f>
        <v>13O3</v>
      </c>
      <c r="B271" t="str">
        <f t="shared" si="209"/>
        <v>CPAC East</v>
      </c>
      <c r="C271" s="19"/>
      <c r="D271" s="19"/>
      <c r="E271" s="19"/>
      <c r="F271" s="19"/>
      <c r="G271" s="19"/>
      <c r="H271" s="23"/>
      <c r="I271" s="3" t="s">
        <v>22</v>
      </c>
      <c r="J271" s="11"/>
      <c r="K271" s="8" t="s">
        <v>23</v>
      </c>
      <c r="L271" s="9" t="s">
        <v>25</v>
      </c>
      <c r="M271" s="9" t="s">
        <v>25</v>
      </c>
      <c r="N271" s="8" t="s">
        <v>23</v>
      </c>
      <c r="O271" s="10" t="s">
        <v>24</v>
      </c>
    </row>
    <row r="272" spans="1:15" ht="15" thickBot="1" x14ac:dyDescent="0.4">
      <c r="B272" t="str">
        <f t="shared" si="209"/>
        <v>CPAC East</v>
      </c>
      <c r="C272" s="16"/>
      <c r="D272" s="16"/>
      <c r="E272" s="16"/>
      <c r="F272" s="16"/>
      <c r="G272" s="16" t="s">
        <v>87</v>
      </c>
      <c r="H272" s="24" t="s">
        <v>30</v>
      </c>
      <c r="I272" s="1"/>
      <c r="J272" s="1"/>
      <c r="K272" s="1"/>
      <c r="L272" s="1"/>
      <c r="M272" s="1"/>
      <c r="N272" s="1"/>
      <c r="O272" s="1"/>
    </row>
    <row r="273" spans="1:15" ht="15" thickBot="1" x14ac:dyDescent="0.4">
      <c r="A273" t="str">
        <f t="shared" ref="A273:A313" si="220">IF(LEFT(G272,2)="FC",LEFT(G272,5),LEFT(G272,4))</f>
        <v>13O2</v>
      </c>
      <c r="B273" t="str">
        <f t="shared" si="209"/>
        <v>CPAC East</v>
      </c>
      <c r="C273" s="18"/>
      <c r="D273" s="18"/>
      <c r="E273" s="18"/>
      <c r="F273" s="18"/>
      <c r="G273" s="18"/>
      <c r="H273" s="25"/>
      <c r="I273" s="3" t="s">
        <v>18</v>
      </c>
      <c r="J273" s="11"/>
      <c r="K273" s="11"/>
      <c r="L273" s="11"/>
      <c r="M273" s="11"/>
      <c r="N273" s="11"/>
      <c r="O273" s="11"/>
    </row>
    <row r="274" spans="1:15" ht="15" thickBot="1" x14ac:dyDescent="0.4">
      <c r="A274" t="str">
        <f t="shared" ref="A274" si="221">IF(LEFT(G272,2)="FC",LEFT(G272,5),LEFT(G272,4))</f>
        <v>13O2</v>
      </c>
      <c r="B274" t="str">
        <f t="shared" si="209"/>
        <v>CPAC East</v>
      </c>
      <c r="C274" s="18"/>
      <c r="D274" s="18"/>
      <c r="E274" s="18"/>
      <c r="F274" s="18"/>
      <c r="G274" s="18"/>
      <c r="H274" s="25"/>
      <c r="I274" s="5" t="s">
        <v>19</v>
      </c>
      <c r="J274" s="11"/>
      <c r="K274" s="11"/>
      <c r="L274" s="11"/>
      <c r="M274" s="11"/>
      <c r="N274" s="11"/>
      <c r="O274" s="11"/>
    </row>
    <row r="275" spans="1:15" ht="15" thickBot="1" x14ac:dyDescent="0.4">
      <c r="A275" t="str">
        <f t="shared" ref="A275" si="222">IF(LEFT(G272,2)="FC",LEFT(G272,5),LEFT(G272,4))</f>
        <v>13O2</v>
      </c>
      <c r="B275" t="str">
        <f t="shared" si="209"/>
        <v>CPAC East</v>
      </c>
      <c r="C275" s="18"/>
      <c r="D275" s="18"/>
      <c r="E275" s="18"/>
      <c r="F275" s="18"/>
      <c r="G275" s="18"/>
      <c r="H275" s="25"/>
      <c r="I275" s="3" t="s">
        <v>20</v>
      </c>
      <c r="J275" s="11"/>
      <c r="K275" s="11"/>
      <c r="L275" s="11"/>
      <c r="M275" s="11"/>
      <c r="N275" s="11"/>
      <c r="O275" s="11"/>
    </row>
    <row r="276" spans="1:15" ht="15" thickBot="1" x14ac:dyDescent="0.4">
      <c r="A276" t="str">
        <f t="shared" ref="A276" si="223">IF(LEFT(G272,2)="FC",LEFT(G272,5),LEFT(G272,4))</f>
        <v>13O2</v>
      </c>
      <c r="B276" t="str">
        <f t="shared" si="209"/>
        <v>CPAC East</v>
      </c>
      <c r="C276" s="18"/>
      <c r="D276" s="18"/>
      <c r="E276" s="18"/>
      <c r="F276" s="18"/>
      <c r="G276" s="18"/>
      <c r="H276" s="25"/>
      <c r="I276" s="5" t="s">
        <v>21</v>
      </c>
      <c r="J276" s="11"/>
      <c r="K276" s="11"/>
      <c r="L276" s="11"/>
      <c r="M276" s="11"/>
      <c r="N276" s="11"/>
      <c r="O276" s="11"/>
    </row>
    <row r="277" spans="1:15" ht="15" thickBot="1" x14ac:dyDescent="0.4">
      <c r="A277" t="str">
        <f t="shared" ref="A277" si="224">IF(LEFT(G272,2)="FC",LEFT(G272,5),LEFT(G272,4))</f>
        <v>13O2</v>
      </c>
      <c r="B277" t="str">
        <f t="shared" si="209"/>
        <v>CPAC East</v>
      </c>
      <c r="C277" s="19"/>
      <c r="D277" s="19"/>
      <c r="E277" s="19"/>
      <c r="F277" s="19"/>
      <c r="G277" s="19"/>
      <c r="H277" s="26"/>
      <c r="I277" s="3" t="s">
        <v>22</v>
      </c>
      <c r="J277" s="11" t="s">
        <v>46</v>
      </c>
      <c r="K277" s="11" t="s">
        <v>46</v>
      </c>
      <c r="L277" s="11" t="s">
        <v>46</v>
      </c>
      <c r="M277" s="11" t="s">
        <v>46</v>
      </c>
      <c r="N277" s="11" t="s">
        <v>46</v>
      </c>
      <c r="O277" s="11" t="s">
        <v>46</v>
      </c>
    </row>
    <row r="278" spans="1:15" ht="15" thickBot="1" x14ac:dyDescent="0.4">
      <c r="B278" t="str">
        <f t="shared" si="209"/>
        <v>CPAC East</v>
      </c>
      <c r="C278" s="16"/>
      <c r="D278" s="16"/>
      <c r="E278" s="16"/>
      <c r="F278" s="16"/>
      <c r="G278" s="16" t="s">
        <v>88</v>
      </c>
      <c r="H278" s="20" t="s">
        <v>17</v>
      </c>
      <c r="I278" s="1"/>
      <c r="J278" s="1"/>
      <c r="K278" s="1"/>
      <c r="L278" s="1"/>
      <c r="M278" s="1"/>
      <c r="N278" s="1"/>
      <c r="O278" s="1"/>
    </row>
    <row r="279" spans="1:15" ht="15" thickBot="1" x14ac:dyDescent="0.4">
      <c r="A279" t="str">
        <f t="shared" ref="A279:A313" si="225">IF(LEFT(G278,2)="FC",LEFT(G278,5),LEFT(G278,4))</f>
        <v>FC332</v>
      </c>
      <c r="B279" t="str">
        <f t="shared" si="209"/>
        <v>CPAC East</v>
      </c>
      <c r="C279" s="18"/>
      <c r="D279" s="18"/>
      <c r="E279" s="18"/>
      <c r="F279" s="18"/>
      <c r="G279" s="18"/>
      <c r="H279" s="22"/>
      <c r="I279" s="3" t="s">
        <v>18</v>
      </c>
      <c r="J279" s="4">
        <v>36</v>
      </c>
      <c r="K279" s="4">
        <v>36</v>
      </c>
      <c r="L279" s="11"/>
      <c r="M279" s="11"/>
      <c r="N279" s="4">
        <v>36</v>
      </c>
      <c r="O279" s="4">
        <v>30</v>
      </c>
    </row>
    <row r="280" spans="1:15" ht="15" thickBot="1" x14ac:dyDescent="0.4">
      <c r="A280" t="str">
        <f t="shared" ref="A280" si="226">IF(LEFT(G278,2)="FC",LEFT(G278,5),LEFT(G278,4))</f>
        <v>FC332</v>
      </c>
      <c r="B280" t="str">
        <f t="shared" si="209"/>
        <v>CPAC East</v>
      </c>
      <c r="C280" s="18"/>
      <c r="D280" s="18"/>
      <c r="E280" s="18"/>
      <c r="F280" s="18"/>
      <c r="G280" s="18"/>
      <c r="H280" s="22"/>
      <c r="I280" s="5" t="s">
        <v>19</v>
      </c>
      <c r="J280" s="8">
        <v>39</v>
      </c>
      <c r="K280" s="8">
        <v>44</v>
      </c>
      <c r="L280" s="11"/>
      <c r="M280" s="11"/>
      <c r="N280" s="8">
        <v>44</v>
      </c>
      <c r="O280" s="8">
        <v>32</v>
      </c>
    </row>
    <row r="281" spans="1:15" ht="15" thickBot="1" x14ac:dyDescent="0.4">
      <c r="A281" t="str">
        <f t="shared" ref="A281" si="227">IF(LEFT(G278,2)="FC",LEFT(G278,5),LEFT(G278,4))</f>
        <v>FC332</v>
      </c>
      <c r="B281" t="str">
        <f t="shared" si="209"/>
        <v>CPAC East</v>
      </c>
      <c r="C281" s="18"/>
      <c r="D281" s="18"/>
      <c r="E281" s="18"/>
      <c r="F281" s="18"/>
      <c r="G281" s="18"/>
      <c r="H281" s="22"/>
      <c r="I281" s="3" t="s">
        <v>20</v>
      </c>
      <c r="J281" s="10">
        <v>8.8000000000000007</v>
      </c>
      <c r="K281" s="10">
        <v>9.3000000000000007</v>
      </c>
      <c r="L281" s="11"/>
      <c r="M281" s="11"/>
      <c r="N281" s="10">
        <v>18.8</v>
      </c>
      <c r="O281" s="10">
        <v>13.5</v>
      </c>
    </row>
    <row r="282" spans="1:15" ht="15" thickBot="1" x14ac:dyDescent="0.4">
      <c r="A282" t="str">
        <f t="shared" ref="A282" si="228">IF(LEFT(G278,2)="FC",LEFT(G278,5),LEFT(G278,4))</f>
        <v>FC332</v>
      </c>
      <c r="B282" t="str">
        <f t="shared" si="209"/>
        <v>CPAC East</v>
      </c>
      <c r="C282" s="18"/>
      <c r="D282" s="18"/>
      <c r="E282" s="18"/>
      <c r="F282" s="18"/>
      <c r="G282" s="18"/>
      <c r="H282" s="22"/>
      <c r="I282" s="5" t="s">
        <v>21</v>
      </c>
      <c r="J282" s="10">
        <v>1.49</v>
      </c>
      <c r="K282" s="10">
        <v>1.59</v>
      </c>
      <c r="L282" s="11"/>
      <c r="M282" s="11"/>
      <c r="N282" s="9">
        <v>0.78</v>
      </c>
      <c r="O282" s="10">
        <v>0.8</v>
      </c>
    </row>
    <row r="283" spans="1:15" ht="15" thickBot="1" x14ac:dyDescent="0.4">
      <c r="A283" t="str">
        <f t="shared" ref="A283" si="229">IF(LEFT(G278,2)="FC",LEFT(G278,5),LEFT(G278,4))</f>
        <v>FC332</v>
      </c>
      <c r="B283" t="str">
        <f t="shared" si="209"/>
        <v>CPAC East</v>
      </c>
      <c r="C283" s="19"/>
      <c r="D283" s="19"/>
      <c r="E283" s="19"/>
      <c r="F283" s="19"/>
      <c r="G283" s="19"/>
      <c r="H283" s="23"/>
      <c r="I283" s="3" t="s">
        <v>22</v>
      </c>
      <c r="J283" s="10" t="s">
        <v>24</v>
      </c>
      <c r="K283" s="11"/>
      <c r="L283" s="11" t="s">
        <v>27</v>
      </c>
      <c r="M283" s="11" t="s">
        <v>27</v>
      </c>
      <c r="N283" s="9" t="s">
        <v>25</v>
      </c>
      <c r="O283" s="9" t="s">
        <v>25</v>
      </c>
    </row>
    <row r="284" spans="1:15" ht="15" thickBot="1" x14ac:dyDescent="0.4">
      <c r="B284" t="str">
        <f t="shared" si="209"/>
        <v>CPAC East</v>
      </c>
      <c r="C284" s="16"/>
      <c r="D284" s="16"/>
      <c r="E284" s="16"/>
      <c r="F284" s="16"/>
      <c r="G284" s="16" t="s">
        <v>89</v>
      </c>
      <c r="H284" s="30" t="s">
        <v>39</v>
      </c>
      <c r="I284" s="1"/>
      <c r="J284" s="1"/>
      <c r="K284" s="1"/>
      <c r="L284" s="1"/>
      <c r="M284" s="1"/>
      <c r="N284" s="1"/>
      <c r="O284" s="1"/>
    </row>
    <row r="285" spans="1:15" ht="15" thickBot="1" x14ac:dyDescent="0.4">
      <c r="A285" t="str">
        <f t="shared" ref="A285:A313" si="230">IF(LEFT(G284,2)="FC",LEFT(G284,5),LEFT(G284,4))</f>
        <v>FC017</v>
      </c>
      <c r="B285" t="str">
        <f t="shared" si="209"/>
        <v>CPAC East</v>
      </c>
      <c r="C285" s="18"/>
      <c r="D285" s="18"/>
      <c r="E285" s="18"/>
      <c r="F285" s="18"/>
      <c r="G285" s="18"/>
      <c r="H285" s="31"/>
      <c r="I285" s="3" t="s">
        <v>18</v>
      </c>
      <c r="J285" s="4">
        <v>33</v>
      </c>
      <c r="K285" s="4">
        <v>33</v>
      </c>
      <c r="L285" s="8">
        <v>18</v>
      </c>
      <c r="M285" s="4">
        <v>30</v>
      </c>
      <c r="N285" s="4">
        <v>33</v>
      </c>
      <c r="O285" s="4">
        <v>33</v>
      </c>
    </row>
    <row r="286" spans="1:15" ht="15" thickBot="1" x14ac:dyDescent="0.4">
      <c r="A286" t="str">
        <f t="shared" ref="A286" si="231">IF(LEFT(G284,2)="FC",LEFT(G284,5),LEFT(G284,4))</f>
        <v>FC017</v>
      </c>
      <c r="B286" t="str">
        <f t="shared" si="209"/>
        <v>CPAC East</v>
      </c>
      <c r="C286" s="18"/>
      <c r="D286" s="18"/>
      <c r="E286" s="18"/>
      <c r="F286" s="18"/>
      <c r="G286" s="18"/>
      <c r="H286" s="31"/>
      <c r="I286" s="5" t="s">
        <v>19</v>
      </c>
      <c r="J286" s="6">
        <v>61</v>
      </c>
      <c r="K286" s="6">
        <v>51</v>
      </c>
      <c r="L286" s="8">
        <v>44</v>
      </c>
      <c r="M286" s="7">
        <v>74</v>
      </c>
      <c r="N286" s="7">
        <v>89</v>
      </c>
      <c r="O286" s="6">
        <v>60</v>
      </c>
    </row>
    <row r="287" spans="1:15" ht="15" thickBot="1" x14ac:dyDescent="0.4">
      <c r="A287" t="str">
        <f t="shared" ref="A287" si="232">IF(LEFT(G284,2)="FC",LEFT(G284,5),LEFT(G284,4))</f>
        <v>FC017</v>
      </c>
      <c r="B287" t="str">
        <f t="shared" si="209"/>
        <v>CPAC East</v>
      </c>
      <c r="C287" s="18"/>
      <c r="D287" s="18"/>
      <c r="E287" s="18"/>
      <c r="F287" s="18"/>
      <c r="G287" s="18"/>
      <c r="H287" s="31"/>
      <c r="I287" s="3" t="s">
        <v>20</v>
      </c>
      <c r="J287" s="6">
        <v>44.7</v>
      </c>
      <c r="K287" s="10">
        <v>21.1</v>
      </c>
      <c r="L287" s="8">
        <v>49.4</v>
      </c>
      <c r="M287" s="10">
        <v>20.9</v>
      </c>
      <c r="N287" s="10">
        <v>19.8</v>
      </c>
      <c r="O287" s="10">
        <v>22</v>
      </c>
    </row>
    <row r="288" spans="1:15" ht="15" thickBot="1" x14ac:dyDescent="0.4">
      <c r="A288" t="str">
        <f t="shared" ref="A288" si="233">IF(LEFT(G284,2)="FC",LEFT(G284,5),LEFT(G284,4))</f>
        <v>FC017</v>
      </c>
      <c r="B288" t="str">
        <f t="shared" si="209"/>
        <v>CPAC East</v>
      </c>
      <c r="C288" s="18"/>
      <c r="D288" s="18"/>
      <c r="E288" s="18"/>
      <c r="F288" s="18"/>
      <c r="G288" s="18"/>
      <c r="H288" s="31"/>
      <c r="I288" s="5" t="s">
        <v>21</v>
      </c>
      <c r="J288" s="8">
        <v>0.45</v>
      </c>
      <c r="K288" s="10">
        <v>0.81</v>
      </c>
      <c r="L288" s="8">
        <v>0.28999999999999998</v>
      </c>
      <c r="M288" s="10">
        <v>1.19</v>
      </c>
      <c r="N288" s="10">
        <v>1.51</v>
      </c>
      <c r="O288" s="10">
        <v>0.9</v>
      </c>
    </row>
    <row r="289" spans="1:15" ht="15" thickBot="1" x14ac:dyDescent="0.4">
      <c r="A289" t="str">
        <f t="shared" ref="A289" si="234">IF(LEFT(G284,2)="FC",LEFT(G284,5),LEFT(G284,4))</f>
        <v>FC017</v>
      </c>
      <c r="B289" t="str">
        <f t="shared" si="209"/>
        <v>CPAC East</v>
      </c>
      <c r="C289" s="19"/>
      <c r="D289" s="19"/>
      <c r="E289" s="19"/>
      <c r="F289" s="19"/>
      <c r="G289" s="19"/>
      <c r="H289" s="32"/>
      <c r="I289" s="3" t="s">
        <v>22</v>
      </c>
      <c r="J289" s="8" t="s">
        <v>23</v>
      </c>
      <c r="K289" s="9" t="s">
        <v>25</v>
      </c>
      <c r="L289" s="8" t="s">
        <v>23</v>
      </c>
      <c r="M289" s="10" t="s">
        <v>24</v>
      </c>
      <c r="N289" s="10" t="s">
        <v>24</v>
      </c>
      <c r="O289" s="10" t="s">
        <v>24</v>
      </c>
    </row>
    <row r="290" spans="1:15" ht="15" thickBot="1" x14ac:dyDescent="0.4">
      <c r="B290" t="str">
        <f t="shared" si="209"/>
        <v>CPAC East</v>
      </c>
      <c r="C290" s="16"/>
      <c r="D290" s="16"/>
      <c r="E290" s="16"/>
      <c r="F290" s="16"/>
      <c r="G290" s="16" t="s">
        <v>90</v>
      </c>
      <c r="H290" s="20" t="s">
        <v>17</v>
      </c>
      <c r="I290" s="1"/>
      <c r="J290" s="1"/>
      <c r="K290" s="1"/>
      <c r="L290" s="1"/>
      <c r="M290" s="1"/>
      <c r="N290" s="1"/>
      <c r="O290" s="1"/>
    </row>
    <row r="291" spans="1:15" ht="15" thickBot="1" x14ac:dyDescent="0.4">
      <c r="A291" t="str">
        <f t="shared" ref="A291:A313" si="235">IF(LEFT(G290,2)="FC",LEFT(G290,5),LEFT(G290,4))</f>
        <v>FC043</v>
      </c>
      <c r="B291" t="str">
        <f t="shared" si="209"/>
        <v>CPAC East</v>
      </c>
      <c r="C291" s="18"/>
      <c r="D291" s="18"/>
      <c r="E291" s="18"/>
      <c r="F291" s="18"/>
      <c r="G291" s="18"/>
      <c r="H291" s="22"/>
      <c r="I291" s="3" t="s">
        <v>18</v>
      </c>
      <c r="J291" s="4">
        <v>30</v>
      </c>
      <c r="K291" s="4">
        <v>30</v>
      </c>
      <c r="L291" s="8">
        <v>20</v>
      </c>
      <c r="M291" s="11"/>
      <c r="N291" s="4">
        <v>30</v>
      </c>
      <c r="O291" s="8">
        <v>20</v>
      </c>
    </row>
    <row r="292" spans="1:15" ht="15" thickBot="1" x14ac:dyDescent="0.4">
      <c r="A292" t="str">
        <f t="shared" ref="A292" si="236">IF(LEFT(G290,2)="FC",LEFT(G290,5),LEFT(G290,4))</f>
        <v>FC043</v>
      </c>
      <c r="B292" t="str">
        <f t="shared" si="209"/>
        <v>CPAC East</v>
      </c>
      <c r="C292" s="18"/>
      <c r="D292" s="18"/>
      <c r="E292" s="18"/>
      <c r="F292" s="18"/>
      <c r="G292" s="18"/>
      <c r="H292" s="22"/>
      <c r="I292" s="5" t="s">
        <v>19</v>
      </c>
      <c r="J292" s="7">
        <v>76</v>
      </c>
      <c r="K292" s="9">
        <v>126</v>
      </c>
      <c r="L292" s="9">
        <v>104</v>
      </c>
      <c r="M292" s="11"/>
      <c r="N292" s="6">
        <v>60</v>
      </c>
      <c r="O292" s="7">
        <v>80</v>
      </c>
    </row>
    <row r="293" spans="1:15" ht="15" thickBot="1" x14ac:dyDescent="0.4">
      <c r="A293" t="str">
        <f t="shared" ref="A293" si="237">IF(LEFT(G290,2)="FC",LEFT(G290,5),LEFT(G290,4))</f>
        <v>FC043</v>
      </c>
      <c r="B293" t="str">
        <f t="shared" si="209"/>
        <v>CPAC East</v>
      </c>
      <c r="C293" s="18"/>
      <c r="D293" s="18"/>
      <c r="E293" s="18"/>
      <c r="F293" s="18"/>
      <c r="G293" s="18"/>
      <c r="H293" s="22"/>
      <c r="I293" s="3" t="s">
        <v>20</v>
      </c>
      <c r="J293" s="7">
        <v>38.5</v>
      </c>
      <c r="K293" s="7">
        <v>35.200000000000003</v>
      </c>
      <c r="L293" s="9">
        <v>30.9</v>
      </c>
      <c r="M293" s="11"/>
      <c r="N293" s="10">
        <v>12.9</v>
      </c>
      <c r="O293" s="8">
        <v>59</v>
      </c>
    </row>
    <row r="294" spans="1:15" ht="15" thickBot="1" x14ac:dyDescent="0.4">
      <c r="A294" t="str">
        <f t="shared" ref="A294" si="238">IF(LEFT(G290,2)="FC",LEFT(G290,5),LEFT(G290,4))</f>
        <v>FC043</v>
      </c>
      <c r="B294" t="str">
        <f t="shared" si="209"/>
        <v>CPAC East</v>
      </c>
      <c r="C294" s="18"/>
      <c r="D294" s="18"/>
      <c r="E294" s="18"/>
      <c r="F294" s="18"/>
      <c r="G294" s="18"/>
      <c r="H294" s="22"/>
      <c r="I294" s="5" t="s">
        <v>21</v>
      </c>
      <c r="J294" s="9">
        <v>0.66</v>
      </c>
      <c r="K294" s="10">
        <v>1.19</v>
      </c>
      <c r="L294" s="10">
        <v>1.1200000000000001</v>
      </c>
      <c r="M294" s="11"/>
      <c r="N294" s="10">
        <v>1.55</v>
      </c>
      <c r="O294" s="8">
        <v>0.45</v>
      </c>
    </row>
    <row r="295" spans="1:15" ht="15" thickBot="1" x14ac:dyDescent="0.4">
      <c r="A295" t="str">
        <f t="shared" ref="A295" si="239">IF(LEFT(G290,2)="FC",LEFT(G290,5),LEFT(G290,4))</f>
        <v>FC043</v>
      </c>
      <c r="B295" t="str">
        <f t="shared" si="209"/>
        <v>CPAC East</v>
      </c>
      <c r="C295" s="19"/>
      <c r="D295" s="19"/>
      <c r="E295" s="19"/>
      <c r="F295" s="19"/>
      <c r="G295" s="19"/>
      <c r="H295" s="23"/>
      <c r="I295" s="3" t="s">
        <v>22</v>
      </c>
      <c r="J295" s="9" t="s">
        <v>25</v>
      </c>
      <c r="K295" s="10" t="s">
        <v>24</v>
      </c>
      <c r="L295" s="10" t="s">
        <v>24</v>
      </c>
      <c r="M295" s="11" t="s">
        <v>45</v>
      </c>
      <c r="N295" s="10" t="s">
        <v>24</v>
      </c>
      <c r="O295" s="8" t="s">
        <v>23</v>
      </c>
    </row>
    <row r="296" spans="1:15" ht="15" thickBot="1" x14ac:dyDescent="0.4">
      <c r="B296" t="str">
        <f t="shared" si="209"/>
        <v>CPAC East</v>
      </c>
      <c r="C296" s="16"/>
      <c r="D296" s="16"/>
      <c r="E296" s="16"/>
      <c r="F296" s="16" t="s">
        <v>91</v>
      </c>
      <c r="G296" s="16" t="s">
        <v>92</v>
      </c>
      <c r="H296" s="20" t="s">
        <v>17</v>
      </c>
      <c r="I296" s="1"/>
      <c r="J296" s="1"/>
      <c r="K296" s="1"/>
      <c r="L296" s="1"/>
      <c r="M296" s="1"/>
      <c r="N296" s="1"/>
      <c r="O296" s="1"/>
    </row>
    <row r="297" spans="1:15" ht="15" thickBot="1" x14ac:dyDescent="0.4">
      <c r="A297" t="str">
        <f t="shared" ref="A297:A313" si="240">IF(LEFT(G296,2)="FC",LEFT(G296,5),LEFT(G296,4))</f>
        <v>FC105</v>
      </c>
      <c r="B297" t="str">
        <f t="shared" si="209"/>
        <v>CPAC East</v>
      </c>
      <c r="C297" s="18"/>
      <c r="D297" s="18"/>
      <c r="E297" s="18"/>
      <c r="F297" s="18"/>
      <c r="G297" s="18"/>
      <c r="H297" s="22"/>
      <c r="I297" s="3" t="s">
        <v>18</v>
      </c>
      <c r="J297" s="8">
        <v>21</v>
      </c>
      <c r="K297" s="8">
        <v>18</v>
      </c>
      <c r="L297" s="8">
        <v>15</v>
      </c>
      <c r="M297" s="8">
        <v>24</v>
      </c>
      <c r="N297" s="4">
        <v>30</v>
      </c>
      <c r="O297" s="4">
        <v>30</v>
      </c>
    </row>
    <row r="298" spans="1:15" ht="15" thickBot="1" x14ac:dyDescent="0.4">
      <c r="A298" t="str">
        <f t="shared" ref="A298" si="241">IF(LEFT(G296,2)="FC",LEFT(G296,5),LEFT(G296,4))</f>
        <v>FC105</v>
      </c>
      <c r="B298" t="str">
        <f t="shared" si="209"/>
        <v>CPAC East</v>
      </c>
      <c r="C298" s="18"/>
      <c r="D298" s="18"/>
      <c r="E298" s="18"/>
      <c r="F298" s="18"/>
      <c r="G298" s="18"/>
      <c r="H298" s="22"/>
      <c r="I298" s="5" t="s">
        <v>19</v>
      </c>
      <c r="J298" s="6">
        <v>65</v>
      </c>
      <c r="K298" s="7">
        <v>81</v>
      </c>
      <c r="L298" s="8">
        <v>36</v>
      </c>
      <c r="M298" s="6">
        <v>61</v>
      </c>
      <c r="N298" s="8">
        <v>35</v>
      </c>
      <c r="O298" s="6">
        <v>57</v>
      </c>
    </row>
    <row r="299" spans="1:15" ht="15" thickBot="1" x14ac:dyDescent="0.4">
      <c r="A299" t="str">
        <f t="shared" ref="A299" si="242">IF(LEFT(G296,2)="FC",LEFT(G296,5),LEFT(G296,4))</f>
        <v>FC105</v>
      </c>
      <c r="B299" t="str">
        <f t="shared" si="209"/>
        <v>CPAC East</v>
      </c>
      <c r="C299" s="18"/>
      <c r="D299" s="18"/>
      <c r="E299" s="18"/>
      <c r="F299" s="18"/>
      <c r="G299" s="18"/>
      <c r="H299" s="22"/>
      <c r="I299" s="3" t="s">
        <v>20</v>
      </c>
      <c r="J299" s="10">
        <v>18.600000000000001</v>
      </c>
      <c r="K299" s="8">
        <v>83.9</v>
      </c>
      <c r="L299" s="10">
        <v>23</v>
      </c>
      <c r="M299" s="8">
        <v>56.6</v>
      </c>
      <c r="N299" s="10">
        <v>20.7</v>
      </c>
      <c r="O299" s="10">
        <v>13.7</v>
      </c>
    </row>
    <row r="300" spans="1:15" ht="15" thickBot="1" x14ac:dyDescent="0.4">
      <c r="A300" t="str">
        <f t="shared" ref="A300" si="243">IF(LEFT(G296,2)="FC",LEFT(G296,5),LEFT(G296,4))</f>
        <v>FC105</v>
      </c>
      <c r="B300" t="str">
        <f t="shared" si="209"/>
        <v>CPAC East</v>
      </c>
      <c r="C300" s="18"/>
      <c r="D300" s="18"/>
      <c r="E300" s="18"/>
      <c r="F300" s="18"/>
      <c r="G300" s="18"/>
      <c r="H300" s="22"/>
      <c r="I300" s="5" t="s">
        <v>21</v>
      </c>
      <c r="J300" s="10">
        <v>1.17</v>
      </c>
      <c r="K300" s="8">
        <v>0.32</v>
      </c>
      <c r="L300" s="8">
        <v>0.53</v>
      </c>
      <c r="M300" s="8">
        <v>0.36</v>
      </c>
      <c r="N300" s="9">
        <v>0.56999999999999995</v>
      </c>
      <c r="O300" s="10">
        <v>1.38</v>
      </c>
    </row>
    <row r="301" spans="1:15" ht="15" thickBot="1" x14ac:dyDescent="0.4">
      <c r="A301" t="str">
        <f t="shared" ref="A301" si="244">IF(LEFT(G296,2)="FC",LEFT(G296,5),LEFT(G296,4))</f>
        <v>FC105</v>
      </c>
      <c r="B301" t="str">
        <f t="shared" si="209"/>
        <v>CPAC East</v>
      </c>
      <c r="C301" s="19"/>
      <c r="D301" s="19"/>
      <c r="E301" s="19"/>
      <c r="F301" s="19"/>
      <c r="G301" s="19"/>
      <c r="H301" s="23"/>
      <c r="I301" s="3" t="s">
        <v>22</v>
      </c>
      <c r="J301" s="10" t="s">
        <v>24</v>
      </c>
      <c r="K301" s="8" t="s">
        <v>23</v>
      </c>
      <c r="L301" s="8" t="s">
        <v>23</v>
      </c>
      <c r="M301" s="8" t="s">
        <v>23</v>
      </c>
      <c r="N301" s="11"/>
      <c r="O301" s="10" t="s">
        <v>24</v>
      </c>
    </row>
    <row r="302" spans="1:15" ht="15" thickBot="1" x14ac:dyDescent="0.4">
      <c r="B302" t="str">
        <f t="shared" si="209"/>
        <v>CPAC East</v>
      </c>
      <c r="C302" s="16"/>
      <c r="D302" s="16"/>
      <c r="E302" s="16"/>
      <c r="F302" s="16"/>
      <c r="G302" s="16" t="s">
        <v>93</v>
      </c>
      <c r="H302" s="27" t="s">
        <v>34</v>
      </c>
      <c r="I302" s="1"/>
      <c r="J302" s="1"/>
      <c r="K302" s="1"/>
      <c r="L302" s="1"/>
      <c r="M302" s="1"/>
      <c r="N302" s="1"/>
      <c r="O302" s="1"/>
    </row>
    <row r="303" spans="1:15" ht="15" thickBot="1" x14ac:dyDescent="0.4">
      <c r="A303" t="str">
        <f t="shared" ref="A303:A313" si="245">IF(LEFT(G302,2)="FC",LEFT(G302,5),LEFT(G302,4))</f>
        <v>FC401</v>
      </c>
      <c r="B303" t="str">
        <f t="shared" si="209"/>
        <v>CPAC East</v>
      </c>
      <c r="C303" s="18"/>
      <c r="D303" s="18"/>
      <c r="E303" s="18"/>
      <c r="F303" s="18"/>
      <c r="G303" s="18"/>
      <c r="H303" s="28"/>
      <c r="I303" s="3" t="s">
        <v>18</v>
      </c>
      <c r="J303" s="4">
        <v>30</v>
      </c>
      <c r="K303" s="8">
        <v>15</v>
      </c>
      <c r="L303" s="4">
        <v>32</v>
      </c>
      <c r="M303" s="4">
        <v>30</v>
      </c>
      <c r="N303" s="4">
        <v>50</v>
      </c>
      <c r="O303" s="4">
        <v>46</v>
      </c>
    </row>
    <row r="304" spans="1:15" ht="15" thickBot="1" x14ac:dyDescent="0.4">
      <c r="A304" t="str">
        <f t="shared" ref="A304" si="246">IF(LEFT(G302,2)="FC",LEFT(G302,5),LEFT(G302,4))</f>
        <v>FC401</v>
      </c>
      <c r="B304" t="str">
        <f t="shared" si="209"/>
        <v>CPAC East</v>
      </c>
      <c r="C304" s="18"/>
      <c r="D304" s="18"/>
      <c r="E304" s="18"/>
      <c r="F304" s="18"/>
      <c r="G304" s="18"/>
      <c r="H304" s="28"/>
      <c r="I304" s="5" t="s">
        <v>19</v>
      </c>
      <c r="J304" s="8">
        <v>28</v>
      </c>
      <c r="K304" s="6">
        <v>64</v>
      </c>
      <c r="L304" s="6">
        <v>58</v>
      </c>
      <c r="M304" s="8">
        <v>35</v>
      </c>
      <c r="N304" s="8">
        <v>26</v>
      </c>
      <c r="O304" s="8">
        <v>34</v>
      </c>
    </row>
    <row r="305" spans="1:15" ht="15" thickBot="1" x14ac:dyDescent="0.4">
      <c r="A305" t="str">
        <f t="shared" ref="A305" si="247">IF(LEFT(G302,2)="FC",LEFT(G302,5),LEFT(G302,4))</f>
        <v>FC401</v>
      </c>
      <c r="B305" t="str">
        <f t="shared" si="209"/>
        <v>CPAC East</v>
      </c>
      <c r="C305" s="18"/>
      <c r="D305" s="18"/>
      <c r="E305" s="18"/>
      <c r="F305" s="18"/>
      <c r="G305" s="18"/>
      <c r="H305" s="28"/>
      <c r="I305" s="3" t="s">
        <v>20</v>
      </c>
      <c r="J305" s="10">
        <v>8.9</v>
      </c>
      <c r="K305" s="10">
        <v>19.2</v>
      </c>
      <c r="L305" s="10">
        <v>17.2</v>
      </c>
      <c r="M305" s="10">
        <v>12.1</v>
      </c>
      <c r="N305" s="10">
        <v>19.399999999999999</v>
      </c>
      <c r="O305" s="10">
        <v>9.5</v>
      </c>
    </row>
    <row r="306" spans="1:15" ht="15" thickBot="1" x14ac:dyDescent="0.4">
      <c r="A306" t="str">
        <f t="shared" ref="A306" si="248">IF(LEFT(G302,2)="FC",LEFT(G302,5),LEFT(G302,4))</f>
        <v>FC401</v>
      </c>
      <c r="B306" t="str">
        <f t="shared" si="209"/>
        <v>CPAC East</v>
      </c>
      <c r="C306" s="18"/>
      <c r="D306" s="18"/>
      <c r="E306" s="18"/>
      <c r="F306" s="18"/>
      <c r="G306" s="18"/>
      <c r="H306" s="28"/>
      <c r="I306" s="5" t="s">
        <v>21</v>
      </c>
      <c r="J306" s="10">
        <v>1.06</v>
      </c>
      <c r="K306" s="10">
        <v>1.1100000000000001</v>
      </c>
      <c r="L306" s="10">
        <v>1.1299999999999999</v>
      </c>
      <c r="M306" s="10">
        <v>0.97</v>
      </c>
      <c r="N306" s="8">
        <v>0.44</v>
      </c>
      <c r="O306" s="10">
        <v>1.18</v>
      </c>
    </row>
    <row r="307" spans="1:15" ht="15" thickBot="1" x14ac:dyDescent="0.4">
      <c r="A307" t="str">
        <f t="shared" ref="A307" si="249">IF(LEFT(G302,2)="FC",LEFT(G302,5),LEFT(G302,4))</f>
        <v>FC401</v>
      </c>
      <c r="B307" t="str">
        <f t="shared" si="209"/>
        <v>CPAC East</v>
      </c>
      <c r="C307" s="19"/>
      <c r="D307" s="19"/>
      <c r="E307" s="19"/>
      <c r="F307" s="19"/>
      <c r="G307" s="19"/>
      <c r="H307" s="29"/>
      <c r="I307" s="3" t="s">
        <v>22</v>
      </c>
      <c r="J307" s="11"/>
      <c r="K307" s="10" t="s">
        <v>24</v>
      </c>
      <c r="L307" s="11"/>
      <c r="M307" s="11"/>
      <c r="N307" s="11"/>
      <c r="O307" s="11"/>
    </row>
    <row r="308" spans="1:15" ht="15" thickBot="1" x14ac:dyDescent="0.4">
      <c r="B308" t="str">
        <f t="shared" si="209"/>
        <v>CPAC East</v>
      </c>
      <c r="C308" s="16"/>
      <c r="D308" s="16"/>
      <c r="E308" s="16"/>
      <c r="F308" s="16"/>
      <c r="G308" s="16" t="s">
        <v>94</v>
      </c>
      <c r="H308" s="27" t="s">
        <v>34</v>
      </c>
      <c r="I308" s="1"/>
      <c r="J308" s="1"/>
      <c r="K308" s="1"/>
      <c r="L308" s="1"/>
      <c r="M308" s="1"/>
      <c r="N308" s="1"/>
      <c r="O308" s="1"/>
    </row>
    <row r="309" spans="1:15" ht="15" thickBot="1" x14ac:dyDescent="0.4">
      <c r="A309" t="str">
        <f t="shared" ref="A309:A369" si="250">IF(LEFT(G308,2)="FC",LEFT(G308,5),LEFT(G308,4))</f>
        <v>FC071</v>
      </c>
      <c r="B309" t="str">
        <f t="shared" si="209"/>
        <v>CPAC East</v>
      </c>
      <c r="C309" s="18"/>
      <c r="D309" s="18"/>
      <c r="E309" s="18"/>
      <c r="F309" s="18"/>
      <c r="G309" s="18"/>
      <c r="H309" s="28"/>
      <c r="I309" s="3" t="s">
        <v>18</v>
      </c>
      <c r="J309" s="4">
        <v>46</v>
      </c>
      <c r="K309" s="4">
        <v>35</v>
      </c>
      <c r="L309" s="4">
        <v>65</v>
      </c>
      <c r="M309" s="4">
        <v>35</v>
      </c>
      <c r="N309" s="8">
        <v>18</v>
      </c>
      <c r="O309" s="4">
        <v>33</v>
      </c>
    </row>
    <row r="310" spans="1:15" ht="15" thickBot="1" x14ac:dyDescent="0.4">
      <c r="A310" t="str">
        <f t="shared" ref="A310" si="251">IF(LEFT(G308,2)="FC",LEFT(G308,5),LEFT(G308,4))</f>
        <v>FC071</v>
      </c>
      <c r="B310" t="str">
        <f t="shared" si="209"/>
        <v>CPAC East</v>
      </c>
      <c r="C310" s="18"/>
      <c r="D310" s="18"/>
      <c r="E310" s="18"/>
      <c r="F310" s="18"/>
      <c r="G310" s="18"/>
      <c r="H310" s="28"/>
      <c r="I310" s="5" t="s">
        <v>19</v>
      </c>
      <c r="J310" s="7">
        <v>71</v>
      </c>
      <c r="K310" s="6">
        <v>61</v>
      </c>
      <c r="L310" s="9">
        <v>120</v>
      </c>
      <c r="M310" s="9">
        <v>109</v>
      </c>
      <c r="N310" s="7">
        <v>75</v>
      </c>
      <c r="O310" s="7">
        <v>70</v>
      </c>
    </row>
    <row r="311" spans="1:15" ht="15" thickBot="1" x14ac:dyDescent="0.4">
      <c r="A311" t="str">
        <f t="shared" ref="A311" si="252">IF(LEFT(G308,2)="FC",LEFT(G308,5),LEFT(G308,4))</f>
        <v>FC071</v>
      </c>
      <c r="B311" t="str">
        <f t="shared" si="209"/>
        <v>CPAC East</v>
      </c>
      <c r="C311" s="18"/>
      <c r="D311" s="18"/>
      <c r="E311" s="18"/>
      <c r="F311" s="18"/>
      <c r="G311" s="18"/>
      <c r="H311" s="28"/>
      <c r="I311" s="3" t="s">
        <v>20</v>
      </c>
      <c r="J311" s="9">
        <v>33.299999999999997</v>
      </c>
      <c r="K311" s="9">
        <v>33.6</v>
      </c>
      <c r="L311" s="6">
        <v>43.2</v>
      </c>
      <c r="M311" s="7">
        <v>34.9</v>
      </c>
      <c r="N311" s="7">
        <v>36.1</v>
      </c>
      <c r="O311" s="10">
        <v>25.2</v>
      </c>
    </row>
    <row r="312" spans="1:15" ht="15" thickBot="1" x14ac:dyDescent="0.4">
      <c r="A312" t="str">
        <f t="shared" ref="A312" si="253">IF(LEFT(G308,2)="FC",LEFT(G308,5),LEFT(G308,4))</f>
        <v>FC071</v>
      </c>
      <c r="B312" t="str">
        <f t="shared" si="209"/>
        <v>CPAC East</v>
      </c>
      <c r="C312" s="18"/>
      <c r="D312" s="18"/>
      <c r="E312" s="18"/>
      <c r="F312" s="18"/>
      <c r="G312" s="18"/>
      <c r="H312" s="28"/>
      <c r="I312" s="5" t="s">
        <v>21</v>
      </c>
      <c r="J312" s="9">
        <v>0.71</v>
      </c>
      <c r="K312" s="9">
        <v>0.61</v>
      </c>
      <c r="L312" s="10">
        <v>0.93</v>
      </c>
      <c r="M312" s="10">
        <v>1.04</v>
      </c>
      <c r="N312" s="9">
        <v>0.69</v>
      </c>
      <c r="O312" s="10">
        <v>0.93</v>
      </c>
    </row>
    <row r="313" spans="1:15" ht="15" thickBot="1" x14ac:dyDescent="0.4">
      <c r="A313" t="str">
        <f t="shared" ref="A313" si="254">IF(LEFT(G308,2)="FC",LEFT(G308,5),LEFT(G308,4))</f>
        <v>FC071</v>
      </c>
      <c r="B313" t="str">
        <f t="shared" si="209"/>
        <v>CPAC East</v>
      </c>
      <c r="C313" s="33"/>
      <c r="D313" s="33"/>
      <c r="E313" s="33"/>
      <c r="F313" s="33"/>
      <c r="G313" s="33"/>
      <c r="H313" s="34"/>
      <c r="I313" s="12" t="s">
        <v>22</v>
      </c>
      <c r="J313" s="13"/>
      <c r="K313" s="13"/>
      <c r="L313" s="13"/>
      <c r="M313" s="13"/>
      <c r="N313" s="14" t="s">
        <v>25</v>
      </c>
      <c r="O313" s="15" t="s">
        <v>24</v>
      </c>
    </row>
    <row r="314" spans="1:15" ht="15" thickBot="1" x14ac:dyDescent="0.4">
      <c r="B314" t="str">
        <f>$D$314</f>
        <v>CPAC West</v>
      </c>
      <c r="C314" s="17"/>
      <c r="D314" s="17" t="s">
        <v>95</v>
      </c>
      <c r="E314" s="17" t="s">
        <v>96</v>
      </c>
      <c r="F314" s="17" t="s">
        <v>97</v>
      </c>
      <c r="G314" s="17" t="s">
        <v>98</v>
      </c>
      <c r="H314" s="35" t="s">
        <v>30</v>
      </c>
      <c r="I314" s="1"/>
      <c r="J314" s="1"/>
      <c r="K314" s="1"/>
      <c r="L314" s="1"/>
      <c r="M314" s="1"/>
      <c r="N314" s="1"/>
      <c r="O314" s="1"/>
    </row>
    <row r="315" spans="1:15" ht="15" thickBot="1" x14ac:dyDescent="0.4">
      <c r="A315" t="str">
        <f t="shared" si="250"/>
        <v>13YQ</v>
      </c>
      <c r="B315" t="str">
        <f t="shared" ref="B315:B378" si="255">$D$314</f>
        <v>CPAC West</v>
      </c>
      <c r="C315" s="18"/>
      <c r="D315" s="18"/>
      <c r="E315" s="18"/>
      <c r="F315" s="18"/>
      <c r="G315" s="18"/>
      <c r="H315" s="25"/>
      <c r="I315" s="3" t="s">
        <v>18</v>
      </c>
      <c r="J315" s="11"/>
      <c r="K315" s="11"/>
      <c r="L315" s="11"/>
      <c r="M315" s="11"/>
      <c r="N315" s="11"/>
      <c r="O315" s="11"/>
    </row>
    <row r="316" spans="1:15" ht="15" thickBot="1" x14ac:dyDescent="0.4">
      <c r="A316" t="str">
        <f t="shared" ref="A316:A376" si="256">IF(LEFT(G314,2)="FC",LEFT(G314,5),LEFT(G314,4))</f>
        <v>13YQ</v>
      </c>
      <c r="B316" t="str">
        <f t="shared" si="255"/>
        <v>CPAC West</v>
      </c>
      <c r="C316" s="18"/>
      <c r="D316" s="18"/>
      <c r="E316" s="18"/>
      <c r="F316" s="18"/>
      <c r="G316" s="18"/>
      <c r="H316" s="25"/>
      <c r="I316" s="5" t="s">
        <v>19</v>
      </c>
      <c r="J316" s="11"/>
      <c r="K316" s="11"/>
      <c r="L316" s="11"/>
      <c r="M316" s="11"/>
      <c r="N316" s="11"/>
      <c r="O316" s="11"/>
    </row>
    <row r="317" spans="1:15" ht="15" thickBot="1" x14ac:dyDescent="0.4">
      <c r="A317" t="str">
        <f t="shared" ref="A317:A377" si="257">IF(LEFT(G314,2)="FC",LEFT(G314,5),LEFT(G314,4))</f>
        <v>13YQ</v>
      </c>
      <c r="B317" t="str">
        <f t="shared" si="255"/>
        <v>CPAC West</v>
      </c>
      <c r="C317" s="18"/>
      <c r="D317" s="18"/>
      <c r="E317" s="18"/>
      <c r="F317" s="18"/>
      <c r="G317" s="18"/>
      <c r="H317" s="25"/>
      <c r="I317" s="3" t="s">
        <v>20</v>
      </c>
      <c r="J317" s="11"/>
      <c r="K317" s="11"/>
      <c r="L317" s="11"/>
      <c r="M317" s="11"/>
      <c r="N317" s="11"/>
      <c r="O317" s="11"/>
    </row>
    <row r="318" spans="1:15" ht="15" thickBot="1" x14ac:dyDescent="0.4">
      <c r="A318" t="str">
        <f t="shared" ref="A318:A378" si="258">IF(LEFT(G314,2)="FC",LEFT(G314,5),LEFT(G314,4))</f>
        <v>13YQ</v>
      </c>
      <c r="B318" t="str">
        <f t="shared" si="255"/>
        <v>CPAC West</v>
      </c>
      <c r="C318" s="18"/>
      <c r="D318" s="18"/>
      <c r="E318" s="18"/>
      <c r="F318" s="18"/>
      <c r="G318" s="18"/>
      <c r="H318" s="25"/>
      <c r="I318" s="5" t="s">
        <v>21</v>
      </c>
      <c r="J318" s="11"/>
      <c r="K318" s="11"/>
      <c r="L318" s="11"/>
      <c r="M318" s="11"/>
      <c r="N318" s="11"/>
      <c r="O318" s="11"/>
    </row>
    <row r="319" spans="1:15" ht="15" thickBot="1" x14ac:dyDescent="0.4">
      <c r="A319" t="str">
        <f t="shared" ref="A319:A379" si="259">IF(LEFT(G314,2)="FC",LEFT(G314,5),LEFT(G314,4))</f>
        <v>13YQ</v>
      </c>
      <c r="B319" t="str">
        <f t="shared" si="255"/>
        <v>CPAC West</v>
      </c>
      <c r="C319" s="19"/>
      <c r="D319" s="19"/>
      <c r="E319" s="19"/>
      <c r="F319" s="19"/>
      <c r="G319" s="19"/>
      <c r="H319" s="26"/>
      <c r="I319" s="3" t="s">
        <v>22</v>
      </c>
      <c r="J319" s="11" t="s">
        <v>46</v>
      </c>
      <c r="K319" s="11" t="s">
        <v>46</v>
      </c>
      <c r="L319" s="11" t="s">
        <v>46</v>
      </c>
      <c r="M319" s="11" t="s">
        <v>46</v>
      </c>
      <c r="N319" s="11" t="s">
        <v>46</v>
      </c>
      <c r="O319" s="11" t="s">
        <v>46</v>
      </c>
    </row>
    <row r="320" spans="1:15" ht="15" thickBot="1" x14ac:dyDescent="0.4">
      <c r="B320" t="str">
        <f t="shared" si="255"/>
        <v>CPAC West</v>
      </c>
      <c r="C320" s="16"/>
      <c r="D320" s="16"/>
      <c r="E320" s="16"/>
      <c r="F320" s="16"/>
      <c r="G320" s="16" t="s">
        <v>99</v>
      </c>
      <c r="H320" s="20" t="s">
        <v>17</v>
      </c>
      <c r="I320" s="1"/>
      <c r="J320" s="1"/>
      <c r="K320" s="1"/>
      <c r="L320" s="1"/>
      <c r="M320" s="1"/>
      <c r="N320" s="1"/>
      <c r="O320" s="1"/>
    </row>
    <row r="321" spans="1:15" ht="15" thickBot="1" x14ac:dyDescent="0.4">
      <c r="A321" t="str">
        <f t="shared" si="250"/>
        <v>FC138</v>
      </c>
      <c r="B321" t="str">
        <f t="shared" si="255"/>
        <v>CPAC West</v>
      </c>
      <c r="C321" s="18"/>
      <c r="D321" s="18"/>
      <c r="E321" s="18"/>
      <c r="F321" s="18"/>
      <c r="G321" s="18"/>
      <c r="H321" s="22"/>
      <c r="I321" s="3" t="s">
        <v>18</v>
      </c>
      <c r="J321" s="4">
        <v>37</v>
      </c>
      <c r="K321" s="4">
        <v>36</v>
      </c>
      <c r="L321" s="8">
        <v>18</v>
      </c>
      <c r="M321" s="4">
        <v>33</v>
      </c>
      <c r="N321" s="4">
        <v>43</v>
      </c>
      <c r="O321" s="4">
        <v>36</v>
      </c>
    </row>
    <row r="322" spans="1:15" ht="15" thickBot="1" x14ac:dyDescent="0.4">
      <c r="A322" t="str">
        <f t="shared" si="256"/>
        <v>FC138</v>
      </c>
      <c r="B322" t="str">
        <f t="shared" si="255"/>
        <v>CPAC West</v>
      </c>
      <c r="C322" s="18"/>
      <c r="D322" s="18"/>
      <c r="E322" s="18"/>
      <c r="F322" s="18"/>
      <c r="G322" s="18"/>
      <c r="H322" s="22"/>
      <c r="I322" s="5" t="s">
        <v>19</v>
      </c>
      <c r="J322" s="6">
        <v>59</v>
      </c>
      <c r="K322" s="8">
        <v>46</v>
      </c>
      <c r="L322" s="8">
        <v>49</v>
      </c>
      <c r="M322" s="8">
        <v>29</v>
      </c>
      <c r="N322" s="8">
        <v>17</v>
      </c>
      <c r="O322" s="8">
        <v>44</v>
      </c>
    </row>
    <row r="323" spans="1:15" ht="15" thickBot="1" x14ac:dyDescent="0.4">
      <c r="A323" t="str">
        <f t="shared" si="257"/>
        <v>FC138</v>
      </c>
      <c r="B323" t="str">
        <f t="shared" si="255"/>
        <v>CPAC West</v>
      </c>
      <c r="C323" s="18"/>
      <c r="D323" s="18"/>
      <c r="E323" s="18"/>
      <c r="F323" s="18"/>
      <c r="G323" s="18"/>
      <c r="H323" s="22"/>
      <c r="I323" s="3" t="s">
        <v>20</v>
      </c>
      <c r="J323" s="10">
        <v>15.6</v>
      </c>
      <c r="K323" s="10">
        <v>20</v>
      </c>
      <c r="L323" s="10">
        <v>21.4</v>
      </c>
      <c r="M323" s="10">
        <v>28.3</v>
      </c>
      <c r="N323" s="10">
        <v>17</v>
      </c>
      <c r="O323" s="8">
        <v>63.1</v>
      </c>
    </row>
    <row r="324" spans="1:15" ht="15" thickBot="1" x14ac:dyDescent="0.4">
      <c r="A324" t="str">
        <f t="shared" si="258"/>
        <v>FC138</v>
      </c>
      <c r="B324" t="str">
        <f t="shared" si="255"/>
        <v>CPAC West</v>
      </c>
      <c r="C324" s="18"/>
      <c r="D324" s="18"/>
      <c r="E324" s="18"/>
      <c r="F324" s="18"/>
      <c r="G324" s="18"/>
      <c r="H324" s="22"/>
      <c r="I324" s="5" t="s">
        <v>21</v>
      </c>
      <c r="J324" s="10">
        <v>1.27</v>
      </c>
      <c r="K324" s="9">
        <v>0.76</v>
      </c>
      <c r="L324" s="9">
        <v>0.76</v>
      </c>
      <c r="M324" s="8">
        <v>0.34</v>
      </c>
      <c r="N324" s="8">
        <v>0.33</v>
      </c>
      <c r="O324" s="8">
        <v>0.23</v>
      </c>
    </row>
    <row r="325" spans="1:15" ht="15" thickBot="1" x14ac:dyDescent="0.4">
      <c r="A325" t="str">
        <f t="shared" si="259"/>
        <v>FC138</v>
      </c>
      <c r="B325" t="str">
        <f t="shared" si="255"/>
        <v>CPAC West</v>
      </c>
      <c r="C325" s="19"/>
      <c r="D325" s="19"/>
      <c r="E325" s="19"/>
      <c r="F325" s="19"/>
      <c r="G325" s="19"/>
      <c r="H325" s="23"/>
      <c r="I325" s="3" t="s">
        <v>22</v>
      </c>
      <c r="J325" s="11"/>
      <c r="K325" s="11"/>
      <c r="L325" s="9" t="s">
        <v>25</v>
      </c>
      <c r="M325" s="11"/>
      <c r="N325" s="11"/>
      <c r="O325" s="8" t="s">
        <v>23</v>
      </c>
    </row>
    <row r="326" spans="1:15" ht="15" thickBot="1" x14ac:dyDescent="0.4">
      <c r="B326" t="str">
        <f t="shared" si="255"/>
        <v>CPAC West</v>
      </c>
      <c r="C326" s="16"/>
      <c r="D326" s="16"/>
      <c r="E326" s="16"/>
      <c r="F326" s="16" t="s">
        <v>100</v>
      </c>
      <c r="G326" s="16" t="s">
        <v>101</v>
      </c>
      <c r="H326" s="27" t="s">
        <v>34</v>
      </c>
      <c r="I326" s="1"/>
      <c r="J326" s="1"/>
      <c r="K326" s="1"/>
      <c r="L326" s="1"/>
      <c r="M326" s="1"/>
      <c r="N326" s="1"/>
      <c r="O326" s="1"/>
    </row>
    <row r="327" spans="1:15" ht="15" thickBot="1" x14ac:dyDescent="0.4">
      <c r="A327" t="str">
        <f t="shared" si="250"/>
        <v>FC214</v>
      </c>
      <c r="B327" t="str">
        <f t="shared" si="255"/>
        <v>CPAC West</v>
      </c>
      <c r="C327" s="18"/>
      <c r="D327" s="18"/>
      <c r="E327" s="18"/>
      <c r="F327" s="18"/>
      <c r="G327" s="18"/>
      <c r="H327" s="28"/>
      <c r="I327" s="3" t="s">
        <v>18</v>
      </c>
      <c r="J327" s="8">
        <v>15</v>
      </c>
      <c r="K327" s="11"/>
      <c r="L327" s="4">
        <v>39</v>
      </c>
      <c r="M327" s="4">
        <v>33</v>
      </c>
      <c r="N327" s="4">
        <v>45</v>
      </c>
      <c r="O327" s="4">
        <v>30</v>
      </c>
    </row>
    <row r="328" spans="1:15" ht="15" thickBot="1" x14ac:dyDescent="0.4">
      <c r="A328" t="str">
        <f t="shared" si="256"/>
        <v>FC214</v>
      </c>
      <c r="B328" t="str">
        <f t="shared" si="255"/>
        <v>CPAC West</v>
      </c>
      <c r="C328" s="18"/>
      <c r="D328" s="18"/>
      <c r="E328" s="18"/>
      <c r="F328" s="18"/>
      <c r="G328" s="18"/>
      <c r="H328" s="28"/>
      <c r="I328" s="5" t="s">
        <v>19</v>
      </c>
      <c r="J328" s="9">
        <v>102</v>
      </c>
      <c r="K328" s="11"/>
      <c r="L328" s="7">
        <v>70</v>
      </c>
      <c r="M328" s="6">
        <v>59</v>
      </c>
      <c r="N328" s="8">
        <v>36</v>
      </c>
      <c r="O328" s="8">
        <v>18</v>
      </c>
    </row>
    <row r="329" spans="1:15" ht="15" thickBot="1" x14ac:dyDescent="0.4">
      <c r="A329" t="str">
        <f t="shared" si="257"/>
        <v>FC214</v>
      </c>
      <c r="B329" t="str">
        <f t="shared" si="255"/>
        <v>CPAC West</v>
      </c>
      <c r="C329" s="18"/>
      <c r="D329" s="18"/>
      <c r="E329" s="18"/>
      <c r="F329" s="18"/>
      <c r="G329" s="18"/>
      <c r="H329" s="28"/>
      <c r="I329" s="3" t="s">
        <v>20</v>
      </c>
      <c r="J329" s="8">
        <v>55.2</v>
      </c>
      <c r="K329" s="11"/>
      <c r="L329" s="10">
        <v>19</v>
      </c>
      <c r="M329" s="9">
        <v>31.2</v>
      </c>
      <c r="N329" s="8">
        <v>50.3</v>
      </c>
      <c r="O329" s="8">
        <v>53.1</v>
      </c>
    </row>
    <row r="330" spans="1:15" ht="15" thickBot="1" x14ac:dyDescent="0.4">
      <c r="A330" t="str">
        <f t="shared" si="258"/>
        <v>FC214</v>
      </c>
      <c r="B330" t="str">
        <f t="shared" si="255"/>
        <v>CPAC West</v>
      </c>
      <c r="C330" s="18"/>
      <c r="D330" s="18"/>
      <c r="E330" s="18"/>
      <c r="F330" s="18"/>
      <c r="G330" s="18"/>
      <c r="H330" s="28"/>
      <c r="I330" s="5" t="s">
        <v>21</v>
      </c>
      <c r="J330" s="9">
        <v>0.61</v>
      </c>
      <c r="K330" s="11"/>
      <c r="L330" s="10">
        <v>1.23</v>
      </c>
      <c r="M330" s="9">
        <v>0.63</v>
      </c>
      <c r="N330" s="8">
        <v>0.24</v>
      </c>
      <c r="O330" s="8">
        <v>0.11</v>
      </c>
    </row>
    <row r="331" spans="1:15" ht="15" thickBot="1" x14ac:dyDescent="0.4">
      <c r="A331" t="str">
        <f t="shared" si="259"/>
        <v>FC214</v>
      </c>
      <c r="B331" t="str">
        <f t="shared" si="255"/>
        <v>CPAC West</v>
      </c>
      <c r="C331" s="19"/>
      <c r="D331" s="19"/>
      <c r="E331" s="19"/>
      <c r="F331" s="19"/>
      <c r="G331" s="19"/>
      <c r="H331" s="29"/>
      <c r="I331" s="3" t="s">
        <v>22</v>
      </c>
      <c r="J331" s="9" t="s">
        <v>25</v>
      </c>
      <c r="K331" s="11" t="s">
        <v>27</v>
      </c>
      <c r="L331" s="11"/>
      <c r="M331" s="11"/>
      <c r="N331" s="11"/>
      <c r="O331" s="11"/>
    </row>
    <row r="332" spans="1:15" ht="15" thickBot="1" x14ac:dyDescent="0.4">
      <c r="B332" t="str">
        <f t="shared" si="255"/>
        <v>CPAC West</v>
      </c>
      <c r="C332" s="16"/>
      <c r="D332" s="16"/>
      <c r="E332" s="16"/>
      <c r="F332" s="16"/>
      <c r="G332" s="16" t="s">
        <v>102</v>
      </c>
      <c r="H332" s="24" t="s">
        <v>30</v>
      </c>
      <c r="I332" s="1"/>
      <c r="J332" s="1"/>
      <c r="K332" s="1"/>
      <c r="L332" s="1"/>
      <c r="M332" s="1"/>
      <c r="N332" s="1"/>
      <c r="O332" s="1"/>
    </row>
    <row r="333" spans="1:15" ht="15" thickBot="1" x14ac:dyDescent="0.4">
      <c r="A333" t="str">
        <f t="shared" si="250"/>
        <v>FC062</v>
      </c>
      <c r="B333" t="str">
        <f t="shared" si="255"/>
        <v>CPAC West</v>
      </c>
      <c r="C333" s="18"/>
      <c r="D333" s="18"/>
      <c r="E333" s="18"/>
      <c r="F333" s="18"/>
      <c r="G333" s="18"/>
      <c r="H333" s="25"/>
      <c r="I333" s="3" t="s">
        <v>18</v>
      </c>
      <c r="J333" s="11"/>
      <c r="K333" s="11"/>
      <c r="L333" s="11"/>
      <c r="M333" s="11"/>
      <c r="N333" s="11"/>
      <c r="O333" s="11"/>
    </row>
    <row r="334" spans="1:15" ht="15" thickBot="1" x14ac:dyDescent="0.4">
      <c r="A334" t="str">
        <f t="shared" si="256"/>
        <v>FC062</v>
      </c>
      <c r="B334" t="str">
        <f t="shared" si="255"/>
        <v>CPAC West</v>
      </c>
      <c r="C334" s="18"/>
      <c r="D334" s="18"/>
      <c r="E334" s="18"/>
      <c r="F334" s="18"/>
      <c r="G334" s="18"/>
      <c r="H334" s="25"/>
      <c r="I334" s="5" t="s">
        <v>19</v>
      </c>
      <c r="J334" s="11"/>
      <c r="K334" s="11"/>
      <c r="L334" s="11"/>
      <c r="M334" s="11"/>
      <c r="N334" s="11"/>
      <c r="O334" s="11"/>
    </row>
    <row r="335" spans="1:15" ht="15" thickBot="1" x14ac:dyDescent="0.4">
      <c r="A335" t="str">
        <f t="shared" si="257"/>
        <v>FC062</v>
      </c>
      <c r="B335" t="str">
        <f t="shared" si="255"/>
        <v>CPAC West</v>
      </c>
      <c r="C335" s="18"/>
      <c r="D335" s="18"/>
      <c r="E335" s="18"/>
      <c r="F335" s="18"/>
      <c r="G335" s="18"/>
      <c r="H335" s="25"/>
      <c r="I335" s="3" t="s">
        <v>20</v>
      </c>
      <c r="J335" s="11"/>
      <c r="K335" s="11"/>
      <c r="L335" s="11"/>
      <c r="M335" s="11"/>
      <c r="N335" s="11"/>
      <c r="O335" s="11"/>
    </row>
    <row r="336" spans="1:15" ht="15" thickBot="1" x14ac:dyDescent="0.4">
      <c r="A336" t="str">
        <f t="shared" si="258"/>
        <v>FC062</v>
      </c>
      <c r="B336" t="str">
        <f t="shared" si="255"/>
        <v>CPAC West</v>
      </c>
      <c r="C336" s="18"/>
      <c r="D336" s="18"/>
      <c r="E336" s="18"/>
      <c r="F336" s="18"/>
      <c r="G336" s="18"/>
      <c r="H336" s="25"/>
      <c r="I336" s="5" t="s">
        <v>21</v>
      </c>
      <c r="J336" s="11"/>
      <c r="K336" s="11"/>
      <c r="L336" s="11"/>
      <c r="M336" s="11"/>
      <c r="N336" s="11"/>
      <c r="O336" s="11"/>
    </row>
    <row r="337" spans="1:15" ht="15" thickBot="1" x14ac:dyDescent="0.4">
      <c r="A337" t="str">
        <f t="shared" si="259"/>
        <v>FC062</v>
      </c>
      <c r="B337" t="str">
        <f t="shared" si="255"/>
        <v>CPAC West</v>
      </c>
      <c r="C337" s="19"/>
      <c r="D337" s="19"/>
      <c r="E337" s="19"/>
      <c r="F337" s="19"/>
      <c r="G337" s="19"/>
      <c r="H337" s="26"/>
      <c r="I337" s="3" t="s">
        <v>22</v>
      </c>
      <c r="J337" s="11" t="s">
        <v>46</v>
      </c>
      <c r="K337" s="11" t="s">
        <v>46</v>
      </c>
      <c r="L337" s="11" t="s">
        <v>46</v>
      </c>
      <c r="M337" s="11" t="s">
        <v>46</v>
      </c>
      <c r="N337" s="11" t="s">
        <v>46</v>
      </c>
      <c r="O337" s="11" t="s">
        <v>46</v>
      </c>
    </row>
    <row r="338" spans="1:15" ht="15" thickBot="1" x14ac:dyDescent="0.4">
      <c r="B338" t="str">
        <f t="shared" si="255"/>
        <v>CPAC West</v>
      </c>
      <c r="C338" s="16"/>
      <c r="D338" s="16"/>
      <c r="E338" s="16"/>
      <c r="F338" s="16"/>
      <c r="G338" s="16" t="s">
        <v>103</v>
      </c>
      <c r="H338" s="20" t="s">
        <v>17</v>
      </c>
      <c r="I338" s="1"/>
      <c r="J338" s="1"/>
      <c r="K338" s="1"/>
      <c r="L338" s="1"/>
      <c r="M338" s="1"/>
      <c r="N338" s="1"/>
      <c r="O338" s="1"/>
    </row>
    <row r="339" spans="1:15" ht="15" thickBot="1" x14ac:dyDescent="0.4">
      <c r="A339" t="str">
        <f t="shared" si="250"/>
        <v>FC249</v>
      </c>
      <c r="B339" t="str">
        <f t="shared" si="255"/>
        <v>CPAC West</v>
      </c>
      <c r="C339" s="18"/>
      <c r="D339" s="18"/>
      <c r="E339" s="18"/>
      <c r="F339" s="18"/>
      <c r="G339" s="18"/>
      <c r="H339" s="22"/>
      <c r="I339" s="3" t="s">
        <v>18</v>
      </c>
      <c r="J339" s="8">
        <v>15</v>
      </c>
      <c r="K339" s="4">
        <v>30</v>
      </c>
      <c r="L339" s="4">
        <v>39</v>
      </c>
      <c r="M339" s="4">
        <v>33</v>
      </c>
      <c r="N339" s="4">
        <v>30</v>
      </c>
      <c r="O339" s="4">
        <v>30</v>
      </c>
    </row>
    <row r="340" spans="1:15" ht="15" thickBot="1" x14ac:dyDescent="0.4">
      <c r="A340" t="str">
        <f t="shared" si="256"/>
        <v>FC249</v>
      </c>
      <c r="B340" t="str">
        <f t="shared" si="255"/>
        <v>CPAC West</v>
      </c>
      <c r="C340" s="18"/>
      <c r="D340" s="18"/>
      <c r="E340" s="18"/>
      <c r="F340" s="18"/>
      <c r="G340" s="18"/>
      <c r="H340" s="22"/>
      <c r="I340" s="5" t="s">
        <v>19</v>
      </c>
      <c r="J340" s="8">
        <v>26</v>
      </c>
      <c r="K340" s="8">
        <v>-8</v>
      </c>
      <c r="L340" s="8">
        <v>38</v>
      </c>
      <c r="M340" s="6">
        <v>68</v>
      </c>
      <c r="N340" s="6">
        <v>62</v>
      </c>
      <c r="O340" s="8">
        <v>44</v>
      </c>
    </row>
    <row r="341" spans="1:15" ht="15" thickBot="1" x14ac:dyDescent="0.4">
      <c r="A341" t="str">
        <f t="shared" si="257"/>
        <v>FC249</v>
      </c>
      <c r="B341" t="str">
        <f t="shared" si="255"/>
        <v>CPAC West</v>
      </c>
      <c r="C341" s="18"/>
      <c r="D341" s="18"/>
      <c r="E341" s="18"/>
      <c r="F341" s="18"/>
      <c r="G341" s="18"/>
      <c r="H341" s="22"/>
      <c r="I341" s="3" t="s">
        <v>20</v>
      </c>
      <c r="J341" s="9">
        <v>31.4</v>
      </c>
      <c r="K341" s="10">
        <v>24.3</v>
      </c>
      <c r="L341" s="8">
        <v>72.2</v>
      </c>
      <c r="M341" s="8">
        <v>74.2</v>
      </c>
      <c r="N341" s="10">
        <v>13.9</v>
      </c>
      <c r="O341" s="10">
        <v>20.2</v>
      </c>
    </row>
    <row r="342" spans="1:15" ht="15" thickBot="1" x14ac:dyDescent="0.4">
      <c r="A342" t="str">
        <f t="shared" si="258"/>
        <v>FC249</v>
      </c>
      <c r="B342" t="str">
        <f t="shared" si="255"/>
        <v>CPAC West</v>
      </c>
      <c r="C342" s="18"/>
      <c r="D342" s="18"/>
      <c r="E342" s="18"/>
      <c r="F342" s="18"/>
      <c r="G342" s="18"/>
      <c r="H342" s="22"/>
      <c r="I342" s="5" t="s">
        <v>21</v>
      </c>
      <c r="J342" s="8">
        <v>0.28000000000000003</v>
      </c>
      <c r="K342" s="8">
        <v>-0.1</v>
      </c>
      <c r="L342" s="8">
        <v>0.18</v>
      </c>
      <c r="M342" s="8">
        <v>0.3</v>
      </c>
      <c r="N342" s="10">
        <v>1.49</v>
      </c>
      <c r="O342" s="9">
        <v>0.72</v>
      </c>
    </row>
    <row r="343" spans="1:15" ht="15" thickBot="1" x14ac:dyDescent="0.4">
      <c r="A343" t="str">
        <f t="shared" si="259"/>
        <v>FC249</v>
      </c>
      <c r="B343" t="str">
        <f t="shared" si="255"/>
        <v>CPAC West</v>
      </c>
      <c r="C343" s="19"/>
      <c r="D343" s="19"/>
      <c r="E343" s="19"/>
      <c r="F343" s="19"/>
      <c r="G343" s="19"/>
      <c r="H343" s="23"/>
      <c r="I343" s="3" t="s">
        <v>22</v>
      </c>
      <c r="J343" s="8" t="s">
        <v>23</v>
      </c>
      <c r="K343" s="11"/>
      <c r="L343" s="11"/>
      <c r="M343" s="8" t="s">
        <v>23</v>
      </c>
      <c r="N343" s="11"/>
      <c r="O343" s="11"/>
    </row>
    <row r="344" spans="1:15" ht="15" thickBot="1" x14ac:dyDescent="0.4">
      <c r="B344" t="str">
        <f t="shared" si="255"/>
        <v>CPAC West</v>
      </c>
      <c r="C344" s="16"/>
      <c r="D344" s="16"/>
      <c r="E344" s="16"/>
      <c r="F344" s="16"/>
      <c r="G344" s="16" t="s">
        <v>104</v>
      </c>
      <c r="H344" s="24" t="s">
        <v>30</v>
      </c>
      <c r="I344" s="1"/>
      <c r="J344" s="1"/>
      <c r="K344" s="1"/>
      <c r="L344" s="1"/>
      <c r="M344" s="1"/>
      <c r="N344" s="1"/>
      <c r="O344" s="1"/>
    </row>
    <row r="345" spans="1:15" ht="15" thickBot="1" x14ac:dyDescent="0.4">
      <c r="A345" t="str">
        <f t="shared" si="250"/>
        <v>FC176</v>
      </c>
      <c r="B345" t="str">
        <f t="shared" si="255"/>
        <v>CPAC West</v>
      </c>
      <c r="C345" s="18"/>
      <c r="D345" s="18"/>
      <c r="E345" s="18"/>
      <c r="F345" s="18"/>
      <c r="G345" s="18"/>
      <c r="H345" s="25"/>
      <c r="I345" s="3" t="s">
        <v>18</v>
      </c>
      <c r="J345" s="11"/>
      <c r="K345" s="11"/>
      <c r="L345" s="11"/>
      <c r="M345" s="11"/>
      <c r="N345" s="11"/>
      <c r="O345" s="11"/>
    </row>
    <row r="346" spans="1:15" ht="15" thickBot="1" x14ac:dyDescent="0.4">
      <c r="A346" t="str">
        <f t="shared" si="256"/>
        <v>FC176</v>
      </c>
      <c r="B346" t="str">
        <f t="shared" si="255"/>
        <v>CPAC West</v>
      </c>
      <c r="C346" s="18"/>
      <c r="D346" s="18"/>
      <c r="E346" s="18"/>
      <c r="F346" s="18"/>
      <c r="G346" s="18"/>
      <c r="H346" s="25"/>
      <c r="I346" s="5" t="s">
        <v>19</v>
      </c>
      <c r="J346" s="11"/>
      <c r="K346" s="11"/>
      <c r="L346" s="11"/>
      <c r="M346" s="11"/>
      <c r="N346" s="11"/>
      <c r="O346" s="11"/>
    </row>
    <row r="347" spans="1:15" ht="15" thickBot="1" x14ac:dyDescent="0.4">
      <c r="A347" t="str">
        <f t="shared" si="257"/>
        <v>FC176</v>
      </c>
      <c r="B347" t="str">
        <f t="shared" si="255"/>
        <v>CPAC West</v>
      </c>
      <c r="C347" s="18"/>
      <c r="D347" s="18"/>
      <c r="E347" s="18"/>
      <c r="F347" s="18"/>
      <c r="G347" s="18"/>
      <c r="H347" s="25"/>
      <c r="I347" s="3" t="s">
        <v>20</v>
      </c>
      <c r="J347" s="11"/>
      <c r="K347" s="11"/>
      <c r="L347" s="11"/>
      <c r="M347" s="11"/>
      <c r="N347" s="11"/>
      <c r="O347" s="11"/>
    </row>
    <row r="348" spans="1:15" ht="15" thickBot="1" x14ac:dyDescent="0.4">
      <c r="A348" t="str">
        <f t="shared" si="258"/>
        <v>FC176</v>
      </c>
      <c r="B348" t="str">
        <f t="shared" si="255"/>
        <v>CPAC West</v>
      </c>
      <c r="C348" s="18"/>
      <c r="D348" s="18"/>
      <c r="E348" s="18"/>
      <c r="F348" s="18"/>
      <c r="G348" s="18"/>
      <c r="H348" s="25"/>
      <c r="I348" s="5" t="s">
        <v>21</v>
      </c>
      <c r="J348" s="11"/>
      <c r="K348" s="11"/>
      <c r="L348" s="11"/>
      <c r="M348" s="11"/>
      <c r="N348" s="11"/>
      <c r="O348" s="11"/>
    </row>
    <row r="349" spans="1:15" ht="15" thickBot="1" x14ac:dyDescent="0.4">
      <c r="A349" t="str">
        <f t="shared" si="259"/>
        <v>FC176</v>
      </c>
      <c r="B349" t="str">
        <f t="shared" si="255"/>
        <v>CPAC West</v>
      </c>
      <c r="C349" s="19"/>
      <c r="D349" s="19"/>
      <c r="E349" s="19"/>
      <c r="F349" s="19"/>
      <c r="G349" s="19"/>
      <c r="H349" s="26"/>
      <c r="I349" s="3" t="s">
        <v>22</v>
      </c>
      <c r="J349" s="11" t="s">
        <v>45</v>
      </c>
      <c r="K349" s="11" t="s">
        <v>46</v>
      </c>
      <c r="L349" s="11" t="s">
        <v>46</v>
      </c>
      <c r="M349" s="11" t="s">
        <v>46</v>
      </c>
      <c r="N349" s="11" t="s">
        <v>45</v>
      </c>
      <c r="O349" s="11" t="s">
        <v>45</v>
      </c>
    </row>
    <row r="350" spans="1:15" ht="15" thickBot="1" x14ac:dyDescent="0.4">
      <c r="B350" t="str">
        <f t="shared" si="255"/>
        <v>CPAC West</v>
      </c>
      <c r="C350" s="16"/>
      <c r="D350" s="16"/>
      <c r="E350" s="16"/>
      <c r="F350" s="16"/>
      <c r="G350" s="16" t="s">
        <v>105</v>
      </c>
      <c r="H350" s="27" t="s">
        <v>34</v>
      </c>
      <c r="I350" s="1"/>
      <c r="J350" s="1"/>
      <c r="K350" s="1"/>
      <c r="L350" s="1"/>
      <c r="M350" s="1"/>
      <c r="N350" s="1"/>
      <c r="O350" s="1"/>
    </row>
    <row r="351" spans="1:15" ht="15" thickBot="1" x14ac:dyDescent="0.4">
      <c r="A351" t="str">
        <f t="shared" si="250"/>
        <v>FC142</v>
      </c>
      <c r="B351" t="str">
        <f t="shared" si="255"/>
        <v>CPAC West</v>
      </c>
      <c r="C351" s="18"/>
      <c r="D351" s="18"/>
      <c r="E351" s="18"/>
      <c r="F351" s="18"/>
      <c r="G351" s="18"/>
      <c r="H351" s="28"/>
      <c r="I351" s="3" t="s">
        <v>18</v>
      </c>
      <c r="J351" s="4">
        <v>30</v>
      </c>
      <c r="K351" s="4">
        <v>33</v>
      </c>
      <c r="L351" s="4">
        <v>30</v>
      </c>
      <c r="M351" s="4">
        <v>33</v>
      </c>
      <c r="N351" s="4">
        <v>42</v>
      </c>
      <c r="O351" s="4">
        <v>30</v>
      </c>
    </row>
    <row r="352" spans="1:15" ht="15" thickBot="1" x14ac:dyDescent="0.4">
      <c r="A352" t="str">
        <f t="shared" si="256"/>
        <v>FC142</v>
      </c>
      <c r="B352" t="str">
        <f t="shared" si="255"/>
        <v>CPAC West</v>
      </c>
      <c r="C352" s="18"/>
      <c r="D352" s="18"/>
      <c r="E352" s="18"/>
      <c r="F352" s="18"/>
      <c r="G352" s="18"/>
      <c r="H352" s="28"/>
      <c r="I352" s="5" t="s">
        <v>19</v>
      </c>
      <c r="J352" s="9">
        <v>131</v>
      </c>
      <c r="K352" s="8">
        <v>46</v>
      </c>
      <c r="L352" s="9">
        <v>96</v>
      </c>
      <c r="M352" s="7">
        <v>89</v>
      </c>
      <c r="N352" s="7">
        <v>87</v>
      </c>
      <c r="O352" s="7">
        <v>78</v>
      </c>
    </row>
    <row r="353" spans="1:15" ht="15" thickBot="1" x14ac:dyDescent="0.4">
      <c r="A353" t="str">
        <f t="shared" si="257"/>
        <v>FC142</v>
      </c>
      <c r="B353" t="str">
        <f t="shared" si="255"/>
        <v>CPAC West</v>
      </c>
      <c r="C353" s="18"/>
      <c r="D353" s="18"/>
      <c r="E353" s="18"/>
      <c r="F353" s="18"/>
      <c r="G353" s="18"/>
      <c r="H353" s="28"/>
      <c r="I353" s="3" t="s">
        <v>20</v>
      </c>
      <c r="J353" s="6">
        <v>42.1</v>
      </c>
      <c r="K353" s="7">
        <v>37.9</v>
      </c>
      <c r="L353" s="6">
        <v>46.7</v>
      </c>
      <c r="M353" s="8">
        <v>49.6</v>
      </c>
      <c r="N353" s="10">
        <v>25.9</v>
      </c>
      <c r="O353" s="9">
        <v>28.8</v>
      </c>
    </row>
    <row r="354" spans="1:15" ht="15" thickBot="1" x14ac:dyDescent="0.4">
      <c r="A354" t="str">
        <f t="shared" si="258"/>
        <v>FC142</v>
      </c>
      <c r="B354" t="str">
        <f t="shared" si="255"/>
        <v>CPAC West</v>
      </c>
      <c r="C354" s="18"/>
      <c r="D354" s="18"/>
      <c r="E354" s="18"/>
      <c r="F354" s="18"/>
      <c r="G354" s="18"/>
      <c r="H354" s="28"/>
      <c r="I354" s="5" t="s">
        <v>21</v>
      </c>
      <c r="J354" s="10">
        <v>1.04</v>
      </c>
      <c r="K354" s="8">
        <v>0.4</v>
      </c>
      <c r="L354" s="9">
        <v>0.69</v>
      </c>
      <c r="M354" s="9">
        <v>0.6</v>
      </c>
      <c r="N354" s="10">
        <v>1.1200000000000001</v>
      </c>
      <c r="O354" s="10">
        <v>0.91</v>
      </c>
    </row>
    <row r="355" spans="1:15" ht="15" thickBot="1" x14ac:dyDescent="0.4">
      <c r="A355" t="str">
        <f t="shared" si="259"/>
        <v>FC142</v>
      </c>
      <c r="B355" t="str">
        <f t="shared" si="255"/>
        <v>CPAC West</v>
      </c>
      <c r="C355" s="19"/>
      <c r="D355" s="19"/>
      <c r="E355" s="19"/>
      <c r="F355" s="19"/>
      <c r="G355" s="19"/>
      <c r="H355" s="29"/>
      <c r="I355" s="3" t="s">
        <v>22</v>
      </c>
      <c r="J355" s="10" t="s">
        <v>24</v>
      </c>
      <c r="K355" s="8" t="s">
        <v>23</v>
      </c>
      <c r="L355" s="9" t="s">
        <v>25</v>
      </c>
      <c r="M355" s="11"/>
      <c r="N355" s="11"/>
      <c r="O355" s="10" t="s">
        <v>24</v>
      </c>
    </row>
    <row r="356" spans="1:15" ht="15" thickBot="1" x14ac:dyDescent="0.4">
      <c r="B356" t="str">
        <f t="shared" si="255"/>
        <v>CPAC West</v>
      </c>
      <c r="C356" s="16"/>
      <c r="D356" s="16"/>
      <c r="E356" s="16"/>
      <c r="F356" s="16"/>
      <c r="G356" s="16" t="s">
        <v>106</v>
      </c>
      <c r="H356" s="20" t="s">
        <v>17</v>
      </c>
      <c r="I356" s="1"/>
      <c r="J356" s="1"/>
      <c r="K356" s="1"/>
      <c r="L356" s="1"/>
      <c r="M356" s="1"/>
      <c r="N356" s="1"/>
      <c r="O356" s="1"/>
    </row>
    <row r="357" spans="1:15" ht="15" thickBot="1" x14ac:dyDescent="0.4">
      <c r="A357" t="str">
        <f t="shared" si="250"/>
        <v>FC201</v>
      </c>
      <c r="B357" t="str">
        <f t="shared" si="255"/>
        <v>CPAC West</v>
      </c>
      <c r="C357" s="18"/>
      <c r="D357" s="18"/>
      <c r="E357" s="18"/>
      <c r="F357" s="18"/>
      <c r="G357" s="18"/>
      <c r="H357" s="22"/>
      <c r="I357" s="3" t="s">
        <v>18</v>
      </c>
      <c r="J357" s="4">
        <v>39</v>
      </c>
      <c r="K357" s="4">
        <v>42</v>
      </c>
      <c r="L357" s="4">
        <v>33</v>
      </c>
      <c r="M357" s="4">
        <v>33</v>
      </c>
      <c r="N357" s="4">
        <v>36</v>
      </c>
      <c r="O357" s="4">
        <v>33</v>
      </c>
    </row>
    <row r="358" spans="1:15" ht="15" thickBot="1" x14ac:dyDescent="0.4">
      <c r="A358" t="str">
        <f t="shared" si="256"/>
        <v>FC201</v>
      </c>
      <c r="B358" t="str">
        <f t="shared" si="255"/>
        <v>CPAC West</v>
      </c>
      <c r="C358" s="18"/>
      <c r="D358" s="18"/>
      <c r="E358" s="18"/>
      <c r="F358" s="18"/>
      <c r="G358" s="18"/>
      <c r="H358" s="22"/>
      <c r="I358" s="5" t="s">
        <v>19</v>
      </c>
      <c r="J358" s="9">
        <v>127</v>
      </c>
      <c r="K358" s="7">
        <v>71</v>
      </c>
      <c r="L358" s="6">
        <v>68</v>
      </c>
      <c r="M358" s="8">
        <v>23</v>
      </c>
      <c r="N358" s="6">
        <v>50</v>
      </c>
      <c r="O358" s="6">
        <v>52</v>
      </c>
    </row>
    <row r="359" spans="1:15" ht="15" thickBot="1" x14ac:dyDescent="0.4">
      <c r="A359" t="str">
        <f t="shared" si="257"/>
        <v>FC201</v>
      </c>
      <c r="B359" t="str">
        <f t="shared" si="255"/>
        <v>CPAC West</v>
      </c>
      <c r="C359" s="18"/>
      <c r="D359" s="18"/>
      <c r="E359" s="18"/>
      <c r="F359" s="18"/>
      <c r="G359" s="18"/>
      <c r="H359" s="22"/>
      <c r="I359" s="3" t="s">
        <v>20</v>
      </c>
      <c r="J359" s="9">
        <v>33.799999999999997</v>
      </c>
      <c r="K359" s="10">
        <v>17.5</v>
      </c>
      <c r="L359" s="9">
        <v>34.200000000000003</v>
      </c>
      <c r="M359" s="10">
        <v>24.4</v>
      </c>
      <c r="N359" s="10">
        <v>16.5</v>
      </c>
      <c r="O359" s="10">
        <v>18.100000000000001</v>
      </c>
    </row>
    <row r="360" spans="1:15" ht="15" thickBot="1" x14ac:dyDescent="0.4">
      <c r="A360" t="str">
        <f t="shared" si="258"/>
        <v>FC201</v>
      </c>
      <c r="B360" t="str">
        <f t="shared" si="255"/>
        <v>CPAC West</v>
      </c>
      <c r="C360" s="18"/>
      <c r="D360" s="18"/>
      <c r="E360" s="18"/>
      <c r="F360" s="18"/>
      <c r="G360" s="18"/>
      <c r="H360" s="22"/>
      <c r="I360" s="5" t="s">
        <v>21</v>
      </c>
      <c r="J360" s="10">
        <v>1.25</v>
      </c>
      <c r="K360" s="10">
        <v>1.35</v>
      </c>
      <c r="L360" s="9">
        <v>0.66</v>
      </c>
      <c r="M360" s="8">
        <v>0.31</v>
      </c>
      <c r="N360" s="10">
        <v>1.02</v>
      </c>
      <c r="O360" s="10">
        <v>0.96</v>
      </c>
    </row>
    <row r="361" spans="1:15" ht="15" thickBot="1" x14ac:dyDescent="0.4">
      <c r="A361" t="str">
        <f t="shared" si="259"/>
        <v>FC201</v>
      </c>
      <c r="B361" t="str">
        <f t="shared" si="255"/>
        <v>CPAC West</v>
      </c>
      <c r="C361" s="19"/>
      <c r="D361" s="19"/>
      <c r="E361" s="19"/>
      <c r="F361" s="19"/>
      <c r="G361" s="19"/>
      <c r="H361" s="23"/>
      <c r="I361" s="3" t="s">
        <v>22</v>
      </c>
      <c r="J361" s="10" t="s">
        <v>24</v>
      </c>
      <c r="K361" s="11"/>
      <c r="L361" s="9" t="s">
        <v>25</v>
      </c>
      <c r="M361" s="8" t="s">
        <v>23</v>
      </c>
      <c r="N361" s="10" t="s">
        <v>24</v>
      </c>
      <c r="O361" s="11"/>
    </row>
    <row r="362" spans="1:15" ht="15" thickBot="1" x14ac:dyDescent="0.4">
      <c r="B362" t="str">
        <f t="shared" si="255"/>
        <v>CPAC West</v>
      </c>
      <c r="C362" s="16"/>
      <c r="D362" s="16"/>
      <c r="E362" s="16"/>
      <c r="F362" s="16"/>
      <c r="G362" s="16" t="s">
        <v>107</v>
      </c>
      <c r="H362" s="20" t="s">
        <v>17</v>
      </c>
      <c r="I362" s="1"/>
      <c r="J362" s="1"/>
      <c r="K362" s="1"/>
      <c r="L362" s="1"/>
      <c r="M362" s="1"/>
      <c r="N362" s="1"/>
      <c r="O362" s="1"/>
    </row>
    <row r="363" spans="1:15" ht="15" thickBot="1" x14ac:dyDescent="0.4">
      <c r="A363" t="str">
        <f t="shared" si="250"/>
        <v>FC197</v>
      </c>
      <c r="B363" t="str">
        <f t="shared" si="255"/>
        <v>CPAC West</v>
      </c>
      <c r="C363" s="18"/>
      <c r="D363" s="18"/>
      <c r="E363" s="18"/>
      <c r="F363" s="18"/>
      <c r="G363" s="18"/>
      <c r="H363" s="22"/>
      <c r="I363" s="3" t="s">
        <v>18</v>
      </c>
      <c r="J363" s="4">
        <v>36</v>
      </c>
      <c r="K363" s="4">
        <v>30</v>
      </c>
      <c r="L363" s="4">
        <v>30</v>
      </c>
      <c r="M363" s="11"/>
      <c r="N363" s="4">
        <v>36</v>
      </c>
      <c r="O363" s="4">
        <v>33</v>
      </c>
    </row>
    <row r="364" spans="1:15" ht="15" thickBot="1" x14ac:dyDescent="0.4">
      <c r="A364" t="str">
        <f t="shared" si="256"/>
        <v>FC197</v>
      </c>
      <c r="B364" t="str">
        <f t="shared" si="255"/>
        <v>CPAC West</v>
      </c>
      <c r="C364" s="18"/>
      <c r="D364" s="18"/>
      <c r="E364" s="18"/>
      <c r="F364" s="18"/>
      <c r="G364" s="18"/>
      <c r="H364" s="22"/>
      <c r="I364" s="5" t="s">
        <v>19</v>
      </c>
      <c r="J364" s="6">
        <v>64</v>
      </c>
      <c r="K364" s="8">
        <v>41</v>
      </c>
      <c r="L364" s="6">
        <v>62</v>
      </c>
      <c r="M364" s="11"/>
      <c r="N364" s="9">
        <v>107</v>
      </c>
      <c r="O364" s="7">
        <v>83</v>
      </c>
    </row>
    <row r="365" spans="1:15" ht="15" thickBot="1" x14ac:dyDescent="0.4">
      <c r="A365" t="str">
        <f t="shared" si="257"/>
        <v>FC197</v>
      </c>
      <c r="B365" t="str">
        <f t="shared" si="255"/>
        <v>CPAC West</v>
      </c>
      <c r="C365" s="18"/>
      <c r="D365" s="18"/>
      <c r="E365" s="18"/>
      <c r="F365" s="18"/>
      <c r="G365" s="18"/>
      <c r="H365" s="22"/>
      <c r="I365" s="3" t="s">
        <v>20</v>
      </c>
      <c r="J365" s="9">
        <v>31.1</v>
      </c>
      <c r="K365" s="10">
        <v>22.4</v>
      </c>
      <c r="L365" s="10">
        <v>21.5</v>
      </c>
      <c r="M365" s="11"/>
      <c r="N365" s="10">
        <v>21.6</v>
      </c>
      <c r="O365" s="6">
        <v>43.1</v>
      </c>
    </row>
    <row r="366" spans="1:15" ht="15" thickBot="1" x14ac:dyDescent="0.4">
      <c r="A366" t="str">
        <f t="shared" si="258"/>
        <v>FC197</v>
      </c>
      <c r="B366" t="str">
        <f t="shared" si="255"/>
        <v>CPAC West</v>
      </c>
      <c r="C366" s="18"/>
      <c r="D366" s="18"/>
      <c r="E366" s="18"/>
      <c r="F366" s="18"/>
      <c r="G366" s="18"/>
      <c r="H366" s="22"/>
      <c r="I366" s="5" t="s">
        <v>21</v>
      </c>
      <c r="J366" s="9">
        <v>0.68</v>
      </c>
      <c r="K366" s="9">
        <v>0.61</v>
      </c>
      <c r="L366" s="10">
        <v>0.97</v>
      </c>
      <c r="M366" s="11"/>
      <c r="N366" s="10">
        <v>1.65</v>
      </c>
      <c r="O366" s="9">
        <v>0.64</v>
      </c>
    </row>
    <row r="367" spans="1:15" ht="15" thickBot="1" x14ac:dyDescent="0.4">
      <c r="A367" t="str">
        <f t="shared" si="259"/>
        <v>FC197</v>
      </c>
      <c r="B367" t="str">
        <f t="shared" si="255"/>
        <v>CPAC West</v>
      </c>
      <c r="C367" s="19"/>
      <c r="D367" s="19"/>
      <c r="E367" s="19"/>
      <c r="F367" s="19"/>
      <c r="G367" s="19"/>
      <c r="H367" s="23"/>
      <c r="I367" s="3" t="s">
        <v>22</v>
      </c>
      <c r="J367" s="11"/>
      <c r="K367" s="11"/>
      <c r="L367" s="11"/>
      <c r="M367" s="11" t="s">
        <v>27</v>
      </c>
      <c r="N367" s="11"/>
      <c r="O367" s="11"/>
    </row>
    <row r="368" spans="1:15" ht="15" thickBot="1" x14ac:dyDescent="0.4">
      <c r="B368" t="str">
        <f t="shared" si="255"/>
        <v>CPAC West</v>
      </c>
      <c r="C368" s="16"/>
      <c r="D368" s="16"/>
      <c r="E368" s="16"/>
      <c r="F368" s="16"/>
      <c r="G368" s="16" t="s">
        <v>108</v>
      </c>
      <c r="H368" s="27" t="s">
        <v>34</v>
      </c>
      <c r="I368" s="1"/>
      <c r="J368" s="1"/>
      <c r="K368" s="1"/>
      <c r="L368" s="1"/>
      <c r="M368" s="1"/>
      <c r="N368" s="1"/>
      <c r="O368" s="1"/>
    </row>
    <row r="369" spans="1:15" ht="15" thickBot="1" x14ac:dyDescent="0.4">
      <c r="A369" t="str">
        <f t="shared" si="250"/>
        <v>FC248</v>
      </c>
      <c r="B369" t="str">
        <f t="shared" si="255"/>
        <v>CPAC West</v>
      </c>
      <c r="C369" s="18"/>
      <c r="D369" s="18"/>
      <c r="E369" s="18"/>
      <c r="F369" s="18"/>
      <c r="G369" s="18"/>
      <c r="H369" s="28"/>
      <c r="I369" s="3" t="s">
        <v>18</v>
      </c>
      <c r="J369" s="4">
        <v>36</v>
      </c>
      <c r="K369" s="4">
        <v>44</v>
      </c>
      <c r="L369" s="4">
        <v>33</v>
      </c>
      <c r="M369" s="4">
        <v>33</v>
      </c>
      <c r="N369" s="4">
        <v>41</v>
      </c>
      <c r="O369" s="4">
        <v>30</v>
      </c>
    </row>
    <row r="370" spans="1:15" ht="15" thickBot="1" x14ac:dyDescent="0.4">
      <c r="A370" t="str">
        <f t="shared" si="256"/>
        <v>FC248</v>
      </c>
      <c r="B370" t="str">
        <f t="shared" si="255"/>
        <v>CPAC West</v>
      </c>
      <c r="C370" s="18"/>
      <c r="D370" s="18"/>
      <c r="E370" s="18"/>
      <c r="F370" s="18"/>
      <c r="G370" s="18"/>
      <c r="H370" s="28"/>
      <c r="I370" s="5" t="s">
        <v>19</v>
      </c>
      <c r="J370" s="9">
        <v>103</v>
      </c>
      <c r="K370" s="7">
        <v>89</v>
      </c>
      <c r="L370" s="9">
        <v>108</v>
      </c>
      <c r="M370" s="6">
        <v>51</v>
      </c>
      <c r="N370" s="7">
        <v>84</v>
      </c>
      <c r="O370" s="7">
        <v>77</v>
      </c>
    </row>
    <row r="371" spans="1:15" ht="15" thickBot="1" x14ac:dyDescent="0.4">
      <c r="A371" t="str">
        <f t="shared" si="257"/>
        <v>FC248</v>
      </c>
      <c r="B371" t="str">
        <f t="shared" si="255"/>
        <v>CPAC West</v>
      </c>
      <c r="C371" s="18"/>
      <c r="D371" s="18"/>
      <c r="E371" s="18"/>
      <c r="F371" s="18"/>
      <c r="G371" s="18"/>
      <c r="H371" s="28"/>
      <c r="I371" s="3" t="s">
        <v>20</v>
      </c>
      <c r="J371" s="10">
        <v>23.6</v>
      </c>
      <c r="K371" s="10">
        <v>21</v>
      </c>
      <c r="L371" s="10">
        <v>26.8</v>
      </c>
      <c r="M371" s="7">
        <v>36.1</v>
      </c>
      <c r="N371" s="10">
        <v>18.3</v>
      </c>
      <c r="O371" s="7">
        <v>36.700000000000003</v>
      </c>
    </row>
    <row r="372" spans="1:15" ht="15" thickBot="1" x14ac:dyDescent="0.4">
      <c r="A372" t="str">
        <f t="shared" si="258"/>
        <v>FC248</v>
      </c>
      <c r="B372" t="str">
        <f t="shared" si="255"/>
        <v>CPAC West</v>
      </c>
      <c r="C372" s="18"/>
      <c r="D372" s="18"/>
      <c r="E372" s="18"/>
      <c r="F372" s="18"/>
      <c r="G372" s="18"/>
      <c r="H372" s="28"/>
      <c r="I372" s="5" t="s">
        <v>21</v>
      </c>
      <c r="J372" s="10">
        <v>1.46</v>
      </c>
      <c r="K372" s="10">
        <v>1.41</v>
      </c>
      <c r="L372" s="10">
        <v>1.35</v>
      </c>
      <c r="M372" s="8">
        <v>0.47</v>
      </c>
      <c r="N372" s="10">
        <v>1.53</v>
      </c>
      <c r="O372" s="9">
        <v>0.7</v>
      </c>
    </row>
    <row r="373" spans="1:15" ht="15" thickBot="1" x14ac:dyDescent="0.4">
      <c r="A373" t="str">
        <f t="shared" si="259"/>
        <v>FC248</v>
      </c>
      <c r="B373" t="str">
        <f t="shared" si="255"/>
        <v>CPAC West</v>
      </c>
      <c r="C373" s="19"/>
      <c r="D373" s="19"/>
      <c r="E373" s="19"/>
      <c r="F373" s="19"/>
      <c r="G373" s="19"/>
      <c r="H373" s="29"/>
      <c r="I373" s="3" t="s">
        <v>22</v>
      </c>
      <c r="J373" s="10" t="s">
        <v>24</v>
      </c>
      <c r="K373" s="11"/>
      <c r="L373" s="10" t="s">
        <v>24</v>
      </c>
      <c r="M373" s="11"/>
      <c r="N373" s="11"/>
      <c r="O373" s="11"/>
    </row>
    <row r="374" spans="1:15" ht="15" thickBot="1" x14ac:dyDescent="0.4">
      <c r="B374" t="str">
        <f t="shared" si="255"/>
        <v>CPAC West</v>
      </c>
      <c r="C374" s="16"/>
      <c r="D374" s="16"/>
      <c r="E374" s="16"/>
      <c r="F374" s="16"/>
      <c r="G374" s="16" t="s">
        <v>109</v>
      </c>
      <c r="H374" s="27" t="s">
        <v>34</v>
      </c>
      <c r="I374" s="1"/>
      <c r="J374" s="1"/>
      <c r="K374" s="1"/>
      <c r="L374" s="1"/>
      <c r="M374" s="1"/>
      <c r="N374" s="1"/>
      <c r="O374" s="1"/>
    </row>
    <row r="375" spans="1:15" ht="15" thickBot="1" x14ac:dyDescent="0.4">
      <c r="A375" t="str">
        <f t="shared" ref="A375:A438" si="260">IF(LEFT(G374,2)="FC",LEFT(G374,5),LEFT(G374,4))</f>
        <v>FC299</v>
      </c>
      <c r="B375" t="str">
        <f t="shared" si="255"/>
        <v>CPAC West</v>
      </c>
      <c r="C375" s="18"/>
      <c r="D375" s="18"/>
      <c r="E375" s="18"/>
      <c r="F375" s="18"/>
      <c r="G375" s="18"/>
      <c r="H375" s="28"/>
      <c r="I375" s="3" t="s">
        <v>18</v>
      </c>
      <c r="J375" s="4">
        <v>42</v>
      </c>
      <c r="K375" s="4">
        <v>36</v>
      </c>
      <c r="L375" s="4">
        <v>39</v>
      </c>
      <c r="M375" s="4">
        <v>37</v>
      </c>
      <c r="N375" s="4">
        <v>38</v>
      </c>
      <c r="O375" s="4">
        <v>45</v>
      </c>
    </row>
    <row r="376" spans="1:15" ht="15" thickBot="1" x14ac:dyDescent="0.4">
      <c r="A376" t="str">
        <f t="shared" si="256"/>
        <v>FC299</v>
      </c>
      <c r="B376" t="str">
        <f t="shared" si="255"/>
        <v>CPAC West</v>
      </c>
      <c r="C376" s="18"/>
      <c r="D376" s="18"/>
      <c r="E376" s="18"/>
      <c r="F376" s="18"/>
      <c r="G376" s="18"/>
      <c r="H376" s="28"/>
      <c r="I376" s="5" t="s">
        <v>19</v>
      </c>
      <c r="J376" s="9">
        <v>115</v>
      </c>
      <c r="K376" s="9">
        <v>100</v>
      </c>
      <c r="L376" s="9">
        <v>92</v>
      </c>
      <c r="M376" s="9">
        <v>103</v>
      </c>
      <c r="N376" s="7">
        <v>72</v>
      </c>
      <c r="O376" s="8">
        <v>35</v>
      </c>
    </row>
    <row r="377" spans="1:15" ht="15" thickBot="1" x14ac:dyDescent="0.4">
      <c r="A377" t="str">
        <f t="shared" si="257"/>
        <v>FC299</v>
      </c>
      <c r="B377" t="str">
        <f t="shared" si="255"/>
        <v>CPAC West</v>
      </c>
      <c r="C377" s="18"/>
      <c r="D377" s="18"/>
      <c r="E377" s="18"/>
      <c r="F377" s="18"/>
      <c r="G377" s="18"/>
      <c r="H377" s="28"/>
      <c r="I377" s="3" t="s">
        <v>20</v>
      </c>
      <c r="J377" s="9">
        <v>30.1</v>
      </c>
      <c r="K377" s="10">
        <v>24.7</v>
      </c>
      <c r="L377" s="7">
        <v>36.799999999999997</v>
      </c>
      <c r="M377" s="9">
        <v>29.8</v>
      </c>
      <c r="N377" s="9">
        <v>33</v>
      </c>
      <c r="O377" s="9">
        <v>33.9</v>
      </c>
    </row>
    <row r="378" spans="1:15" ht="15" thickBot="1" x14ac:dyDescent="0.4">
      <c r="A378" t="str">
        <f t="shared" si="258"/>
        <v>FC299</v>
      </c>
      <c r="B378" t="str">
        <f t="shared" si="255"/>
        <v>CPAC West</v>
      </c>
      <c r="C378" s="18"/>
      <c r="D378" s="18"/>
      <c r="E378" s="18"/>
      <c r="F378" s="18"/>
      <c r="G378" s="18"/>
      <c r="H378" s="28"/>
      <c r="I378" s="5" t="s">
        <v>21</v>
      </c>
      <c r="J378" s="10">
        <v>1.28</v>
      </c>
      <c r="K378" s="10">
        <v>1.35</v>
      </c>
      <c r="L378" s="10">
        <v>0.83</v>
      </c>
      <c r="M378" s="10">
        <v>1.1499999999999999</v>
      </c>
      <c r="N378" s="9">
        <v>0.72</v>
      </c>
      <c r="O378" s="8">
        <v>0.34</v>
      </c>
    </row>
    <row r="379" spans="1:15" ht="15" thickBot="1" x14ac:dyDescent="0.4">
      <c r="A379" t="str">
        <f t="shared" si="259"/>
        <v>FC299</v>
      </c>
      <c r="B379" t="str">
        <f t="shared" ref="B379:B442" si="261">$D$314</f>
        <v>CPAC West</v>
      </c>
      <c r="C379" s="19"/>
      <c r="D379" s="19"/>
      <c r="E379" s="19"/>
      <c r="F379" s="19"/>
      <c r="G379" s="19"/>
      <c r="H379" s="29"/>
      <c r="I379" s="3" t="s">
        <v>22</v>
      </c>
      <c r="J379" s="11"/>
      <c r="K379" s="11"/>
      <c r="L379" s="10" t="s">
        <v>24</v>
      </c>
      <c r="M379" s="11"/>
      <c r="N379" s="9" t="s">
        <v>25</v>
      </c>
      <c r="O379" s="11"/>
    </row>
    <row r="380" spans="1:15" ht="15" thickBot="1" x14ac:dyDescent="0.4">
      <c r="B380" t="str">
        <f t="shared" si="261"/>
        <v>CPAC West</v>
      </c>
      <c r="C380" s="16"/>
      <c r="D380" s="16"/>
      <c r="E380" s="16"/>
      <c r="F380" s="16"/>
      <c r="G380" s="16" t="s">
        <v>110</v>
      </c>
      <c r="H380" s="27" t="s">
        <v>34</v>
      </c>
      <c r="I380" s="1"/>
      <c r="J380" s="1"/>
      <c r="K380" s="1"/>
      <c r="L380" s="1"/>
      <c r="M380" s="1"/>
      <c r="N380" s="1"/>
      <c r="O380" s="1"/>
    </row>
    <row r="381" spans="1:15" ht="15" thickBot="1" x14ac:dyDescent="0.4">
      <c r="A381" t="str">
        <f t="shared" si="260"/>
        <v>FC092</v>
      </c>
      <c r="B381" t="str">
        <f t="shared" si="261"/>
        <v>CPAC West</v>
      </c>
      <c r="C381" s="18"/>
      <c r="D381" s="18"/>
      <c r="E381" s="18"/>
      <c r="F381" s="18"/>
      <c r="G381" s="18"/>
      <c r="H381" s="28"/>
      <c r="I381" s="3" t="s">
        <v>18</v>
      </c>
      <c r="J381" s="4">
        <v>42</v>
      </c>
      <c r="K381" s="4">
        <v>36</v>
      </c>
      <c r="L381" s="4">
        <v>30</v>
      </c>
      <c r="M381" s="4">
        <v>30</v>
      </c>
      <c r="N381" s="4">
        <v>30</v>
      </c>
      <c r="O381" s="4">
        <v>33</v>
      </c>
    </row>
    <row r="382" spans="1:15" ht="15" thickBot="1" x14ac:dyDescent="0.4">
      <c r="A382" t="str">
        <f t="shared" ref="A382:A442" si="262">IF(LEFT(G380,2)="FC",LEFT(G380,5),LEFT(G380,4))</f>
        <v>FC092</v>
      </c>
      <c r="B382" t="str">
        <f t="shared" si="261"/>
        <v>CPAC West</v>
      </c>
      <c r="C382" s="18"/>
      <c r="D382" s="18"/>
      <c r="E382" s="18"/>
      <c r="F382" s="18"/>
      <c r="G382" s="18"/>
      <c r="H382" s="28"/>
      <c r="I382" s="5" t="s">
        <v>19</v>
      </c>
      <c r="J382" s="9">
        <v>110</v>
      </c>
      <c r="K382" s="9">
        <v>110</v>
      </c>
      <c r="L382" s="9">
        <v>118</v>
      </c>
      <c r="M382" s="6">
        <v>68</v>
      </c>
      <c r="N382" s="7">
        <v>70</v>
      </c>
      <c r="O382" s="7">
        <v>86</v>
      </c>
    </row>
    <row r="383" spans="1:15" ht="15" thickBot="1" x14ac:dyDescent="0.4">
      <c r="A383" t="str">
        <f t="shared" ref="A383:A443" si="263">IF(LEFT(G380,2)="FC",LEFT(G380,5),LEFT(G380,4))</f>
        <v>FC092</v>
      </c>
      <c r="B383" t="str">
        <f t="shared" si="261"/>
        <v>CPAC West</v>
      </c>
      <c r="C383" s="18"/>
      <c r="D383" s="18"/>
      <c r="E383" s="18"/>
      <c r="F383" s="18"/>
      <c r="G383" s="18"/>
      <c r="H383" s="28"/>
      <c r="I383" s="3" t="s">
        <v>20</v>
      </c>
      <c r="J383" s="7">
        <v>41.5</v>
      </c>
      <c r="K383" s="10">
        <v>23.8</v>
      </c>
      <c r="L383" s="10">
        <v>17.399999999999999</v>
      </c>
      <c r="M383" s="10">
        <v>27</v>
      </c>
      <c r="N383" s="9">
        <v>31.3</v>
      </c>
      <c r="O383" s="9">
        <v>30.3</v>
      </c>
    </row>
    <row r="384" spans="1:15" ht="15" thickBot="1" x14ac:dyDescent="0.4">
      <c r="A384" t="str">
        <f t="shared" ref="A384:A444" si="264">IF(LEFT(G380,2)="FC",LEFT(G380,5),LEFT(G380,4))</f>
        <v>FC092</v>
      </c>
      <c r="B384" t="str">
        <f t="shared" si="261"/>
        <v>CPAC West</v>
      </c>
      <c r="C384" s="18"/>
      <c r="D384" s="18"/>
      <c r="E384" s="18"/>
      <c r="F384" s="18"/>
      <c r="G384" s="18"/>
      <c r="H384" s="28"/>
      <c r="I384" s="5" t="s">
        <v>21</v>
      </c>
      <c r="J384" s="10">
        <v>0.88</v>
      </c>
      <c r="K384" s="10">
        <v>1.54</v>
      </c>
      <c r="L384" s="10">
        <v>2.25</v>
      </c>
      <c r="M384" s="10">
        <v>0.85</v>
      </c>
      <c r="N384" s="9">
        <v>0.74</v>
      </c>
      <c r="O384" s="10">
        <v>0.95</v>
      </c>
    </row>
    <row r="385" spans="1:15" ht="15" thickBot="1" x14ac:dyDescent="0.4">
      <c r="A385" t="str">
        <f t="shared" ref="A385:A445" si="265">IF(LEFT(G380,2)="FC",LEFT(G380,5),LEFT(G380,4))</f>
        <v>FC092</v>
      </c>
      <c r="B385" t="str">
        <f t="shared" si="261"/>
        <v>CPAC West</v>
      </c>
      <c r="C385" s="19"/>
      <c r="D385" s="19"/>
      <c r="E385" s="19"/>
      <c r="F385" s="19"/>
      <c r="G385" s="19"/>
      <c r="H385" s="29"/>
      <c r="I385" s="3" t="s">
        <v>22</v>
      </c>
      <c r="J385" s="10" t="s">
        <v>24</v>
      </c>
      <c r="K385" s="10" t="s">
        <v>24</v>
      </c>
      <c r="L385" s="10" t="s">
        <v>24</v>
      </c>
      <c r="M385" s="10" t="s">
        <v>24</v>
      </c>
      <c r="N385" s="9" t="s">
        <v>25</v>
      </c>
      <c r="O385" s="10" t="s">
        <v>24</v>
      </c>
    </row>
    <row r="386" spans="1:15" ht="15" thickBot="1" x14ac:dyDescent="0.4">
      <c r="B386" t="str">
        <f t="shared" si="261"/>
        <v>CPAC West</v>
      </c>
      <c r="C386" s="16"/>
      <c r="D386" s="16"/>
      <c r="E386" s="16" t="s">
        <v>111</v>
      </c>
      <c r="F386" s="16" t="s">
        <v>112</v>
      </c>
      <c r="G386" s="16" t="s">
        <v>113</v>
      </c>
      <c r="H386" s="20" t="s">
        <v>17</v>
      </c>
      <c r="I386" s="1"/>
      <c r="J386" s="1"/>
      <c r="K386" s="1"/>
      <c r="L386" s="1"/>
      <c r="M386" s="1"/>
      <c r="N386" s="1"/>
      <c r="O386" s="1"/>
    </row>
    <row r="387" spans="1:15" ht="15" thickBot="1" x14ac:dyDescent="0.4">
      <c r="A387" t="str">
        <f t="shared" si="260"/>
        <v>FC369</v>
      </c>
      <c r="B387" t="str">
        <f t="shared" si="261"/>
        <v>CPAC West</v>
      </c>
      <c r="C387" s="18"/>
      <c r="D387" s="18"/>
      <c r="E387" s="18"/>
      <c r="F387" s="18"/>
      <c r="G387" s="18"/>
      <c r="H387" s="22"/>
      <c r="I387" s="3" t="s">
        <v>18</v>
      </c>
      <c r="J387" s="4">
        <v>37</v>
      </c>
      <c r="K387" s="11"/>
      <c r="L387" s="11"/>
      <c r="M387" s="11"/>
      <c r="N387" s="8">
        <v>16</v>
      </c>
      <c r="O387" s="8">
        <v>15</v>
      </c>
    </row>
    <row r="388" spans="1:15" ht="15" thickBot="1" x14ac:dyDescent="0.4">
      <c r="A388" t="str">
        <f t="shared" si="262"/>
        <v>FC369</v>
      </c>
      <c r="B388" t="str">
        <f t="shared" si="261"/>
        <v>CPAC West</v>
      </c>
      <c r="C388" s="18"/>
      <c r="D388" s="18"/>
      <c r="E388" s="18"/>
      <c r="F388" s="18"/>
      <c r="G388" s="18"/>
      <c r="H388" s="22"/>
      <c r="I388" s="5" t="s">
        <v>19</v>
      </c>
      <c r="J388" s="9">
        <v>111</v>
      </c>
      <c r="K388" s="11"/>
      <c r="L388" s="11"/>
      <c r="M388" s="11"/>
      <c r="N388" s="9">
        <v>119</v>
      </c>
      <c r="O388" s="7">
        <v>81</v>
      </c>
    </row>
    <row r="389" spans="1:15" ht="15" thickBot="1" x14ac:dyDescent="0.4">
      <c r="A389" t="str">
        <f t="shared" si="263"/>
        <v>FC369</v>
      </c>
      <c r="B389" t="str">
        <f t="shared" si="261"/>
        <v>CPAC West</v>
      </c>
      <c r="C389" s="18"/>
      <c r="D389" s="18"/>
      <c r="E389" s="18"/>
      <c r="F389" s="18"/>
      <c r="G389" s="18"/>
      <c r="H389" s="22"/>
      <c r="I389" s="3" t="s">
        <v>20</v>
      </c>
      <c r="J389" s="7">
        <v>36.4</v>
      </c>
      <c r="K389" s="11"/>
      <c r="L389" s="11"/>
      <c r="M389" s="11"/>
      <c r="N389" s="6">
        <v>42.1</v>
      </c>
      <c r="O389" s="8">
        <v>52</v>
      </c>
    </row>
    <row r="390" spans="1:15" ht="15" thickBot="1" x14ac:dyDescent="0.4">
      <c r="A390" t="str">
        <f t="shared" si="264"/>
        <v>FC369</v>
      </c>
      <c r="B390" t="str">
        <f t="shared" si="261"/>
        <v>CPAC West</v>
      </c>
      <c r="C390" s="18"/>
      <c r="D390" s="18"/>
      <c r="E390" s="18"/>
      <c r="F390" s="18"/>
      <c r="G390" s="18"/>
      <c r="H390" s="22"/>
      <c r="I390" s="5" t="s">
        <v>21</v>
      </c>
      <c r="J390" s="10">
        <v>1.01</v>
      </c>
      <c r="K390" s="11"/>
      <c r="L390" s="11"/>
      <c r="M390" s="11"/>
      <c r="N390" s="10">
        <v>0.94</v>
      </c>
      <c r="O390" s="8">
        <v>0.52</v>
      </c>
    </row>
    <row r="391" spans="1:15" ht="15" thickBot="1" x14ac:dyDescent="0.4">
      <c r="A391" t="str">
        <f t="shared" si="265"/>
        <v>FC369</v>
      </c>
      <c r="B391" t="str">
        <f t="shared" si="261"/>
        <v>CPAC West</v>
      </c>
      <c r="C391" s="19"/>
      <c r="D391" s="19"/>
      <c r="E391" s="19"/>
      <c r="F391" s="19"/>
      <c r="G391" s="19"/>
      <c r="H391" s="23"/>
      <c r="I391" s="3" t="s">
        <v>22</v>
      </c>
      <c r="J391" s="11"/>
      <c r="K391" s="11" t="s">
        <v>27</v>
      </c>
      <c r="L391" s="11" t="s">
        <v>27</v>
      </c>
      <c r="M391" s="11" t="s">
        <v>27</v>
      </c>
      <c r="N391" s="10" t="s">
        <v>24</v>
      </c>
      <c r="O391" s="8" t="s">
        <v>23</v>
      </c>
    </row>
    <row r="392" spans="1:15" ht="15" thickBot="1" x14ac:dyDescent="0.4">
      <c r="B392" t="str">
        <f t="shared" si="261"/>
        <v>CPAC West</v>
      </c>
      <c r="C392" s="16"/>
      <c r="D392" s="16"/>
      <c r="E392" s="16"/>
      <c r="F392" s="16"/>
      <c r="G392" s="16" t="s">
        <v>114</v>
      </c>
      <c r="H392" s="27" t="s">
        <v>34</v>
      </c>
      <c r="I392" s="1"/>
      <c r="J392" s="1"/>
      <c r="K392" s="1"/>
      <c r="L392" s="1"/>
      <c r="M392" s="1"/>
      <c r="N392" s="1"/>
      <c r="O392" s="1"/>
    </row>
    <row r="393" spans="1:15" ht="15" thickBot="1" x14ac:dyDescent="0.4">
      <c r="A393" t="str">
        <f t="shared" si="260"/>
        <v>FC397</v>
      </c>
      <c r="B393" t="str">
        <f t="shared" si="261"/>
        <v>CPAC West</v>
      </c>
      <c r="C393" s="18"/>
      <c r="D393" s="18"/>
      <c r="E393" s="18"/>
      <c r="F393" s="18"/>
      <c r="G393" s="18"/>
      <c r="H393" s="28"/>
      <c r="I393" s="3" t="s">
        <v>18</v>
      </c>
      <c r="J393" s="4">
        <v>32</v>
      </c>
      <c r="K393" s="4">
        <v>31</v>
      </c>
      <c r="L393" s="4">
        <v>30</v>
      </c>
      <c r="M393" s="4">
        <v>37</v>
      </c>
      <c r="N393" s="4">
        <v>40</v>
      </c>
      <c r="O393" s="8">
        <v>16</v>
      </c>
    </row>
    <row r="394" spans="1:15" ht="15" thickBot="1" x14ac:dyDescent="0.4">
      <c r="A394" t="str">
        <f t="shared" si="262"/>
        <v>FC397</v>
      </c>
      <c r="B394" t="str">
        <f t="shared" si="261"/>
        <v>CPAC West</v>
      </c>
      <c r="C394" s="18"/>
      <c r="D394" s="18"/>
      <c r="E394" s="18"/>
      <c r="F394" s="18"/>
      <c r="G394" s="18"/>
      <c r="H394" s="28"/>
      <c r="I394" s="5" t="s">
        <v>19</v>
      </c>
      <c r="J394" s="7">
        <v>74</v>
      </c>
      <c r="K394" s="7">
        <v>76</v>
      </c>
      <c r="L394" s="8">
        <v>32</v>
      </c>
      <c r="M394" s="6">
        <v>68</v>
      </c>
      <c r="N394" s="8">
        <v>44</v>
      </c>
      <c r="O394" s="7">
        <v>78</v>
      </c>
    </row>
    <row r="395" spans="1:15" ht="15" thickBot="1" x14ac:dyDescent="0.4">
      <c r="A395" t="str">
        <f t="shared" si="263"/>
        <v>FC397</v>
      </c>
      <c r="B395" t="str">
        <f t="shared" si="261"/>
        <v>CPAC West</v>
      </c>
      <c r="C395" s="18"/>
      <c r="D395" s="18"/>
      <c r="E395" s="18"/>
      <c r="F395" s="18"/>
      <c r="G395" s="18"/>
      <c r="H395" s="28"/>
      <c r="I395" s="3" t="s">
        <v>20</v>
      </c>
      <c r="J395" s="10">
        <v>25.9</v>
      </c>
      <c r="K395" s="7">
        <v>41.7</v>
      </c>
      <c r="L395" s="10">
        <v>24.2</v>
      </c>
      <c r="M395" s="9">
        <v>30</v>
      </c>
      <c r="N395" s="9">
        <v>28.8</v>
      </c>
      <c r="O395" s="6">
        <v>42.2</v>
      </c>
    </row>
    <row r="396" spans="1:15" ht="15" thickBot="1" x14ac:dyDescent="0.4">
      <c r="A396" t="str">
        <f t="shared" si="264"/>
        <v>FC397</v>
      </c>
      <c r="B396" t="str">
        <f t="shared" si="261"/>
        <v>CPAC West</v>
      </c>
      <c r="C396" s="18"/>
      <c r="D396" s="18"/>
      <c r="E396" s="18"/>
      <c r="F396" s="18"/>
      <c r="G396" s="18"/>
      <c r="H396" s="28"/>
      <c r="I396" s="5" t="s">
        <v>21</v>
      </c>
      <c r="J396" s="10">
        <v>0.96</v>
      </c>
      <c r="K396" s="9">
        <v>0.61</v>
      </c>
      <c r="L396" s="8">
        <v>0.43</v>
      </c>
      <c r="M396" s="9">
        <v>0.76</v>
      </c>
      <c r="N396" s="8">
        <v>0.51</v>
      </c>
      <c r="O396" s="9">
        <v>0.62</v>
      </c>
    </row>
    <row r="397" spans="1:15" ht="15" thickBot="1" x14ac:dyDescent="0.4">
      <c r="A397" t="str">
        <f t="shared" si="265"/>
        <v>FC397</v>
      </c>
      <c r="B397" t="str">
        <f t="shared" si="261"/>
        <v>CPAC West</v>
      </c>
      <c r="C397" s="19"/>
      <c r="D397" s="19"/>
      <c r="E397" s="19"/>
      <c r="F397" s="19"/>
      <c r="G397" s="19"/>
      <c r="H397" s="29"/>
      <c r="I397" s="3" t="s">
        <v>22</v>
      </c>
      <c r="J397" s="11"/>
      <c r="K397" s="11"/>
      <c r="L397" s="11"/>
      <c r="M397" s="11"/>
      <c r="N397" s="11"/>
      <c r="O397" s="9" t="s">
        <v>25</v>
      </c>
    </row>
    <row r="398" spans="1:15" ht="15" thickBot="1" x14ac:dyDescent="0.4">
      <c r="B398" t="str">
        <f t="shared" si="261"/>
        <v>CPAC West</v>
      </c>
      <c r="C398" s="16"/>
      <c r="D398" s="16"/>
      <c r="E398" s="16"/>
      <c r="F398" s="16"/>
      <c r="G398" s="16" t="s">
        <v>115</v>
      </c>
      <c r="H398" s="20" t="s">
        <v>17</v>
      </c>
      <c r="I398" s="1"/>
      <c r="J398" s="1"/>
      <c r="K398" s="1"/>
      <c r="L398" s="1"/>
      <c r="M398" s="1"/>
      <c r="N398" s="1"/>
      <c r="O398" s="1"/>
    </row>
    <row r="399" spans="1:15" ht="15" thickBot="1" x14ac:dyDescent="0.4">
      <c r="A399" t="str">
        <f t="shared" si="260"/>
        <v>FC069</v>
      </c>
      <c r="B399" t="str">
        <f t="shared" si="261"/>
        <v>CPAC West</v>
      </c>
      <c r="C399" s="18"/>
      <c r="D399" s="18"/>
      <c r="E399" s="18"/>
      <c r="F399" s="18"/>
      <c r="G399" s="18"/>
      <c r="H399" s="22"/>
      <c r="I399" s="3" t="s">
        <v>18</v>
      </c>
      <c r="J399" s="11"/>
      <c r="K399" s="11"/>
      <c r="L399" s="11"/>
      <c r="M399" s="11"/>
      <c r="N399" s="4">
        <v>31</v>
      </c>
      <c r="O399" s="11"/>
    </row>
    <row r="400" spans="1:15" ht="15" thickBot="1" x14ac:dyDescent="0.4">
      <c r="A400" t="str">
        <f t="shared" si="262"/>
        <v>FC069</v>
      </c>
      <c r="B400" t="str">
        <f t="shared" si="261"/>
        <v>CPAC West</v>
      </c>
      <c r="C400" s="18"/>
      <c r="D400" s="18"/>
      <c r="E400" s="18"/>
      <c r="F400" s="18"/>
      <c r="G400" s="18"/>
      <c r="H400" s="22"/>
      <c r="I400" s="5" t="s">
        <v>19</v>
      </c>
      <c r="J400" s="11"/>
      <c r="K400" s="11"/>
      <c r="L400" s="11"/>
      <c r="M400" s="11"/>
      <c r="N400" s="9">
        <v>95</v>
      </c>
      <c r="O400" s="11"/>
    </row>
    <row r="401" spans="1:15" ht="15" thickBot="1" x14ac:dyDescent="0.4">
      <c r="A401" t="str">
        <f t="shared" si="263"/>
        <v>FC069</v>
      </c>
      <c r="B401" t="str">
        <f t="shared" si="261"/>
        <v>CPAC West</v>
      </c>
      <c r="C401" s="18"/>
      <c r="D401" s="18"/>
      <c r="E401" s="18"/>
      <c r="F401" s="18"/>
      <c r="G401" s="18"/>
      <c r="H401" s="22"/>
      <c r="I401" s="3" t="s">
        <v>20</v>
      </c>
      <c r="J401" s="11"/>
      <c r="K401" s="11"/>
      <c r="L401" s="11"/>
      <c r="M401" s="11"/>
      <c r="N401" s="7">
        <v>38</v>
      </c>
      <c r="O401" s="11"/>
    </row>
    <row r="402" spans="1:15" ht="15" thickBot="1" x14ac:dyDescent="0.4">
      <c r="A402" t="str">
        <f t="shared" si="264"/>
        <v>FC069</v>
      </c>
      <c r="B402" t="str">
        <f t="shared" si="261"/>
        <v>CPAC West</v>
      </c>
      <c r="C402" s="18"/>
      <c r="D402" s="18"/>
      <c r="E402" s="18"/>
      <c r="F402" s="18"/>
      <c r="G402" s="18"/>
      <c r="H402" s="22"/>
      <c r="I402" s="5" t="s">
        <v>21</v>
      </c>
      <c r="J402" s="11"/>
      <c r="K402" s="11"/>
      <c r="L402" s="11"/>
      <c r="M402" s="11"/>
      <c r="N402" s="10">
        <v>0.83</v>
      </c>
      <c r="O402" s="11"/>
    </row>
    <row r="403" spans="1:15" ht="15" thickBot="1" x14ac:dyDescent="0.4">
      <c r="A403" t="str">
        <f t="shared" si="265"/>
        <v>FC069</v>
      </c>
      <c r="B403" t="str">
        <f t="shared" si="261"/>
        <v>CPAC West</v>
      </c>
      <c r="C403" s="19"/>
      <c r="D403" s="19"/>
      <c r="E403" s="19"/>
      <c r="F403" s="19"/>
      <c r="G403" s="19"/>
      <c r="H403" s="23"/>
      <c r="I403" s="3" t="s">
        <v>22</v>
      </c>
      <c r="J403" s="11" t="s">
        <v>27</v>
      </c>
      <c r="K403" s="11" t="s">
        <v>27</v>
      </c>
      <c r="L403" s="11" t="s">
        <v>27</v>
      </c>
      <c r="M403" s="11" t="s">
        <v>27</v>
      </c>
      <c r="N403" s="11"/>
      <c r="O403" s="11" t="s">
        <v>27</v>
      </c>
    </row>
    <row r="404" spans="1:15" ht="15" thickBot="1" x14ac:dyDescent="0.4">
      <c r="B404" t="str">
        <f t="shared" si="261"/>
        <v>CPAC West</v>
      </c>
      <c r="C404" s="16"/>
      <c r="D404" s="16"/>
      <c r="E404" s="16"/>
      <c r="F404" s="16"/>
      <c r="G404" s="16" t="s">
        <v>116</v>
      </c>
      <c r="H404" s="20" t="s">
        <v>17</v>
      </c>
      <c r="I404" s="1"/>
      <c r="J404" s="1"/>
      <c r="K404" s="1"/>
      <c r="L404" s="1"/>
      <c r="M404" s="1"/>
      <c r="N404" s="1"/>
      <c r="O404" s="1"/>
    </row>
    <row r="405" spans="1:15" ht="15" thickBot="1" x14ac:dyDescent="0.4">
      <c r="A405" t="str">
        <f t="shared" si="260"/>
        <v>FC070</v>
      </c>
      <c r="B405" t="str">
        <f t="shared" si="261"/>
        <v>CPAC West</v>
      </c>
      <c r="C405" s="18"/>
      <c r="D405" s="18"/>
      <c r="E405" s="18"/>
      <c r="F405" s="18"/>
      <c r="G405" s="18"/>
      <c r="H405" s="22"/>
      <c r="I405" s="3" t="s">
        <v>18</v>
      </c>
      <c r="J405" s="4">
        <v>30</v>
      </c>
      <c r="K405" s="4">
        <v>32</v>
      </c>
      <c r="L405" s="4">
        <v>46</v>
      </c>
      <c r="M405" s="11"/>
      <c r="N405" s="4">
        <v>33</v>
      </c>
      <c r="O405" s="4">
        <v>51</v>
      </c>
    </row>
    <row r="406" spans="1:15" ht="15" thickBot="1" x14ac:dyDescent="0.4">
      <c r="A406" t="str">
        <f t="shared" si="262"/>
        <v>FC070</v>
      </c>
      <c r="B406" t="str">
        <f t="shared" si="261"/>
        <v>CPAC West</v>
      </c>
      <c r="C406" s="18"/>
      <c r="D406" s="18"/>
      <c r="E406" s="18"/>
      <c r="F406" s="18"/>
      <c r="G406" s="18"/>
      <c r="H406" s="22"/>
      <c r="I406" s="5" t="s">
        <v>19</v>
      </c>
      <c r="J406" s="9">
        <v>113</v>
      </c>
      <c r="K406" s="8">
        <v>48</v>
      </c>
      <c r="L406" s="8">
        <v>30</v>
      </c>
      <c r="M406" s="11"/>
      <c r="N406" s="7">
        <v>74</v>
      </c>
      <c r="O406" s="7">
        <v>74</v>
      </c>
    </row>
    <row r="407" spans="1:15" ht="15" thickBot="1" x14ac:dyDescent="0.4">
      <c r="A407" t="str">
        <f t="shared" si="263"/>
        <v>FC070</v>
      </c>
      <c r="B407" t="str">
        <f t="shared" si="261"/>
        <v>CPAC West</v>
      </c>
      <c r="C407" s="18"/>
      <c r="D407" s="18"/>
      <c r="E407" s="18"/>
      <c r="F407" s="18"/>
      <c r="G407" s="18"/>
      <c r="H407" s="22"/>
      <c r="I407" s="3" t="s">
        <v>20</v>
      </c>
      <c r="J407" s="8">
        <v>55.3</v>
      </c>
      <c r="K407" s="6">
        <v>44.3</v>
      </c>
      <c r="L407" s="8">
        <v>50.5</v>
      </c>
      <c r="M407" s="11"/>
      <c r="N407" s="7">
        <v>37.299999999999997</v>
      </c>
      <c r="O407" s="9">
        <v>30.9</v>
      </c>
    </row>
    <row r="408" spans="1:15" ht="15" thickBot="1" x14ac:dyDescent="0.4">
      <c r="A408" t="str">
        <f t="shared" si="264"/>
        <v>FC070</v>
      </c>
      <c r="B408" t="str">
        <f t="shared" si="261"/>
        <v>CPAC West</v>
      </c>
      <c r="C408" s="18"/>
      <c r="D408" s="18"/>
      <c r="E408" s="18"/>
      <c r="F408" s="18"/>
      <c r="G408" s="18"/>
      <c r="H408" s="22"/>
      <c r="I408" s="5" t="s">
        <v>21</v>
      </c>
      <c r="J408" s="9">
        <v>0.68</v>
      </c>
      <c r="K408" s="8">
        <v>0.36</v>
      </c>
      <c r="L408" s="8">
        <v>0.19</v>
      </c>
      <c r="M408" s="11"/>
      <c r="N408" s="9">
        <v>0.66</v>
      </c>
      <c r="O408" s="10">
        <v>0.8</v>
      </c>
    </row>
    <row r="409" spans="1:15" ht="15" thickBot="1" x14ac:dyDescent="0.4">
      <c r="A409" t="str">
        <f t="shared" si="265"/>
        <v>FC070</v>
      </c>
      <c r="B409" t="str">
        <f t="shared" si="261"/>
        <v>CPAC West</v>
      </c>
      <c r="C409" s="19"/>
      <c r="D409" s="19"/>
      <c r="E409" s="19"/>
      <c r="F409" s="19"/>
      <c r="G409" s="19"/>
      <c r="H409" s="23"/>
      <c r="I409" s="3" t="s">
        <v>22</v>
      </c>
      <c r="J409" s="11"/>
      <c r="K409" s="8" t="s">
        <v>23</v>
      </c>
      <c r="L409" s="8" t="s">
        <v>23</v>
      </c>
      <c r="M409" s="11" t="s">
        <v>27</v>
      </c>
      <c r="N409" s="9" t="s">
        <v>25</v>
      </c>
      <c r="O409" s="10" t="s">
        <v>24</v>
      </c>
    </row>
    <row r="410" spans="1:15" ht="15" thickBot="1" x14ac:dyDescent="0.4">
      <c r="B410" t="str">
        <f t="shared" si="261"/>
        <v>CPAC West</v>
      </c>
      <c r="C410" s="16"/>
      <c r="D410" s="16"/>
      <c r="E410" s="16"/>
      <c r="F410" s="16"/>
      <c r="G410" s="16" t="s">
        <v>117</v>
      </c>
      <c r="H410" s="24" t="s">
        <v>30</v>
      </c>
      <c r="I410" s="1"/>
      <c r="J410" s="1"/>
      <c r="K410" s="1"/>
      <c r="L410" s="1"/>
      <c r="M410" s="1"/>
      <c r="N410" s="1"/>
      <c r="O410" s="1"/>
    </row>
    <row r="411" spans="1:15" ht="15" thickBot="1" x14ac:dyDescent="0.4">
      <c r="A411" t="str">
        <f t="shared" si="260"/>
        <v>FC254</v>
      </c>
      <c r="B411" t="str">
        <f t="shared" si="261"/>
        <v>CPAC West</v>
      </c>
      <c r="C411" s="18"/>
      <c r="D411" s="18"/>
      <c r="E411" s="18"/>
      <c r="F411" s="18"/>
      <c r="G411" s="18"/>
      <c r="H411" s="25"/>
      <c r="I411" s="3" t="s">
        <v>18</v>
      </c>
      <c r="J411" s="11"/>
      <c r="K411" s="11"/>
      <c r="L411" s="11"/>
      <c r="M411" s="11"/>
      <c r="N411" s="11"/>
      <c r="O411" s="11"/>
    </row>
    <row r="412" spans="1:15" ht="15" thickBot="1" x14ac:dyDescent="0.4">
      <c r="A412" t="str">
        <f t="shared" si="262"/>
        <v>FC254</v>
      </c>
      <c r="B412" t="str">
        <f t="shared" si="261"/>
        <v>CPAC West</v>
      </c>
      <c r="C412" s="18"/>
      <c r="D412" s="18"/>
      <c r="E412" s="18"/>
      <c r="F412" s="18"/>
      <c r="G412" s="18"/>
      <c r="H412" s="25"/>
      <c r="I412" s="5" t="s">
        <v>19</v>
      </c>
      <c r="J412" s="11"/>
      <c r="K412" s="11"/>
      <c r="L412" s="11"/>
      <c r="M412" s="11"/>
      <c r="N412" s="11"/>
      <c r="O412" s="11"/>
    </row>
    <row r="413" spans="1:15" ht="15" thickBot="1" x14ac:dyDescent="0.4">
      <c r="A413" t="str">
        <f t="shared" si="263"/>
        <v>FC254</v>
      </c>
      <c r="B413" t="str">
        <f t="shared" si="261"/>
        <v>CPAC West</v>
      </c>
      <c r="C413" s="18"/>
      <c r="D413" s="18"/>
      <c r="E413" s="18"/>
      <c r="F413" s="18"/>
      <c r="G413" s="18"/>
      <c r="H413" s="25"/>
      <c r="I413" s="3" t="s">
        <v>20</v>
      </c>
      <c r="J413" s="11"/>
      <c r="K413" s="11"/>
      <c r="L413" s="11"/>
      <c r="M413" s="11"/>
      <c r="N413" s="11"/>
      <c r="O413" s="11"/>
    </row>
    <row r="414" spans="1:15" ht="15" thickBot="1" x14ac:dyDescent="0.4">
      <c r="A414" t="str">
        <f t="shared" si="264"/>
        <v>FC254</v>
      </c>
      <c r="B414" t="str">
        <f t="shared" si="261"/>
        <v>CPAC West</v>
      </c>
      <c r="C414" s="18"/>
      <c r="D414" s="18"/>
      <c r="E414" s="18"/>
      <c r="F414" s="18"/>
      <c r="G414" s="18"/>
      <c r="H414" s="25"/>
      <c r="I414" s="5" t="s">
        <v>21</v>
      </c>
      <c r="J414" s="11"/>
      <c r="K414" s="11"/>
      <c r="L414" s="11"/>
      <c r="M414" s="11"/>
      <c r="N414" s="11"/>
      <c r="O414" s="11"/>
    </row>
    <row r="415" spans="1:15" ht="15" thickBot="1" x14ac:dyDescent="0.4">
      <c r="A415" t="str">
        <f t="shared" si="265"/>
        <v>FC254</v>
      </c>
      <c r="B415" t="str">
        <f t="shared" si="261"/>
        <v>CPAC West</v>
      </c>
      <c r="C415" s="19"/>
      <c r="D415" s="19"/>
      <c r="E415" s="19"/>
      <c r="F415" s="19"/>
      <c r="G415" s="19"/>
      <c r="H415" s="26"/>
      <c r="I415" s="3" t="s">
        <v>22</v>
      </c>
      <c r="J415" s="11" t="s">
        <v>27</v>
      </c>
      <c r="K415" s="11" t="s">
        <v>31</v>
      </c>
      <c r="L415" s="11" t="s">
        <v>31</v>
      </c>
      <c r="M415" s="11" t="s">
        <v>27</v>
      </c>
      <c r="N415" s="11" t="s">
        <v>31</v>
      </c>
      <c r="O415" s="11" t="s">
        <v>27</v>
      </c>
    </row>
    <row r="416" spans="1:15" ht="15" thickBot="1" x14ac:dyDescent="0.4">
      <c r="B416" t="str">
        <f t="shared" si="261"/>
        <v>CPAC West</v>
      </c>
      <c r="C416" s="16"/>
      <c r="D416" s="16"/>
      <c r="E416" s="16"/>
      <c r="F416" s="16" t="s">
        <v>118</v>
      </c>
      <c r="G416" s="16" t="s">
        <v>119</v>
      </c>
      <c r="H416" s="20" t="s">
        <v>17</v>
      </c>
      <c r="I416" s="1"/>
      <c r="J416" s="1"/>
      <c r="K416" s="1"/>
      <c r="L416" s="1"/>
      <c r="M416" s="1"/>
      <c r="N416" s="1"/>
      <c r="O416" s="1"/>
    </row>
    <row r="417" spans="1:15" ht="15" thickBot="1" x14ac:dyDescent="0.4">
      <c r="A417" t="str">
        <f t="shared" si="260"/>
        <v>FC236</v>
      </c>
      <c r="B417" t="str">
        <f t="shared" si="261"/>
        <v>CPAC West</v>
      </c>
      <c r="C417" s="18"/>
      <c r="D417" s="18"/>
      <c r="E417" s="18"/>
      <c r="F417" s="18"/>
      <c r="G417" s="18"/>
      <c r="H417" s="22"/>
      <c r="I417" s="3" t="s">
        <v>18</v>
      </c>
      <c r="J417" s="8">
        <v>15</v>
      </c>
      <c r="K417" s="8">
        <v>21</v>
      </c>
      <c r="L417" s="8">
        <v>24</v>
      </c>
      <c r="M417" s="8">
        <v>18</v>
      </c>
      <c r="N417" s="4">
        <v>30</v>
      </c>
      <c r="O417" s="8">
        <v>24</v>
      </c>
    </row>
    <row r="418" spans="1:15" ht="15" thickBot="1" x14ac:dyDescent="0.4">
      <c r="A418" t="str">
        <f t="shared" si="262"/>
        <v>FC236</v>
      </c>
      <c r="B418" t="str">
        <f t="shared" si="261"/>
        <v>CPAC West</v>
      </c>
      <c r="C418" s="18"/>
      <c r="D418" s="18"/>
      <c r="E418" s="18"/>
      <c r="F418" s="18"/>
      <c r="G418" s="18"/>
      <c r="H418" s="22"/>
      <c r="I418" s="5" t="s">
        <v>19</v>
      </c>
      <c r="J418" s="6">
        <v>63</v>
      </c>
      <c r="K418" s="8">
        <v>29</v>
      </c>
      <c r="L418" s="8">
        <v>24</v>
      </c>
      <c r="M418" s="8">
        <v>28</v>
      </c>
      <c r="N418" s="8">
        <v>48</v>
      </c>
      <c r="O418" s="8">
        <v>22</v>
      </c>
    </row>
    <row r="419" spans="1:15" ht="15" thickBot="1" x14ac:dyDescent="0.4">
      <c r="A419" t="str">
        <f t="shared" si="263"/>
        <v>FC236</v>
      </c>
      <c r="B419" t="str">
        <f t="shared" si="261"/>
        <v>CPAC West</v>
      </c>
      <c r="C419" s="18"/>
      <c r="D419" s="18"/>
      <c r="E419" s="18"/>
      <c r="F419" s="18"/>
      <c r="G419" s="18"/>
      <c r="H419" s="22"/>
      <c r="I419" s="3" t="s">
        <v>20</v>
      </c>
      <c r="J419" s="10">
        <v>20.5</v>
      </c>
      <c r="K419" s="10">
        <v>15.6</v>
      </c>
      <c r="L419" s="10">
        <v>17.100000000000001</v>
      </c>
      <c r="M419" s="10">
        <v>14.8</v>
      </c>
      <c r="N419" s="10">
        <v>19.5</v>
      </c>
      <c r="O419" s="10">
        <v>20.100000000000001</v>
      </c>
    </row>
    <row r="420" spans="1:15" ht="15" thickBot="1" x14ac:dyDescent="0.4">
      <c r="A420" t="str">
        <f t="shared" si="264"/>
        <v>FC236</v>
      </c>
      <c r="B420" t="str">
        <f t="shared" si="261"/>
        <v>CPAC West</v>
      </c>
      <c r="C420" s="18"/>
      <c r="D420" s="18"/>
      <c r="E420" s="18"/>
      <c r="F420" s="18"/>
      <c r="G420" s="18"/>
      <c r="H420" s="22"/>
      <c r="I420" s="5" t="s">
        <v>21</v>
      </c>
      <c r="J420" s="10">
        <v>1.03</v>
      </c>
      <c r="K420" s="9">
        <v>0.62</v>
      </c>
      <c r="L420" s="8">
        <v>0.46</v>
      </c>
      <c r="M420" s="9">
        <v>0.63</v>
      </c>
      <c r="N420" s="10">
        <v>0.81</v>
      </c>
      <c r="O420" s="8">
        <v>0.37</v>
      </c>
    </row>
    <row r="421" spans="1:15" ht="15" thickBot="1" x14ac:dyDescent="0.4">
      <c r="A421" t="str">
        <f t="shared" si="265"/>
        <v>FC236</v>
      </c>
      <c r="B421" t="str">
        <f t="shared" si="261"/>
        <v>CPAC West</v>
      </c>
      <c r="C421" s="19"/>
      <c r="D421" s="19"/>
      <c r="E421" s="19"/>
      <c r="F421" s="19"/>
      <c r="G421" s="19"/>
      <c r="H421" s="23"/>
      <c r="I421" s="3" t="s">
        <v>22</v>
      </c>
      <c r="J421" s="10" t="s">
        <v>24</v>
      </c>
      <c r="K421" s="9" t="s">
        <v>25</v>
      </c>
      <c r="L421" s="8" t="s">
        <v>23</v>
      </c>
      <c r="M421" s="9" t="s">
        <v>25</v>
      </c>
      <c r="N421" s="11"/>
      <c r="O421" s="8" t="s">
        <v>23</v>
      </c>
    </row>
    <row r="422" spans="1:15" ht="15" thickBot="1" x14ac:dyDescent="0.4">
      <c r="B422" t="str">
        <f t="shared" si="261"/>
        <v>CPAC West</v>
      </c>
      <c r="C422" s="16"/>
      <c r="D422" s="16"/>
      <c r="E422" s="16"/>
      <c r="F422" s="16"/>
      <c r="G422" s="16" t="s">
        <v>120</v>
      </c>
      <c r="H422" s="20" t="s">
        <v>17</v>
      </c>
      <c r="I422" s="1"/>
      <c r="J422" s="1"/>
      <c r="K422" s="1"/>
      <c r="L422" s="1"/>
      <c r="M422" s="1"/>
      <c r="N422" s="1"/>
      <c r="O422" s="1"/>
    </row>
    <row r="423" spans="1:15" ht="15" thickBot="1" x14ac:dyDescent="0.4">
      <c r="A423" t="str">
        <f t="shared" si="260"/>
        <v>FC035</v>
      </c>
      <c r="B423" t="str">
        <f t="shared" si="261"/>
        <v>CPAC West</v>
      </c>
      <c r="C423" s="18"/>
      <c r="D423" s="18"/>
      <c r="E423" s="18"/>
      <c r="F423" s="18"/>
      <c r="G423" s="18"/>
      <c r="H423" s="22"/>
      <c r="I423" s="3" t="s">
        <v>18</v>
      </c>
      <c r="J423" s="4">
        <v>51</v>
      </c>
      <c r="K423" s="4">
        <v>30</v>
      </c>
      <c r="L423" s="4">
        <v>42</v>
      </c>
      <c r="M423" s="4">
        <v>36</v>
      </c>
      <c r="N423" s="4">
        <v>54</v>
      </c>
      <c r="O423" s="4">
        <v>45</v>
      </c>
    </row>
    <row r="424" spans="1:15" ht="15" thickBot="1" x14ac:dyDescent="0.4">
      <c r="A424" t="str">
        <f t="shared" si="262"/>
        <v>FC035</v>
      </c>
      <c r="B424" t="str">
        <f t="shared" si="261"/>
        <v>CPAC West</v>
      </c>
      <c r="C424" s="18"/>
      <c r="D424" s="18"/>
      <c r="E424" s="18"/>
      <c r="F424" s="18"/>
      <c r="G424" s="18"/>
      <c r="H424" s="22"/>
      <c r="I424" s="5" t="s">
        <v>19</v>
      </c>
      <c r="J424" s="7">
        <v>79</v>
      </c>
      <c r="K424" s="7">
        <v>74</v>
      </c>
      <c r="L424" s="6">
        <v>56</v>
      </c>
      <c r="M424" s="9">
        <v>93</v>
      </c>
      <c r="N424" s="8">
        <v>42</v>
      </c>
      <c r="O424" s="7">
        <v>82</v>
      </c>
    </row>
    <row r="425" spans="1:15" ht="15" thickBot="1" x14ac:dyDescent="0.4">
      <c r="A425" t="str">
        <f t="shared" si="263"/>
        <v>FC035</v>
      </c>
      <c r="B425" t="str">
        <f t="shared" si="261"/>
        <v>CPAC West</v>
      </c>
      <c r="C425" s="18"/>
      <c r="D425" s="18"/>
      <c r="E425" s="18"/>
      <c r="F425" s="18"/>
      <c r="G425" s="18"/>
      <c r="H425" s="22"/>
      <c r="I425" s="3" t="s">
        <v>20</v>
      </c>
      <c r="J425" s="10">
        <v>25.8</v>
      </c>
      <c r="K425" s="10">
        <v>21.6</v>
      </c>
      <c r="L425" s="10">
        <v>20.5</v>
      </c>
      <c r="M425" s="8">
        <v>83.4</v>
      </c>
      <c r="N425" s="10">
        <v>25.5</v>
      </c>
      <c r="O425" s="9">
        <v>34</v>
      </c>
    </row>
    <row r="426" spans="1:15" ht="15" thickBot="1" x14ac:dyDescent="0.4">
      <c r="A426" t="str">
        <f t="shared" si="264"/>
        <v>FC035</v>
      </c>
      <c r="B426" t="str">
        <f t="shared" si="261"/>
        <v>CPAC West</v>
      </c>
      <c r="C426" s="18"/>
      <c r="D426" s="18"/>
      <c r="E426" s="18"/>
      <c r="F426" s="18"/>
      <c r="G426" s="18"/>
      <c r="H426" s="22"/>
      <c r="I426" s="5" t="s">
        <v>21</v>
      </c>
      <c r="J426" s="10">
        <v>1.03</v>
      </c>
      <c r="K426" s="10">
        <v>1.1399999999999999</v>
      </c>
      <c r="L426" s="10">
        <v>0.91</v>
      </c>
      <c r="M426" s="8">
        <v>0.37</v>
      </c>
      <c r="N426" s="9">
        <v>0.55000000000000004</v>
      </c>
      <c r="O426" s="10">
        <v>0.8</v>
      </c>
    </row>
    <row r="427" spans="1:15" ht="15" thickBot="1" x14ac:dyDescent="0.4">
      <c r="A427" t="str">
        <f t="shared" si="265"/>
        <v>FC035</v>
      </c>
      <c r="B427" t="str">
        <f t="shared" si="261"/>
        <v>CPAC West</v>
      </c>
      <c r="C427" s="19"/>
      <c r="D427" s="19"/>
      <c r="E427" s="19"/>
      <c r="F427" s="19"/>
      <c r="G427" s="19"/>
      <c r="H427" s="23"/>
      <c r="I427" s="3" t="s">
        <v>22</v>
      </c>
      <c r="J427" s="10" t="s">
        <v>24</v>
      </c>
      <c r="K427" s="10" t="s">
        <v>24</v>
      </c>
      <c r="L427" s="10" t="s">
        <v>24</v>
      </c>
      <c r="M427" s="8" t="s">
        <v>23</v>
      </c>
      <c r="N427" s="9" t="s">
        <v>25</v>
      </c>
      <c r="O427" s="10" t="s">
        <v>24</v>
      </c>
    </row>
    <row r="428" spans="1:15" ht="15" thickBot="1" x14ac:dyDescent="0.4">
      <c r="B428" t="str">
        <f t="shared" si="261"/>
        <v>CPAC West</v>
      </c>
      <c r="C428" s="16"/>
      <c r="D428" s="16"/>
      <c r="E428" s="16"/>
      <c r="F428" s="16"/>
      <c r="G428" s="16" t="s">
        <v>121</v>
      </c>
      <c r="H428" s="20" t="s">
        <v>17</v>
      </c>
      <c r="I428" s="1"/>
      <c r="J428" s="1"/>
      <c r="K428" s="1"/>
      <c r="L428" s="1"/>
      <c r="M428" s="1"/>
      <c r="N428" s="1"/>
      <c r="O428" s="1"/>
    </row>
    <row r="429" spans="1:15" ht="15" thickBot="1" x14ac:dyDescent="0.4">
      <c r="A429" t="str">
        <f t="shared" si="260"/>
        <v>FC009</v>
      </c>
      <c r="B429" t="str">
        <f t="shared" si="261"/>
        <v>CPAC West</v>
      </c>
      <c r="C429" s="18"/>
      <c r="D429" s="18"/>
      <c r="E429" s="18"/>
      <c r="F429" s="18"/>
      <c r="G429" s="18"/>
      <c r="H429" s="22"/>
      <c r="I429" s="3" t="s">
        <v>18</v>
      </c>
      <c r="J429" s="4">
        <v>30</v>
      </c>
      <c r="K429" s="8">
        <v>18</v>
      </c>
      <c r="L429" s="11"/>
      <c r="M429" s="11"/>
      <c r="N429" s="11"/>
      <c r="O429" s="8">
        <v>21</v>
      </c>
    </row>
    <row r="430" spans="1:15" ht="15" thickBot="1" x14ac:dyDescent="0.4">
      <c r="A430" t="str">
        <f t="shared" si="262"/>
        <v>FC009</v>
      </c>
      <c r="B430" t="str">
        <f t="shared" si="261"/>
        <v>CPAC West</v>
      </c>
      <c r="C430" s="18"/>
      <c r="D430" s="18"/>
      <c r="E430" s="18"/>
      <c r="F430" s="18"/>
      <c r="G430" s="18"/>
      <c r="H430" s="22"/>
      <c r="I430" s="5" t="s">
        <v>19</v>
      </c>
      <c r="J430" s="8">
        <v>18</v>
      </c>
      <c r="K430" s="7">
        <v>90</v>
      </c>
      <c r="L430" s="11"/>
      <c r="M430" s="11"/>
      <c r="N430" s="11"/>
      <c r="O430" s="8">
        <v>20</v>
      </c>
    </row>
    <row r="431" spans="1:15" ht="15" thickBot="1" x14ac:dyDescent="0.4">
      <c r="A431" t="str">
        <f t="shared" si="263"/>
        <v>FC009</v>
      </c>
      <c r="B431" t="str">
        <f t="shared" si="261"/>
        <v>CPAC West</v>
      </c>
      <c r="C431" s="18"/>
      <c r="D431" s="18"/>
      <c r="E431" s="18"/>
      <c r="F431" s="18"/>
      <c r="G431" s="18"/>
      <c r="H431" s="22"/>
      <c r="I431" s="3" t="s">
        <v>20</v>
      </c>
      <c r="J431" s="9">
        <v>28.7</v>
      </c>
      <c r="K431" s="10">
        <v>28.1</v>
      </c>
      <c r="L431" s="11"/>
      <c r="M431" s="11"/>
      <c r="N431" s="11"/>
      <c r="O431" s="10">
        <v>16.5</v>
      </c>
    </row>
    <row r="432" spans="1:15" ht="15" thickBot="1" x14ac:dyDescent="0.4">
      <c r="A432" t="str">
        <f t="shared" si="264"/>
        <v>FC009</v>
      </c>
      <c r="B432" t="str">
        <f t="shared" si="261"/>
        <v>CPAC West</v>
      </c>
      <c r="C432" s="18"/>
      <c r="D432" s="18"/>
      <c r="E432" s="18"/>
      <c r="F432" s="18"/>
      <c r="G432" s="18"/>
      <c r="H432" s="22"/>
      <c r="I432" s="5" t="s">
        <v>21</v>
      </c>
      <c r="J432" s="8">
        <v>0.21</v>
      </c>
      <c r="K432" s="10">
        <v>1.07</v>
      </c>
      <c r="L432" s="11"/>
      <c r="M432" s="11"/>
      <c r="N432" s="11"/>
      <c r="O432" s="8">
        <v>0.41</v>
      </c>
    </row>
    <row r="433" spans="1:15" ht="15" thickBot="1" x14ac:dyDescent="0.4">
      <c r="A433" t="str">
        <f t="shared" si="265"/>
        <v>FC009</v>
      </c>
      <c r="B433" t="str">
        <f t="shared" si="261"/>
        <v>CPAC West</v>
      </c>
      <c r="C433" s="19"/>
      <c r="D433" s="19"/>
      <c r="E433" s="19"/>
      <c r="F433" s="19"/>
      <c r="G433" s="19"/>
      <c r="H433" s="23"/>
      <c r="I433" s="3" t="s">
        <v>22</v>
      </c>
      <c r="J433" s="8" t="s">
        <v>23</v>
      </c>
      <c r="K433" s="10" t="s">
        <v>24</v>
      </c>
      <c r="L433" s="11" t="s">
        <v>31</v>
      </c>
      <c r="M433" s="11" t="s">
        <v>27</v>
      </c>
      <c r="N433" s="11" t="s">
        <v>31</v>
      </c>
      <c r="O433" s="8" t="s">
        <v>23</v>
      </c>
    </row>
    <row r="434" spans="1:15" ht="15" thickBot="1" x14ac:dyDescent="0.4">
      <c r="B434" t="str">
        <f t="shared" si="261"/>
        <v>CPAC West</v>
      </c>
      <c r="C434" s="16"/>
      <c r="D434" s="16"/>
      <c r="E434" s="16"/>
      <c r="F434" s="16"/>
      <c r="G434" s="16" t="s">
        <v>122</v>
      </c>
      <c r="H434" s="20" t="s">
        <v>17</v>
      </c>
      <c r="I434" s="1"/>
      <c r="J434" s="1"/>
      <c r="K434" s="1"/>
      <c r="L434" s="1"/>
      <c r="M434" s="1"/>
      <c r="N434" s="1"/>
      <c r="O434" s="1"/>
    </row>
    <row r="435" spans="1:15" ht="15" thickBot="1" x14ac:dyDescent="0.4">
      <c r="A435" t="str">
        <f t="shared" si="260"/>
        <v>FC137</v>
      </c>
      <c r="B435" t="str">
        <f t="shared" si="261"/>
        <v>CPAC West</v>
      </c>
      <c r="C435" s="18"/>
      <c r="D435" s="18"/>
      <c r="E435" s="18"/>
      <c r="F435" s="18"/>
      <c r="G435" s="18"/>
      <c r="H435" s="22"/>
      <c r="I435" s="3" t="s">
        <v>18</v>
      </c>
      <c r="J435" s="4">
        <v>44</v>
      </c>
      <c r="K435" s="4">
        <v>36</v>
      </c>
      <c r="L435" s="8">
        <v>24</v>
      </c>
      <c r="M435" s="4">
        <v>32</v>
      </c>
      <c r="N435" s="4">
        <v>37</v>
      </c>
      <c r="O435" s="11"/>
    </row>
    <row r="436" spans="1:15" ht="15" thickBot="1" x14ac:dyDescent="0.4">
      <c r="A436" t="str">
        <f t="shared" si="262"/>
        <v>FC137</v>
      </c>
      <c r="B436" t="str">
        <f t="shared" si="261"/>
        <v>CPAC West</v>
      </c>
      <c r="C436" s="18"/>
      <c r="D436" s="18"/>
      <c r="E436" s="18"/>
      <c r="F436" s="18"/>
      <c r="G436" s="18"/>
      <c r="H436" s="22"/>
      <c r="I436" s="5" t="s">
        <v>19</v>
      </c>
      <c r="J436" s="8">
        <v>46</v>
      </c>
      <c r="K436" s="8">
        <v>46</v>
      </c>
      <c r="L436" s="7">
        <v>70</v>
      </c>
      <c r="M436" s="6">
        <v>63</v>
      </c>
      <c r="N436" s="8">
        <v>16</v>
      </c>
      <c r="O436" s="11"/>
    </row>
    <row r="437" spans="1:15" ht="15" thickBot="1" x14ac:dyDescent="0.4">
      <c r="A437" t="str">
        <f t="shared" si="263"/>
        <v>FC137</v>
      </c>
      <c r="B437" t="str">
        <f t="shared" si="261"/>
        <v>CPAC West</v>
      </c>
      <c r="C437" s="18"/>
      <c r="D437" s="18"/>
      <c r="E437" s="18"/>
      <c r="F437" s="18"/>
      <c r="G437" s="18"/>
      <c r="H437" s="22"/>
      <c r="I437" s="3" t="s">
        <v>20</v>
      </c>
      <c r="J437" s="7">
        <v>36.9</v>
      </c>
      <c r="K437" s="10">
        <v>26.5</v>
      </c>
      <c r="L437" s="10">
        <v>18.7</v>
      </c>
      <c r="M437" s="8">
        <v>54.7</v>
      </c>
      <c r="N437" s="7">
        <v>40.1</v>
      </c>
      <c r="O437" s="11"/>
    </row>
    <row r="438" spans="1:15" ht="15" thickBot="1" x14ac:dyDescent="0.4">
      <c r="A438" t="str">
        <f t="shared" si="264"/>
        <v>FC137</v>
      </c>
      <c r="B438" t="str">
        <f t="shared" si="261"/>
        <v>CPAC West</v>
      </c>
      <c r="C438" s="18"/>
      <c r="D438" s="18"/>
      <c r="E438" s="18"/>
      <c r="F438" s="18"/>
      <c r="G438" s="18"/>
      <c r="H438" s="22"/>
      <c r="I438" s="5" t="s">
        <v>21</v>
      </c>
      <c r="J438" s="8">
        <v>0.41</v>
      </c>
      <c r="K438" s="9">
        <v>0.57999999999999996</v>
      </c>
      <c r="L438" s="10">
        <v>1.25</v>
      </c>
      <c r="M438" s="8">
        <v>0.38</v>
      </c>
      <c r="N438" s="8">
        <v>0.13</v>
      </c>
      <c r="O438" s="11"/>
    </row>
    <row r="439" spans="1:15" ht="15" thickBot="1" x14ac:dyDescent="0.4">
      <c r="A439" t="str">
        <f t="shared" si="265"/>
        <v>FC137</v>
      </c>
      <c r="B439" t="str">
        <f t="shared" si="261"/>
        <v>CPAC West</v>
      </c>
      <c r="C439" s="19"/>
      <c r="D439" s="19"/>
      <c r="E439" s="19"/>
      <c r="F439" s="19"/>
      <c r="G439" s="19"/>
      <c r="H439" s="23"/>
      <c r="I439" s="3" t="s">
        <v>22</v>
      </c>
      <c r="J439" s="11"/>
      <c r="K439" s="11"/>
      <c r="L439" s="10" t="s">
        <v>24</v>
      </c>
      <c r="M439" s="11"/>
      <c r="N439" s="11"/>
      <c r="O439" s="11" t="s">
        <v>27</v>
      </c>
    </row>
    <row r="440" spans="1:15" ht="15" thickBot="1" x14ac:dyDescent="0.4">
      <c r="B440" t="str">
        <f t="shared" si="261"/>
        <v>CPAC West</v>
      </c>
      <c r="C440" s="16"/>
      <c r="D440" s="16"/>
      <c r="E440" s="16"/>
      <c r="F440" s="16"/>
      <c r="G440" s="16" t="s">
        <v>123</v>
      </c>
      <c r="H440" s="20" t="s">
        <v>17</v>
      </c>
      <c r="I440" s="1"/>
      <c r="J440" s="1"/>
      <c r="K440" s="1"/>
      <c r="L440" s="1"/>
      <c r="M440" s="1"/>
      <c r="N440" s="1"/>
      <c r="O440" s="1"/>
    </row>
    <row r="441" spans="1:15" ht="15" thickBot="1" x14ac:dyDescent="0.4">
      <c r="A441" t="str">
        <f t="shared" ref="A441:A504" si="266">IF(LEFT(G440,2)="FC",LEFT(G440,5),LEFT(G440,4))</f>
        <v>FC158</v>
      </c>
      <c r="B441" t="str">
        <f t="shared" si="261"/>
        <v>CPAC West</v>
      </c>
      <c r="C441" s="18"/>
      <c r="D441" s="18"/>
      <c r="E441" s="18"/>
      <c r="F441" s="18"/>
      <c r="G441" s="18"/>
      <c r="H441" s="22"/>
      <c r="I441" s="3" t="s">
        <v>18</v>
      </c>
      <c r="J441" s="11"/>
      <c r="K441" s="11"/>
      <c r="L441" s="11"/>
      <c r="M441" s="11"/>
      <c r="N441" s="11"/>
      <c r="O441" s="4">
        <v>31</v>
      </c>
    </row>
    <row r="442" spans="1:15" ht="15" thickBot="1" x14ac:dyDescent="0.4">
      <c r="A442" t="str">
        <f t="shared" si="262"/>
        <v>FC158</v>
      </c>
      <c r="B442" t="str">
        <f t="shared" si="261"/>
        <v>CPAC West</v>
      </c>
      <c r="C442" s="18"/>
      <c r="D442" s="18"/>
      <c r="E442" s="18"/>
      <c r="F442" s="18"/>
      <c r="G442" s="18"/>
      <c r="H442" s="22"/>
      <c r="I442" s="5" t="s">
        <v>19</v>
      </c>
      <c r="J442" s="11"/>
      <c r="K442" s="11"/>
      <c r="L442" s="11"/>
      <c r="M442" s="11"/>
      <c r="N442" s="11"/>
      <c r="O442" s="8">
        <v>25</v>
      </c>
    </row>
    <row r="443" spans="1:15" ht="15" thickBot="1" x14ac:dyDescent="0.4">
      <c r="A443" t="str">
        <f t="shared" si="263"/>
        <v>FC158</v>
      </c>
      <c r="B443" t="str">
        <f t="shared" ref="B443:B451" si="267">$D$314</f>
        <v>CPAC West</v>
      </c>
      <c r="C443" s="18"/>
      <c r="D443" s="18"/>
      <c r="E443" s="18"/>
      <c r="F443" s="18"/>
      <c r="G443" s="18"/>
      <c r="H443" s="22"/>
      <c r="I443" s="3" t="s">
        <v>20</v>
      </c>
      <c r="J443" s="11"/>
      <c r="K443" s="11"/>
      <c r="L443" s="11"/>
      <c r="M443" s="11"/>
      <c r="N443" s="11"/>
      <c r="O443" s="10">
        <v>19.2</v>
      </c>
    </row>
    <row r="444" spans="1:15" ht="15" thickBot="1" x14ac:dyDescent="0.4">
      <c r="A444" t="str">
        <f t="shared" si="264"/>
        <v>FC158</v>
      </c>
      <c r="B444" t="str">
        <f t="shared" si="267"/>
        <v>CPAC West</v>
      </c>
      <c r="C444" s="18"/>
      <c r="D444" s="18"/>
      <c r="E444" s="18"/>
      <c r="F444" s="18"/>
      <c r="G444" s="18"/>
      <c r="H444" s="22"/>
      <c r="I444" s="5" t="s">
        <v>21</v>
      </c>
      <c r="J444" s="11"/>
      <c r="K444" s="11"/>
      <c r="L444" s="11"/>
      <c r="M444" s="11"/>
      <c r="N444" s="11"/>
      <c r="O444" s="8">
        <v>0.44</v>
      </c>
    </row>
    <row r="445" spans="1:15" ht="15" thickBot="1" x14ac:dyDescent="0.4">
      <c r="A445" t="str">
        <f t="shared" si="265"/>
        <v>FC158</v>
      </c>
      <c r="B445" t="str">
        <f t="shared" si="267"/>
        <v>CPAC West</v>
      </c>
      <c r="C445" s="33"/>
      <c r="D445" s="33"/>
      <c r="E445" s="33"/>
      <c r="F445" s="33"/>
      <c r="G445" s="33"/>
      <c r="H445" s="36"/>
      <c r="I445" s="12" t="s">
        <v>22</v>
      </c>
      <c r="J445" s="13" t="s">
        <v>31</v>
      </c>
      <c r="K445" s="13" t="s">
        <v>27</v>
      </c>
      <c r="L445" s="13" t="s">
        <v>27</v>
      </c>
      <c r="M445" s="13" t="s">
        <v>31</v>
      </c>
      <c r="N445" s="13" t="s">
        <v>27</v>
      </c>
      <c r="O445" s="13"/>
    </row>
    <row r="446" spans="1:15" ht="15" thickBot="1" x14ac:dyDescent="0.4">
      <c r="B446" t="str">
        <f>$D$446</f>
        <v>CPAC Metro</v>
      </c>
      <c r="C446" s="17"/>
      <c r="D446" s="17" t="s">
        <v>124</v>
      </c>
      <c r="E446" s="17" t="s">
        <v>125</v>
      </c>
      <c r="F446" s="17" t="s">
        <v>126</v>
      </c>
      <c r="G446" s="17" t="s">
        <v>127</v>
      </c>
      <c r="H446" s="35" t="s">
        <v>30</v>
      </c>
      <c r="I446" s="1"/>
      <c r="J446" s="1"/>
      <c r="K446" s="1"/>
      <c r="L446" s="1"/>
      <c r="M446" s="1"/>
      <c r="N446" s="1"/>
      <c r="O446" s="1"/>
    </row>
    <row r="447" spans="1:15" ht="15" thickBot="1" x14ac:dyDescent="0.4">
      <c r="A447" t="str">
        <f t="shared" si="266"/>
        <v>13JM</v>
      </c>
      <c r="B447" t="str">
        <f t="shared" ref="B447:B510" si="268">$D$446</f>
        <v>CPAC Metro</v>
      </c>
      <c r="C447" s="18"/>
      <c r="D447" s="18"/>
      <c r="E447" s="18"/>
      <c r="F447" s="18"/>
      <c r="G447" s="18"/>
      <c r="H447" s="25"/>
      <c r="I447" s="3" t="s">
        <v>18</v>
      </c>
      <c r="J447" s="11"/>
      <c r="K447" s="11"/>
      <c r="L447" s="11"/>
      <c r="M447" s="11"/>
      <c r="N447" s="11"/>
      <c r="O447" s="11"/>
    </row>
    <row r="448" spans="1:15" ht="15" thickBot="1" x14ac:dyDescent="0.4">
      <c r="A448" t="str">
        <f t="shared" ref="A448:A508" si="269">IF(LEFT(G446,2)="FC",LEFT(G446,5),LEFT(G446,4))</f>
        <v>13JM</v>
      </c>
      <c r="B448" t="str">
        <f t="shared" si="268"/>
        <v>CPAC Metro</v>
      </c>
      <c r="C448" s="18"/>
      <c r="D448" s="18"/>
      <c r="E448" s="18"/>
      <c r="F448" s="18"/>
      <c r="G448" s="18"/>
      <c r="H448" s="25"/>
      <c r="I448" s="5" t="s">
        <v>19</v>
      </c>
      <c r="J448" s="11"/>
      <c r="K448" s="11"/>
      <c r="L448" s="11"/>
      <c r="M448" s="11"/>
      <c r="N448" s="11"/>
      <c r="O448" s="11"/>
    </row>
    <row r="449" spans="1:15" ht="15" thickBot="1" x14ac:dyDescent="0.4">
      <c r="A449" t="str">
        <f t="shared" ref="A449:A509" si="270">IF(LEFT(G446,2)="FC",LEFT(G446,5),LEFT(G446,4))</f>
        <v>13JM</v>
      </c>
      <c r="B449" t="str">
        <f t="shared" si="268"/>
        <v>CPAC Metro</v>
      </c>
      <c r="C449" s="18"/>
      <c r="D449" s="18"/>
      <c r="E449" s="18"/>
      <c r="F449" s="18"/>
      <c r="G449" s="18"/>
      <c r="H449" s="25"/>
      <c r="I449" s="3" t="s">
        <v>20</v>
      </c>
      <c r="J449" s="11"/>
      <c r="K449" s="11"/>
      <c r="L449" s="11"/>
      <c r="M449" s="11"/>
      <c r="N449" s="11"/>
      <c r="O449" s="11"/>
    </row>
    <row r="450" spans="1:15" ht="15" thickBot="1" x14ac:dyDescent="0.4">
      <c r="A450" t="str">
        <f t="shared" ref="A450:A510" si="271">IF(LEFT(G446,2)="FC",LEFT(G446,5),LEFT(G446,4))</f>
        <v>13JM</v>
      </c>
      <c r="B450" t="str">
        <f t="shared" si="268"/>
        <v>CPAC Metro</v>
      </c>
      <c r="C450" s="18"/>
      <c r="D450" s="18"/>
      <c r="E450" s="18"/>
      <c r="F450" s="18"/>
      <c r="G450" s="18"/>
      <c r="H450" s="25"/>
      <c r="I450" s="5" t="s">
        <v>21</v>
      </c>
      <c r="J450" s="11"/>
      <c r="K450" s="11"/>
      <c r="L450" s="11"/>
      <c r="M450" s="11"/>
      <c r="N450" s="11"/>
      <c r="O450" s="11"/>
    </row>
    <row r="451" spans="1:15" ht="15" thickBot="1" x14ac:dyDescent="0.4">
      <c r="A451" t="str">
        <f t="shared" ref="A451:A511" si="272">IF(LEFT(G446,2)="FC",LEFT(G446,5),LEFT(G446,4))</f>
        <v>13JM</v>
      </c>
      <c r="B451" t="str">
        <f t="shared" si="268"/>
        <v>CPAC Metro</v>
      </c>
      <c r="C451" s="19"/>
      <c r="D451" s="19"/>
      <c r="E451" s="19"/>
      <c r="F451" s="19"/>
      <c r="G451" s="19"/>
      <c r="H451" s="26"/>
      <c r="I451" s="3" t="s">
        <v>22</v>
      </c>
      <c r="J451" s="11" t="s">
        <v>46</v>
      </c>
      <c r="K451" s="11" t="s">
        <v>46</v>
      </c>
      <c r="L451" s="11" t="s">
        <v>46</v>
      </c>
      <c r="M451" s="11" t="s">
        <v>46</v>
      </c>
      <c r="N451" s="11" t="s">
        <v>46</v>
      </c>
      <c r="O451" s="11" t="s">
        <v>46</v>
      </c>
    </row>
    <row r="452" spans="1:15" ht="15" thickBot="1" x14ac:dyDescent="0.4">
      <c r="B452" t="str">
        <f t="shared" si="268"/>
        <v>CPAC Metro</v>
      </c>
      <c r="C452" s="16"/>
      <c r="D452" s="16"/>
      <c r="E452" s="16"/>
      <c r="F452" s="16" t="s">
        <v>128</v>
      </c>
      <c r="G452" s="16" t="s">
        <v>129</v>
      </c>
      <c r="H452" s="24" t="s">
        <v>30</v>
      </c>
      <c r="I452" s="1"/>
      <c r="J452" s="1"/>
      <c r="K452" s="1"/>
      <c r="L452" s="1"/>
      <c r="M452" s="1"/>
      <c r="N452" s="1"/>
      <c r="O452" s="1"/>
    </row>
    <row r="453" spans="1:15" ht="15" thickBot="1" x14ac:dyDescent="0.4">
      <c r="A453" t="str">
        <f t="shared" si="266"/>
        <v>13JX</v>
      </c>
      <c r="B453" t="str">
        <f t="shared" si="268"/>
        <v>CPAC Metro</v>
      </c>
      <c r="C453" s="18"/>
      <c r="D453" s="18"/>
      <c r="E453" s="18"/>
      <c r="F453" s="18"/>
      <c r="G453" s="18"/>
      <c r="H453" s="25"/>
      <c r="I453" s="3" t="s">
        <v>18</v>
      </c>
      <c r="J453" s="11"/>
      <c r="K453" s="11"/>
      <c r="L453" s="11"/>
      <c r="M453" s="11"/>
      <c r="N453" s="11"/>
      <c r="O453" s="11"/>
    </row>
    <row r="454" spans="1:15" ht="15" thickBot="1" x14ac:dyDescent="0.4">
      <c r="A454" t="str">
        <f t="shared" si="269"/>
        <v>13JX</v>
      </c>
      <c r="B454" t="str">
        <f t="shared" si="268"/>
        <v>CPAC Metro</v>
      </c>
      <c r="C454" s="18"/>
      <c r="D454" s="18"/>
      <c r="E454" s="18"/>
      <c r="F454" s="18"/>
      <c r="G454" s="18"/>
      <c r="H454" s="25"/>
      <c r="I454" s="5" t="s">
        <v>19</v>
      </c>
      <c r="J454" s="11"/>
      <c r="K454" s="11"/>
      <c r="L454" s="11"/>
      <c r="M454" s="11"/>
      <c r="N454" s="11"/>
      <c r="O454" s="11"/>
    </row>
    <row r="455" spans="1:15" ht="15" thickBot="1" x14ac:dyDescent="0.4">
      <c r="A455" t="str">
        <f t="shared" si="270"/>
        <v>13JX</v>
      </c>
      <c r="B455" t="str">
        <f t="shared" si="268"/>
        <v>CPAC Metro</v>
      </c>
      <c r="C455" s="18"/>
      <c r="D455" s="18"/>
      <c r="E455" s="18"/>
      <c r="F455" s="18"/>
      <c r="G455" s="18"/>
      <c r="H455" s="25"/>
      <c r="I455" s="3" t="s">
        <v>20</v>
      </c>
      <c r="J455" s="11"/>
      <c r="K455" s="11"/>
      <c r="L455" s="11"/>
      <c r="M455" s="11"/>
      <c r="N455" s="11"/>
      <c r="O455" s="11"/>
    </row>
    <row r="456" spans="1:15" ht="15" thickBot="1" x14ac:dyDescent="0.4">
      <c r="A456" t="str">
        <f t="shared" si="271"/>
        <v>13JX</v>
      </c>
      <c r="B456" t="str">
        <f t="shared" si="268"/>
        <v>CPAC Metro</v>
      </c>
      <c r="C456" s="18"/>
      <c r="D456" s="18"/>
      <c r="E456" s="18"/>
      <c r="F456" s="18"/>
      <c r="G456" s="18"/>
      <c r="H456" s="25"/>
      <c r="I456" s="5" t="s">
        <v>21</v>
      </c>
      <c r="J456" s="11"/>
      <c r="K456" s="11"/>
      <c r="L456" s="11"/>
      <c r="M456" s="11"/>
      <c r="N456" s="11"/>
      <c r="O456" s="11"/>
    </row>
    <row r="457" spans="1:15" ht="15" thickBot="1" x14ac:dyDescent="0.4">
      <c r="A457" t="str">
        <f t="shared" si="272"/>
        <v>13JX</v>
      </c>
      <c r="B457" t="str">
        <f t="shared" si="268"/>
        <v>CPAC Metro</v>
      </c>
      <c r="C457" s="19"/>
      <c r="D457" s="19"/>
      <c r="E457" s="19"/>
      <c r="F457" s="19"/>
      <c r="G457" s="19"/>
      <c r="H457" s="26"/>
      <c r="I457" s="3" t="s">
        <v>22</v>
      </c>
      <c r="J457" s="11" t="s">
        <v>46</v>
      </c>
      <c r="K457" s="11" t="s">
        <v>46</v>
      </c>
      <c r="L457" s="11" t="s">
        <v>46</v>
      </c>
      <c r="M457" s="11" t="s">
        <v>46</v>
      </c>
      <c r="N457" s="11" t="s">
        <v>46</v>
      </c>
      <c r="O457" s="11" t="s">
        <v>46</v>
      </c>
    </row>
    <row r="458" spans="1:15" ht="15" thickBot="1" x14ac:dyDescent="0.4">
      <c r="B458" t="str">
        <f t="shared" si="268"/>
        <v>CPAC Metro</v>
      </c>
      <c r="C458" s="16"/>
      <c r="D458" s="16"/>
      <c r="E458" s="16"/>
      <c r="F458" s="16" t="s">
        <v>130</v>
      </c>
      <c r="G458" s="16" t="s">
        <v>131</v>
      </c>
      <c r="H458" s="24" t="s">
        <v>30</v>
      </c>
      <c r="I458" s="1"/>
      <c r="J458" s="1"/>
      <c r="K458" s="1"/>
      <c r="L458" s="1"/>
      <c r="M458" s="1"/>
      <c r="N458" s="1"/>
      <c r="O458" s="1"/>
    </row>
    <row r="459" spans="1:15" ht="15" thickBot="1" x14ac:dyDescent="0.4">
      <c r="A459" t="str">
        <f t="shared" si="266"/>
        <v>FC900</v>
      </c>
      <c r="B459" t="str">
        <f t="shared" si="268"/>
        <v>CPAC Metro</v>
      </c>
      <c r="C459" s="18"/>
      <c r="D459" s="18"/>
      <c r="E459" s="18"/>
      <c r="F459" s="18"/>
      <c r="G459" s="18"/>
      <c r="H459" s="25"/>
      <c r="I459" s="3" t="s">
        <v>18</v>
      </c>
      <c r="J459" s="11"/>
      <c r="K459" s="11"/>
      <c r="L459" s="11"/>
      <c r="M459" s="11"/>
      <c r="N459" s="11"/>
      <c r="O459" s="11"/>
    </row>
    <row r="460" spans="1:15" ht="15" thickBot="1" x14ac:dyDescent="0.4">
      <c r="A460" t="str">
        <f t="shared" si="269"/>
        <v>FC900</v>
      </c>
      <c r="B460" t="str">
        <f t="shared" si="268"/>
        <v>CPAC Metro</v>
      </c>
      <c r="C460" s="18"/>
      <c r="D460" s="18"/>
      <c r="E460" s="18"/>
      <c r="F460" s="18"/>
      <c r="G460" s="18"/>
      <c r="H460" s="25"/>
      <c r="I460" s="5" t="s">
        <v>19</v>
      </c>
      <c r="J460" s="11"/>
      <c r="K460" s="11"/>
      <c r="L460" s="11"/>
      <c r="M460" s="11"/>
      <c r="N460" s="11"/>
      <c r="O460" s="11"/>
    </row>
    <row r="461" spans="1:15" ht="15" thickBot="1" x14ac:dyDescent="0.4">
      <c r="A461" t="str">
        <f t="shared" si="270"/>
        <v>FC900</v>
      </c>
      <c r="B461" t="str">
        <f t="shared" si="268"/>
        <v>CPAC Metro</v>
      </c>
      <c r="C461" s="18"/>
      <c r="D461" s="18"/>
      <c r="E461" s="18"/>
      <c r="F461" s="18"/>
      <c r="G461" s="18"/>
      <c r="H461" s="25"/>
      <c r="I461" s="3" t="s">
        <v>20</v>
      </c>
      <c r="J461" s="11"/>
      <c r="K461" s="11"/>
      <c r="L461" s="11"/>
      <c r="M461" s="11"/>
      <c r="N461" s="11"/>
      <c r="O461" s="11"/>
    </row>
    <row r="462" spans="1:15" ht="15" thickBot="1" x14ac:dyDescent="0.4">
      <c r="A462" t="str">
        <f t="shared" si="271"/>
        <v>FC900</v>
      </c>
      <c r="B462" t="str">
        <f t="shared" si="268"/>
        <v>CPAC Metro</v>
      </c>
      <c r="C462" s="18"/>
      <c r="D462" s="18"/>
      <c r="E462" s="18"/>
      <c r="F462" s="18"/>
      <c r="G462" s="18"/>
      <c r="H462" s="25"/>
      <c r="I462" s="5" t="s">
        <v>21</v>
      </c>
      <c r="J462" s="11"/>
      <c r="K462" s="11"/>
      <c r="L462" s="11"/>
      <c r="M462" s="11"/>
      <c r="N462" s="11"/>
      <c r="O462" s="11"/>
    </row>
    <row r="463" spans="1:15" ht="15" thickBot="1" x14ac:dyDescent="0.4">
      <c r="A463" t="str">
        <f t="shared" si="272"/>
        <v>FC900</v>
      </c>
      <c r="B463" t="str">
        <f t="shared" si="268"/>
        <v>CPAC Metro</v>
      </c>
      <c r="C463" s="19"/>
      <c r="D463" s="19"/>
      <c r="E463" s="19"/>
      <c r="F463" s="19"/>
      <c r="G463" s="19"/>
      <c r="H463" s="26"/>
      <c r="I463" s="3" t="s">
        <v>22</v>
      </c>
      <c r="J463" s="11" t="s">
        <v>46</v>
      </c>
      <c r="K463" s="11" t="s">
        <v>46</v>
      </c>
      <c r="L463" s="11" t="s">
        <v>46</v>
      </c>
      <c r="M463" s="11" t="s">
        <v>46</v>
      </c>
      <c r="N463" s="11" t="s">
        <v>46</v>
      </c>
      <c r="O463" s="11" t="s">
        <v>46</v>
      </c>
    </row>
    <row r="464" spans="1:15" ht="15" thickBot="1" x14ac:dyDescent="0.4">
      <c r="B464" t="str">
        <f t="shared" si="268"/>
        <v>CPAC Metro</v>
      </c>
      <c r="C464" s="16"/>
      <c r="D464" s="16"/>
      <c r="E464" s="16" t="s">
        <v>132</v>
      </c>
      <c r="F464" s="16" t="s">
        <v>133</v>
      </c>
      <c r="G464" s="16" t="s">
        <v>134</v>
      </c>
      <c r="H464" s="20" t="s">
        <v>17</v>
      </c>
      <c r="I464" s="1"/>
      <c r="J464" s="1"/>
      <c r="K464" s="1"/>
      <c r="L464" s="1"/>
      <c r="M464" s="1"/>
      <c r="N464" s="1"/>
      <c r="O464" s="1"/>
    </row>
    <row r="465" spans="1:15" ht="15" thickBot="1" x14ac:dyDescent="0.4">
      <c r="A465" t="str">
        <f t="shared" si="266"/>
        <v>31EF</v>
      </c>
      <c r="B465" t="str">
        <f t="shared" si="268"/>
        <v>CPAC Metro</v>
      </c>
      <c r="C465" s="18"/>
      <c r="D465" s="18"/>
      <c r="E465" s="18"/>
      <c r="F465" s="18"/>
      <c r="G465" s="18"/>
      <c r="H465" s="22"/>
      <c r="I465" s="3" t="s">
        <v>18</v>
      </c>
      <c r="J465" s="11"/>
      <c r="K465" s="11"/>
      <c r="L465" s="11"/>
      <c r="M465" s="11"/>
      <c r="N465" s="8">
        <v>15</v>
      </c>
      <c r="O465" s="8">
        <v>16</v>
      </c>
    </row>
    <row r="466" spans="1:15" ht="15" thickBot="1" x14ac:dyDescent="0.4">
      <c r="A466" t="str">
        <f t="shared" si="269"/>
        <v>31EF</v>
      </c>
      <c r="B466" t="str">
        <f t="shared" si="268"/>
        <v>CPAC Metro</v>
      </c>
      <c r="C466" s="18"/>
      <c r="D466" s="18"/>
      <c r="E466" s="18"/>
      <c r="F466" s="18"/>
      <c r="G466" s="18"/>
      <c r="H466" s="22"/>
      <c r="I466" s="5" t="s">
        <v>19</v>
      </c>
      <c r="J466" s="11"/>
      <c r="K466" s="11"/>
      <c r="L466" s="11"/>
      <c r="M466" s="11"/>
      <c r="N466" s="6">
        <v>51</v>
      </c>
      <c r="O466" s="6">
        <v>67</v>
      </c>
    </row>
    <row r="467" spans="1:15" ht="15" thickBot="1" x14ac:dyDescent="0.4">
      <c r="A467" t="str">
        <f t="shared" si="270"/>
        <v>31EF</v>
      </c>
      <c r="B467" t="str">
        <f t="shared" si="268"/>
        <v>CPAC Metro</v>
      </c>
      <c r="C467" s="18"/>
      <c r="D467" s="18"/>
      <c r="E467" s="18"/>
      <c r="F467" s="18"/>
      <c r="G467" s="18"/>
      <c r="H467" s="22"/>
      <c r="I467" s="3" t="s">
        <v>20</v>
      </c>
      <c r="J467" s="11"/>
      <c r="K467" s="11"/>
      <c r="L467" s="11"/>
      <c r="M467" s="11"/>
      <c r="N467" s="10">
        <v>20.7</v>
      </c>
      <c r="O467" s="10">
        <v>24.3</v>
      </c>
    </row>
    <row r="468" spans="1:15" ht="15" thickBot="1" x14ac:dyDescent="0.4">
      <c r="A468" t="str">
        <f t="shared" si="271"/>
        <v>31EF</v>
      </c>
      <c r="B468" t="str">
        <f t="shared" si="268"/>
        <v>CPAC Metro</v>
      </c>
      <c r="C468" s="18"/>
      <c r="D468" s="18"/>
      <c r="E468" s="18"/>
      <c r="F468" s="18"/>
      <c r="G468" s="18"/>
      <c r="H468" s="22"/>
      <c r="I468" s="5" t="s">
        <v>21</v>
      </c>
      <c r="J468" s="11"/>
      <c r="K468" s="11"/>
      <c r="L468" s="11"/>
      <c r="M468" s="11"/>
      <c r="N468" s="10">
        <v>0.83</v>
      </c>
      <c r="O468" s="10">
        <v>0.92</v>
      </c>
    </row>
    <row r="469" spans="1:15" ht="15" thickBot="1" x14ac:dyDescent="0.4">
      <c r="A469" t="str">
        <f t="shared" si="272"/>
        <v>31EF</v>
      </c>
      <c r="B469" t="str">
        <f t="shared" si="268"/>
        <v>CPAC Metro</v>
      </c>
      <c r="C469" s="19"/>
      <c r="D469" s="19"/>
      <c r="E469" s="19"/>
      <c r="F469" s="19"/>
      <c r="G469" s="19"/>
      <c r="H469" s="23"/>
      <c r="I469" s="3" t="s">
        <v>22</v>
      </c>
      <c r="J469" s="11" t="s">
        <v>27</v>
      </c>
      <c r="K469" s="11" t="s">
        <v>27</v>
      </c>
      <c r="L469" s="11" t="s">
        <v>27</v>
      </c>
      <c r="M469" s="11" t="s">
        <v>27</v>
      </c>
      <c r="N469" s="9" t="s">
        <v>25</v>
      </c>
      <c r="O469" s="10" t="s">
        <v>24</v>
      </c>
    </row>
    <row r="470" spans="1:15" ht="15" thickBot="1" x14ac:dyDescent="0.4">
      <c r="B470" t="str">
        <f t="shared" si="268"/>
        <v>CPAC Metro</v>
      </c>
      <c r="C470" s="16"/>
      <c r="D470" s="16"/>
      <c r="E470" s="16"/>
      <c r="F470" s="16" t="s">
        <v>135</v>
      </c>
      <c r="G470" s="16" t="s">
        <v>136</v>
      </c>
      <c r="H470" s="27" t="s">
        <v>34</v>
      </c>
      <c r="I470" s="1"/>
      <c r="J470" s="1"/>
      <c r="K470" s="1"/>
      <c r="L470" s="1"/>
      <c r="M470" s="1"/>
      <c r="N470" s="1"/>
      <c r="O470" s="1"/>
    </row>
    <row r="471" spans="1:15" ht="15" thickBot="1" x14ac:dyDescent="0.4">
      <c r="A471" t="str">
        <f t="shared" si="266"/>
        <v>FC139</v>
      </c>
      <c r="B471" t="str">
        <f t="shared" si="268"/>
        <v>CPAC Metro</v>
      </c>
      <c r="C471" s="18"/>
      <c r="D471" s="18"/>
      <c r="E471" s="18"/>
      <c r="F471" s="18"/>
      <c r="G471" s="18"/>
      <c r="H471" s="28"/>
      <c r="I471" s="3" t="s">
        <v>18</v>
      </c>
      <c r="J471" s="4">
        <v>54</v>
      </c>
      <c r="K471" s="4">
        <v>59</v>
      </c>
      <c r="L471" s="4">
        <v>57</v>
      </c>
      <c r="M471" s="4">
        <v>60</v>
      </c>
      <c r="N471" s="4">
        <v>57</v>
      </c>
      <c r="O471" s="4">
        <v>59</v>
      </c>
    </row>
    <row r="472" spans="1:15" ht="15" thickBot="1" x14ac:dyDescent="0.4">
      <c r="A472" t="str">
        <f t="shared" si="269"/>
        <v>FC139</v>
      </c>
      <c r="B472" t="str">
        <f t="shared" si="268"/>
        <v>CPAC Metro</v>
      </c>
      <c r="C472" s="18"/>
      <c r="D472" s="18"/>
      <c r="E472" s="18"/>
      <c r="F472" s="18"/>
      <c r="G472" s="18"/>
      <c r="H472" s="28"/>
      <c r="I472" s="5" t="s">
        <v>19</v>
      </c>
      <c r="J472" s="6">
        <v>67</v>
      </c>
      <c r="K472" s="6">
        <v>59</v>
      </c>
      <c r="L472" s="6">
        <v>65</v>
      </c>
      <c r="M472" s="6">
        <v>64</v>
      </c>
      <c r="N472" s="6">
        <v>64</v>
      </c>
      <c r="O472" s="7">
        <v>71</v>
      </c>
    </row>
    <row r="473" spans="1:15" ht="15" thickBot="1" x14ac:dyDescent="0.4">
      <c r="A473" t="str">
        <f t="shared" si="270"/>
        <v>FC139</v>
      </c>
      <c r="B473" t="str">
        <f t="shared" si="268"/>
        <v>CPAC Metro</v>
      </c>
      <c r="C473" s="18"/>
      <c r="D473" s="18"/>
      <c r="E473" s="18"/>
      <c r="F473" s="18"/>
      <c r="G473" s="18"/>
      <c r="H473" s="28"/>
      <c r="I473" s="3" t="s">
        <v>20</v>
      </c>
      <c r="J473" s="10">
        <v>3.1</v>
      </c>
      <c r="K473" s="10">
        <v>22.1</v>
      </c>
      <c r="L473" s="10">
        <v>2.2000000000000002</v>
      </c>
      <c r="M473" s="10">
        <v>2.6</v>
      </c>
      <c r="N473" s="10">
        <v>5.8</v>
      </c>
      <c r="O473" s="9">
        <v>34.5</v>
      </c>
    </row>
    <row r="474" spans="1:15" ht="15" thickBot="1" x14ac:dyDescent="0.4">
      <c r="A474" t="str">
        <f t="shared" si="271"/>
        <v>FC139</v>
      </c>
      <c r="B474" t="str">
        <f t="shared" si="268"/>
        <v>CPAC Metro</v>
      </c>
      <c r="C474" s="18"/>
      <c r="D474" s="18"/>
      <c r="E474" s="18"/>
      <c r="F474" s="18"/>
      <c r="G474" s="18"/>
      <c r="H474" s="28"/>
      <c r="I474" s="5" t="s">
        <v>21</v>
      </c>
      <c r="J474" s="10">
        <v>7.34</v>
      </c>
      <c r="K474" s="10">
        <v>0.89</v>
      </c>
      <c r="L474" s="10">
        <v>9.9700000000000006</v>
      </c>
      <c r="M474" s="10">
        <v>8.2200000000000006</v>
      </c>
      <c r="N474" s="10">
        <v>3.71</v>
      </c>
      <c r="O474" s="9">
        <v>0.69</v>
      </c>
    </row>
    <row r="475" spans="1:15" ht="15" thickBot="1" x14ac:dyDescent="0.4">
      <c r="A475" t="str">
        <f t="shared" si="272"/>
        <v>FC139</v>
      </c>
      <c r="B475" t="str">
        <f t="shared" si="268"/>
        <v>CPAC Metro</v>
      </c>
      <c r="C475" s="19"/>
      <c r="D475" s="19"/>
      <c r="E475" s="19"/>
      <c r="F475" s="19"/>
      <c r="G475" s="19"/>
      <c r="H475" s="29"/>
      <c r="I475" s="3" t="s">
        <v>22</v>
      </c>
      <c r="J475" s="10" t="s">
        <v>24</v>
      </c>
      <c r="K475" s="10" t="s">
        <v>24</v>
      </c>
      <c r="L475" s="10" t="s">
        <v>24</v>
      </c>
      <c r="M475" s="10" t="s">
        <v>24</v>
      </c>
      <c r="N475" s="10" t="s">
        <v>24</v>
      </c>
      <c r="O475" s="9" t="s">
        <v>25</v>
      </c>
    </row>
    <row r="476" spans="1:15" ht="15" thickBot="1" x14ac:dyDescent="0.4">
      <c r="B476" t="str">
        <f t="shared" si="268"/>
        <v>CPAC Metro</v>
      </c>
      <c r="C476" s="16"/>
      <c r="D476" s="16"/>
      <c r="E476" s="16"/>
      <c r="F476" s="16" t="s">
        <v>137</v>
      </c>
      <c r="G476" s="16" t="s">
        <v>138</v>
      </c>
      <c r="H476" s="24" t="s">
        <v>30</v>
      </c>
      <c r="I476" s="1"/>
      <c r="J476" s="1"/>
      <c r="K476" s="1"/>
      <c r="L476" s="1"/>
      <c r="M476" s="1"/>
      <c r="N476" s="1"/>
      <c r="O476" s="1"/>
    </row>
    <row r="477" spans="1:15" ht="15" thickBot="1" x14ac:dyDescent="0.4">
      <c r="A477" t="str">
        <f t="shared" si="266"/>
        <v>13JQ</v>
      </c>
      <c r="B477" t="str">
        <f t="shared" si="268"/>
        <v>CPAC Metro</v>
      </c>
      <c r="C477" s="18"/>
      <c r="D477" s="18"/>
      <c r="E477" s="18"/>
      <c r="F477" s="18"/>
      <c r="G477" s="18"/>
      <c r="H477" s="25"/>
      <c r="I477" s="3" t="s">
        <v>18</v>
      </c>
      <c r="J477" s="11"/>
      <c r="K477" s="11"/>
      <c r="L477" s="11"/>
      <c r="M477" s="11"/>
      <c r="N477" s="11"/>
      <c r="O477" s="11"/>
    </row>
    <row r="478" spans="1:15" ht="15" thickBot="1" x14ac:dyDescent="0.4">
      <c r="A478" t="str">
        <f t="shared" si="269"/>
        <v>13JQ</v>
      </c>
      <c r="B478" t="str">
        <f t="shared" si="268"/>
        <v>CPAC Metro</v>
      </c>
      <c r="C478" s="18"/>
      <c r="D478" s="18"/>
      <c r="E478" s="18"/>
      <c r="F478" s="18"/>
      <c r="G478" s="18"/>
      <c r="H478" s="25"/>
      <c r="I478" s="5" t="s">
        <v>19</v>
      </c>
      <c r="J478" s="11"/>
      <c r="K478" s="11"/>
      <c r="L478" s="11"/>
      <c r="M478" s="11"/>
      <c r="N478" s="11"/>
      <c r="O478" s="11"/>
    </row>
    <row r="479" spans="1:15" ht="15" thickBot="1" x14ac:dyDescent="0.4">
      <c r="A479" t="str">
        <f t="shared" si="270"/>
        <v>13JQ</v>
      </c>
      <c r="B479" t="str">
        <f t="shared" si="268"/>
        <v>CPAC Metro</v>
      </c>
      <c r="C479" s="18"/>
      <c r="D479" s="18"/>
      <c r="E479" s="18"/>
      <c r="F479" s="18"/>
      <c r="G479" s="18"/>
      <c r="H479" s="25"/>
      <c r="I479" s="3" t="s">
        <v>20</v>
      </c>
      <c r="J479" s="11"/>
      <c r="K479" s="11"/>
      <c r="L479" s="11"/>
      <c r="M479" s="11"/>
      <c r="N479" s="11"/>
      <c r="O479" s="11"/>
    </row>
    <row r="480" spans="1:15" ht="15" thickBot="1" x14ac:dyDescent="0.4">
      <c r="A480" t="str">
        <f t="shared" si="271"/>
        <v>13JQ</v>
      </c>
      <c r="B480" t="str">
        <f t="shared" si="268"/>
        <v>CPAC Metro</v>
      </c>
      <c r="C480" s="18"/>
      <c r="D480" s="18"/>
      <c r="E480" s="18"/>
      <c r="F480" s="18"/>
      <c r="G480" s="18"/>
      <c r="H480" s="25"/>
      <c r="I480" s="5" t="s">
        <v>21</v>
      </c>
      <c r="J480" s="11"/>
      <c r="K480" s="11"/>
      <c r="L480" s="11"/>
      <c r="M480" s="11"/>
      <c r="N480" s="11"/>
      <c r="O480" s="11"/>
    </row>
    <row r="481" spans="1:15" ht="15" thickBot="1" x14ac:dyDescent="0.4">
      <c r="A481" t="str">
        <f t="shared" si="272"/>
        <v>13JQ</v>
      </c>
      <c r="B481" t="str">
        <f t="shared" si="268"/>
        <v>CPAC Metro</v>
      </c>
      <c r="C481" s="19"/>
      <c r="D481" s="19"/>
      <c r="E481" s="19"/>
      <c r="F481" s="19"/>
      <c r="G481" s="19"/>
      <c r="H481" s="26"/>
      <c r="I481" s="3" t="s">
        <v>22</v>
      </c>
      <c r="J481" s="11" t="s">
        <v>46</v>
      </c>
      <c r="K481" s="11" t="s">
        <v>46</v>
      </c>
      <c r="L481" s="11" t="s">
        <v>45</v>
      </c>
      <c r="M481" s="11" t="s">
        <v>45</v>
      </c>
      <c r="N481" s="11" t="s">
        <v>45</v>
      </c>
      <c r="O481" s="11" t="s">
        <v>46</v>
      </c>
    </row>
    <row r="482" spans="1:15" ht="15" thickBot="1" x14ac:dyDescent="0.4">
      <c r="B482" t="str">
        <f t="shared" si="268"/>
        <v>CPAC Metro</v>
      </c>
      <c r="C482" s="16"/>
      <c r="D482" s="16"/>
      <c r="E482" s="16"/>
      <c r="F482" s="16"/>
      <c r="G482" s="16" t="s">
        <v>139</v>
      </c>
      <c r="H482" s="24" t="s">
        <v>30</v>
      </c>
      <c r="I482" s="1"/>
      <c r="J482" s="1"/>
      <c r="K482" s="1"/>
      <c r="L482" s="1"/>
      <c r="M482" s="1"/>
      <c r="N482" s="1"/>
      <c r="O482" s="1"/>
    </row>
    <row r="483" spans="1:15" ht="15" thickBot="1" x14ac:dyDescent="0.4">
      <c r="A483" t="str">
        <f t="shared" si="266"/>
        <v>13JO</v>
      </c>
      <c r="B483" t="str">
        <f t="shared" si="268"/>
        <v>CPAC Metro</v>
      </c>
      <c r="C483" s="18"/>
      <c r="D483" s="18"/>
      <c r="E483" s="18"/>
      <c r="F483" s="18"/>
      <c r="G483" s="18"/>
      <c r="H483" s="25"/>
      <c r="I483" s="3" t="s">
        <v>18</v>
      </c>
      <c r="J483" s="11"/>
      <c r="K483" s="11"/>
      <c r="L483" s="11"/>
      <c r="M483" s="11"/>
      <c r="N483" s="11"/>
      <c r="O483" s="11"/>
    </row>
    <row r="484" spans="1:15" ht="15" thickBot="1" x14ac:dyDescent="0.4">
      <c r="A484" t="str">
        <f t="shared" si="269"/>
        <v>13JO</v>
      </c>
      <c r="B484" t="str">
        <f t="shared" si="268"/>
        <v>CPAC Metro</v>
      </c>
      <c r="C484" s="18"/>
      <c r="D484" s="18"/>
      <c r="E484" s="18"/>
      <c r="F484" s="18"/>
      <c r="G484" s="18"/>
      <c r="H484" s="25"/>
      <c r="I484" s="5" t="s">
        <v>19</v>
      </c>
      <c r="J484" s="11"/>
      <c r="K484" s="11"/>
      <c r="L484" s="11"/>
      <c r="M484" s="11"/>
      <c r="N484" s="11"/>
      <c r="O484" s="11"/>
    </row>
    <row r="485" spans="1:15" ht="15" thickBot="1" x14ac:dyDescent="0.4">
      <c r="A485" t="str">
        <f t="shared" si="270"/>
        <v>13JO</v>
      </c>
      <c r="B485" t="str">
        <f t="shared" si="268"/>
        <v>CPAC Metro</v>
      </c>
      <c r="C485" s="18"/>
      <c r="D485" s="18"/>
      <c r="E485" s="18"/>
      <c r="F485" s="18"/>
      <c r="G485" s="18"/>
      <c r="H485" s="25"/>
      <c r="I485" s="3" t="s">
        <v>20</v>
      </c>
      <c r="J485" s="11"/>
      <c r="K485" s="11"/>
      <c r="L485" s="11"/>
      <c r="M485" s="11"/>
      <c r="N485" s="11"/>
      <c r="O485" s="11"/>
    </row>
    <row r="486" spans="1:15" ht="15" thickBot="1" x14ac:dyDescent="0.4">
      <c r="A486" t="str">
        <f t="shared" si="271"/>
        <v>13JO</v>
      </c>
      <c r="B486" t="str">
        <f t="shared" si="268"/>
        <v>CPAC Metro</v>
      </c>
      <c r="C486" s="18"/>
      <c r="D486" s="18"/>
      <c r="E486" s="18"/>
      <c r="F486" s="18"/>
      <c r="G486" s="18"/>
      <c r="H486" s="25"/>
      <c r="I486" s="5" t="s">
        <v>21</v>
      </c>
      <c r="J486" s="11"/>
      <c r="K486" s="11"/>
      <c r="L486" s="11"/>
      <c r="M486" s="11"/>
      <c r="N486" s="11"/>
      <c r="O486" s="11"/>
    </row>
    <row r="487" spans="1:15" ht="15" thickBot="1" x14ac:dyDescent="0.4">
      <c r="A487" t="str">
        <f t="shared" si="272"/>
        <v>13JO</v>
      </c>
      <c r="B487" t="str">
        <f t="shared" si="268"/>
        <v>CPAC Metro</v>
      </c>
      <c r="C487" s="19"/>
      <c r="D487" s="19"/>
      <c r="E487" s="19"/>
      <c r="F487" s="19"/>
      <c r="G487" s="19"/>
      <c r="H487" s="26"/>
      <c r="I487" s="3" t="s">
        <v>22</v>
      </c>
      <c r="J487" s="11" t="s">
        <v>46</v>
      </c>
      <c r="K487" s="11" t="s">
        <v>46</v>
      </c>
      <c r="L487" s="11" t="s">
        <v>46</v>
      </c>
      <c r="M487" s="11" t="s">
        <v>46</v>
      </c>
      <c r="N487" s="11" t="s">
        <v>46</v>
      </c>
      <c r="O487" s="11" t="s">
        <v>46</v>
      </c>
    </row>
    <row r="488" spans="1:15" ht="15" thickBot="1" x14ac:dyDescent="0.4">
      <c r="B488" t="str">
        <f t="shared" si="268"/>
        <v>CPAC Metro</v>
      </c>
      <c r="C488" s="16"/>
      <c r="D488" s="16"/>
      <c r="E488" s="16" t="s">
        <v>140</v>
      </c>
      <c r="F488" s="16" t="s">
        <v>141</v>
      </c>
      <c r="G488" s="16" t="s">
        <v>142</v>
      </c>
      <c r="H488" s="24" t="s">
        <v>30</v>
      </c>
      <c r="I488" s="1"/>
      <c r="J488" s="1"/>
      <c r="K488" s="1"/>
      <c r="L488" s="1"/>
      <c r="M488" s="1"/>
      <c r="N488" s="1"/>
      <c r="O488" s="1"/>
    </row>
    <row r="489" spans="1:15" ht="15" thickBot="1" x14ac:dyDescent="0.4">
      <c r="A489" t="str">
        <f t="shared" si="266"/>
        <v>13JF</v>
      </c>
      <c r="B489" t="str">
        <f t="shared" si="268"/>
        <v>CPAC Metro</v>
      </c>
      <c r="C489" s="18"/>
      <c r="D489" s="18"/>
      <c r="E489" s="18"/>
      <c r="F489" s="18"/>
      <c r="G489" s="18"/>
      <c r="H489" s="25"/>
      <c r="I489" s="3" t="s">
        <v>18</v>
      </c>
      <c r="J489" s="11"/>
      <c r="K489" s="11"/>
      <c r="L489" s="11"/>
      <c r="M489" s="11"/>
      <c r="N489" s="11"/>
      <c r="O489" s="11"/>
    </row>
    <row r="490" spans="1:15" ht="15" thickBot="1" x14ac:dyDescent="0.4">
      <c r="A490" t="str">
        <f t="shared" si="269"/>
        <v>13JF</v>
      </c>
      <c r="B490" t="str">
        <f t="shared" si="268"/>
        <v>CPAC Metro</v>
      </c>
      <c r="C490" s="18"/>
      <c r="D490" s="18"/>
      <c r="E490" s="18"/>
      <c r="F490" s="18"/>
      <c r="G490" s="18"/>
      <c r="H490" s="25"/>
      <c r="I490" s="5" t="s">
        <v>19</v>
      </c>
      <c r="J490" s="11"/>
      <c r="K490" s="11"/>
      <c r="L490" s="11"/>
      <c r="M490" s="11"/>
      <c r="N490" s="11"/>
      <c r="O490" s="11"/>
    </row>
    <row r="491" spans="1:15" ht="15" thickBot="1" x14ac:dyDescent="0.4">
      <c r="A491" t="str">
        <f t="shared" si="270"/>
        <v>13JF</v>
      </c>
      <c r="B491" t="str">
        <f t="shared" si="268"/>
        <v>CPAC Metro</v>
      </c>
      <c r="C491" s="18"/>
      <c r="D491" s="18"/>
      <c r="E491" s="18"/>
      <c r="F491" s="18"/>
      <c r="G491" s="18"/>
      <c r="H491" s="25"/>
      <c r="I491" s="3" t="s">
        <v>20</v>
      </c>
      <c r="J491" s="11"/>
      <c r="K491" s="11"/>
      <c r="L491" s="11"/>
      <c r="M491" s="11"/>
      <c r="N491" s="11"/>
      <c r="O491" s="11"/>
    </row>
    <row r="492" spans="1:15" ht="15" thickBot="1" x14ac:dyDescent="0.4">
      <c r="A492" t="str">
        <f t="shared" si="271"/>
        <v>13JF</v>
      </c>
      <c r="B492" t="str">
        <f t="shared" si="268"/>
        <v>CPAC Metro</v>
      </c>
      <c r="C492" s="18"/>
      <c r="D492" s="18"/>
      <c r="E492" s="18"/>
      <c r="F492" s="18"/>
      <c r="G492" s="18"/>
      <c r="H492" s="25"/>
      <c r="I492" s="5" t="s">
        <v>21</v>
      </c>
      <c r="J492" s="11"/>
      <c r="K492" s="11"/>
      <c r="L492" s="11"/>
      <c r="M492" s="11"/>
      <c r="N492" s="11"/>
      <c r="O492" s="11"/>
    </row>
    <row r="493" spans="1:15" ht="15" thickBot="1" x14ac:dyDescent="0.4">
      <c r="A493" t="str">
        <f t="shared" si="272"/>
        <v>13JF</v>
      </c>
      <c r="B493" t="str">
        <f t="shared" si="268"/>
        <v>CPAC Metro</v>
      </c>
      <c r="C493" s="19"/>
      <c r="D493" s="19"/>
      <c r="E493" s="19"/>
      <c r="F493" s="19"/>
      <c r="G493" s="19"/>
      <c r="H493" s="26"/>
      <c r="I493" s="3" t="s">
        <v>22</v>
      </c>
      <c r="J493" s="11" t="s">
        <v>46</v>
      </c>
      <c r="K493" s="11" t="s">
        <v>46</v>
      </c>
      <c r="L493" s="11" t="s">
        <v>46</v>
      </c>
      <c r="M493" s="11" t="s">
        <v>46</v>
      </c>
      <c r="N493" s="11" t="s">
        <v>46</v>
      </c>
      <c r="O493" s="11" t="s">
        <v>46</v>
      </c>
    </row>
    <row r="494" spans="1:15" ht="15" thickBot="1" x14ac:dyDescent="0.4">
      <c r="B494" t="str">
        <f t="shared" si="268"/>
        <v>CPAC Metro</v>
      </c>
      <c r="C494" s="16"/>
      <c r="D494" s="16"/>
      <c r="E494" s="16"/>
      <c r="F494" s="16"/>
      <c r="G494" s="16" t="s">
        <v>143</v>
      </c>
      <c r="H494" s="24" t="s">
        <v>30</v>
      </c>
      <c r="I494" s="1"/>
      <c r="J494" s="1"/>
      <c r="K494" s="1"/>
      <c r="L494" s="1"/>
      <c r="M494" s="1"/>
      <c r="N494" s="1"/>
      <c r="O494" s="1"/>
    </row>
    <row r="495" spans="1:15" ht="15" thickBot="1" x14ac:dyDescent="0.4">
      <c r="A495" t="str">
        <f t="shared" si="266"/>
        <v>13IB</v>
      </c>
      <c r="B495" t="str">
        <f t="shared" si="268"/>
        <v>CPAC Metro</v>
      </c>
      <c r="C495" s="18"/>
      <c r="D495" s="18"/>
      <c r="E495" s="18"/>
      <c r="F495" s="18"/>
      <c r="G495" s="18"/>
      <c r="H495" s="25"/>
      <c r="I495" s="3" t="s">
        <v>18</v>
      </c>
      <c r="J495" s="11"/>
      <c r="K495" s="11"/>
      <c r="L495" s="11"/>
      <c r="M495" s="11"/>
      <c r="N495" s="11"/>
      <c r="O495" s="11"/>
    </row>
    <row r="496" spans="1:15" ht="15" thickBot="1" x14ac:dyDescent="0.4">
      <c r="A496" t="str">
        <f t="shared" si="269"/>
        <v>13IB</v>
      </c>
      <c r="B496" t="str">
        <f t="shared" si="268"/>
        <v>CPAC Metro</v>
      </c>
      <c r="C496" s="18"/>
      <c r="D496" s="18"/>
      <c r="E496" s="18"/>
      <c r="F496" s="18"/>
      <c r="G496" s="18"/>
      <c r="H496" s="25"/>
      <c r="I496" s="5" t="s">
        <v>19</v>
      </c>
      <c r="J496" s="11"/>
      <c r="K496" s="11"/>
      <c r="L496" s="11"/>
      <c r="M496" s="11"/>
      <c r="N496" s="11"/>
      <c r="O496" s="11"/>
    </row>
    <row r="497" spans="1:15" ht="15" thickBot="1" x14ac:dyDescent="0.4">
      <c r="A497" t="str">
        <f t="shared" si="270"/>
        <v>13IB</v>
      </c>
      <c r="B497" t="str">
        <f t="shared" si="268"/>
        <v>CPAC Metro</v>
      </c>
      <c r="C497" s="18"/>
      <c r="D497" s="18"/>
      <c r="E497" s="18"/>
      <c r="F497" s="18"/>
      <c r="G497" s="18"/>
      <c r="H497" s="25"/>
      <c r="I497" s="3" t="s">
        <v>20</v>
      </c>
      <c r="J497" s="11"/>
      <c r="K497" s="11"/>
      <c r="L497" s="11"/>
      <c r="M497" s="11"/>
      <c r="N497" s="11"/>
      <c r="O497" s="11"/>
    </row>
    <row r="498" spans="1:15" ht="15" thickBot="1" x14ac:dyDescent="0.4">
      <c r="A498" t="str">
        <f t="shared" si="271"/>
        <v>13IB</v>
      </c>
      <c r="B498" t="str">
        <f t="shared" si="268"/>
        <v>CPAC Metro</v>
      </c>
      <c r="C498" s="18"/>
      <c r="D498" s="18"/>
      <c r="E498" s="18"/>
      <c r="F498" s="18"/>
      <c r="G498" s="18"/>
      <c r="H498" s="25"/>
      <c r="I498" s="5" t="s">
        <v>21</v>
      </c>
      <c r="J498" s="11"/>
      <c r="K498" s="11"/>
      <c r="L498" s="11"/>
      <c r="M498" s="11"/>
      <c r="N498" s="11"/>
      <c r="O498" s="11"/>
    </row>
    <row r="499" spans="1:15" ht="15" thickBot="1" x14ac:dyDescent="0.4">
      <c r="A499" t="str">
        <f t="shared" si="272"/>
        <v>13IB</v>
      </c>
      <c r="B499" t="str">
        <f t="shared" si="268"/>
        <v>CPAC Metro</v>
      </c>
      <c r="C499" s="19"/>
      <c r="D499" s="19"/>
      <c r="E499" s="19"/>
      <c r="F499" s="19"/>
      <c r="G499" s="19"/>
      <c r="H499" s="26"/>
      <c r="I499" s="3" t="s">
        <v>22</v>
      </c>
      <c r="J499" s="11" t="s">
        <v>46</v>
      </c>
      <c r="K499" s="11" t="s">
        <v>46</v>
      </c>
      <c r="L499" s="11" t="s">
        <v>46</v>
      </c>
      <c r="M499" s="11" t="s">
        <v>46</v>
      </c>
      <c r="N499" s="11" t="s">
        <v>46</v>
      </c>
      <c r="O499" s="11" t="s">
        <v>46</v>
      </c>
    </row>
    <row r="500" spans="1:15" ht="15" thickBot="1" x14ac:dyDescent="0.4">
      <c r="B500" t="str">
        <f t="shared" si="268"/>
        <v>CPAC Metro</v>
      </c>
      <c r="C500" s="16"/>
      <c r="D500" s="16"/>
      <c r="E500" s="16"/>
      <c r="F500" s="16" t="s">
        <v>144</v>
      </c>
      <c r="G500" s="16" t="s">
        <v>145</v>
      </c>
      <c r="H500" s="27" t="s">
        <v>34</v>
      </c>
      <c r="I500" s="1"/>
      <c r="J500" s="1"/>
      <c r="K500" s="1"/>
      <c r="L500" s="1"/>
      <c r="M500" s="1"/>
      <c r="N500" s="1"/>
      <c r="O500" s="1"/>
    </row>
    <row r="501" spans="1:15" ht="15" thickBot="1" x14ac:dyDescent="0.4">
      <c r="A501" t="str">
        <f t="shared" si="266"/>
        <v>31EC</v>
      </c>
      <c r="B501" t="str">
        <f t="shared" si="268"/>
        <v>CPAC Metro</v>
      </c>
      <c r="C501" s="18"/>
      <c r="D501" s="18"/>
      <c r="E501" s="18"/>
      <c r="F501" s="18"/>
      <c r="G501" s="18"/>
      <c r="H501" s="28"/>
      <c r="I501" s="3" t="s">
        <v>18</v>
      </c>
      <c r="J501" s="8">
        <v>15</v>
      </c>
      <c r="K501" s="4">
        <v>33</v>
      </c>
      <c r="L501" s="4">
        <v>35</v>
      </c>
      <c r="M501" s="8">
        <v>18</v>
      </c>
      <c r="N501" s="4">
        <v>32</v>
      </c>
      <c r="O501" s="8">
        <v>15</v>
      </c>
    </row>
    <row r="502" spans="1:15" ht="15" thickBot="1" x14ac:dyDescent="0.4">
      <c r="A502" t="str">
        <f t="shared" si="269"/>
        <v>31EC</v>
      </c>
      <c r="B502" t="str">
        <f t="shared" si="268"/>
        <v>CPAC Metro</v>
      </c>
      <c r="C502" s="18"/>
      <c r="D502" s="18"/>
      <c r="E502" s="18"/>
      <c r="F502" s="18"/>
      <c r="G502" s="18"/>
      <c r="H502" s="28"/>
      <c r="I502" s="5" t="s">
        <v>19</v>
      </c>
      <c r="J502" s="9">
        <v>101</v>
      </c>
      <c r="K502" s="9">
        <v>111</v>
      </c>
      <c r="L502" s="7">
        <v>77</v>
      </c>
      <c r="M502" s="6">
        <v>57</v>
      </c>
      <c r="N502" s="6">
        <v>61</v>
      </c>
      <c r="O502" s="7">
        <v>76</v>
      </c>
    </row>
    <row r="503" spans="1:15" ht="15" thickBot="1" x14ac:dyDescent="0.4">
      <c r="A503" t="str">
        <f t="shared" si="270"/>
        <v>31EC</v>
      </c>
      <c r="B503" t="str">
        <f t="shared" si="268"/>
        <v>CPAC Metro</v>
      </c>
      <c r="C503" s="18"/>
      <c r="D503" s="18"/>
      <c r="E503" s="18"/>
      <c r="F503" s="18"/>
      <c r="G503" s="18"/>
      <c r="H503" s="28"/>
      <c r="I503" s="3" t="s">
        <v>20</v>
      </c>
      <c r="J503" s="10">
        <v>20.3</v>
      </c>
      <c r="K503" s="10">
        <v>14.1</v>
      </c>
      <c r="L503" s="10">
        <v>16.399999999999999</v>
      </c>
      <c r="M503" s="10">
        <v>21.5</v>
      </c>
      <c r="N503" s="10">
        <v>12.6</v>
      </c>
      <c r="O503" s="10">
        <v>23.9</v>
      </c>
    </row>
    <row r="504" spans="1:15" ht="15" thickBot="1" x14ac:dyDescent="0.4">
      <c r="A504" t="str">
        <f t="shared" si="271"/>
        <v>31EC</v>
      </c>
      <c r="B504" t="str">
        <f t="shared" si="268"/>
        <v>CPAC Metro</v>
      </c>
      <c r="C504" s="18"/>
      <c r="D504" s="18"/>
      <c r="E504" s="18"/>
      <c r="F504" s="18"/>
      <c r="G504" s="18"/>
      <c r="H504" s="28"/>
      <c r="I504" s="5" t="s">
        <v>21</v>
      </c>
      <c r="J504" s="10">
        <v>1.66</v>
      </c>
      <c r="K504" s="10">
        <v>2.63</v>
      </c>
      <c r="L504" s="10">
        <v>1.57</v>
      </c>
      <c r="M504" s="10">
        <v>0.89</v>
      </c>
      <c r="N504" s="10">
        <v>1.61</v>
      </c>
      <c r="O504" s="10">
        <v>1.06</v>
      </c>
    </row>
    <row r="505" spans="1:15" ht="15" thickBot="1" x14ac:dyDescent="0.4">
      <c r="A505" t="str">
        <f t="shared" si="272"/>
        <v>31EC</v>
      </c>
      <c r="B505" t="str">
        <f t="shared" si="268"/>
        <v>CPAC Metro</v>
      </c>
      <c r="C505" s="19"/>
      <c r="D505" s="19"/>
      <c r="E505" s="19"/>
      <c r="F505" s="19"/>
      <c r="G505" s="19"/>
      <c r="H505" s="29"/>
      <c r="I505" s="3" t="s">
        <v>22</v>
      </c>
      <c r="J505" s="10" t="s">
        <v>24</v>
      </c>
      <c r="K505" s="11"/>
      <c r="L505" s="11"/>
      <c r="M505" s="10" t="s">
        <v>24</v>
      </c>
      <c r="N505" s="11"/>
      <c r="O505" s="10" t="s">
        <v>24</v>
      </c>
    </row>
    <row r="506" spans="1:15" ht="15" thickBot="1" x14ac:dyDescent="0.4">
      <c r="B506" t="str">
        <f t="shared" si="268"/>
        <v>CPAC Metro</v>
      </c>
      <c r="C506" s="16"/>
      <c r="D506" s="16"/>
      <c r="E506" s="16"/>
      <c r="F506" s="16"/>
      <c r="G506" s="16" t="s">
        <v>146</v>
      </c>
      <c r="H506" s="20" t="s">
        <v>17</v>
      </c>
      <c r="I506" s="1"/>
      <c r="J506" s="1"/>
      <c r="K506" s="1"/>
      <c r="L506" s="1"/>
      <c r="M506" s="1"/>
      <c r="N506" s="1"/>
      <c r="O506" s="1"/>
    </row>
    <row r="507" spans="1:15" ht="15" thickBot="1" x14ac:dyDescent="0.4">
      <c r="A507" t="str">
        <f t="shared" ref="A507:A570" si="273">IF(LEFT(G506,2)="FC",LEFT(G506,5),LEFT(G506,4))</f>
        <v>31ED</v>
      </c>
      <c r="B507" t="str">
        <f t="shared" si="268"/>
        <v>CPAC Metro</v>
      </c>
      <c r="C507" s="18"/>
      <c r="D507" s="18"/>
      <c r="E507" s="18"/>
      <c r="F507" s="18"/>
      <c r="G507" s="18"/>
      <c r="H507" s="22"/>
      <c r="I507" s="3" t="s">
        <v>18</v>
      </c>
      <c r="J507" s="4">
        <v>36</v>
      </c>
      <c r="K507" s="8">
        <v>22</v>
      </c>
      <c r="L507" s="4">
        <v>48</v>
      </c>
      <c r="M507" s="11"/>
      <c r="N507" s="4">
        <v>33</v>
      </c>
      <c r="O507" s="4">
        <v>39</v>
      </c>
    </row>
    <row r="508" spans="1:15" ht="15" thickBot="1" x14ac:dyDescent="0.4">
      <c r="A508" t="str">
        <f t="shared" si="269"/>
        <v>31ED</v>
      </c>
      <c r="B508" t="str">
        <f t="shared" si="268"/>
        <v>CPAC Metro</v>
      </c>
      <c r="C508" s="18"/>
      <c r="D508" s="18"/>
      <c r="E508" s="18"/>
      <c r="F508" s="18"/>
      <c r="G508" s="18"/>
      <c r="H508" s="22"/>
      <c r="I508" s="5" t="s">
        <v>19</v>
      </c>
      <c r="J508" s="6">
        <v>65</v>
      </c>
      <c r="K508" s="8">
        <v>44</v>
      </c>
      <c r="L508" s="7">
        <v>73</v>
      </c>
      <c r="M508" s="11"/>
      <c r="N508" s="7">
        <v>79</v>
      </c>
      <c r="O508" s="6">
        <v>66</v>
      </c>
    </row>
    <row r="509" spans="1:15" ht="15" thickBot="1" x14ac:dyDescent="0.4">
      <c r="A509" t="str">
        <f t="shared" si="270"/>
        <v>31ED</v>
      </c>
      <c r="B509" t="str">
        <f t="shared" si="268"/>
        <v>CPAC Metro</v>
      </c>
      <c r="C509" s="18"/>
      <c r="D509" s="18"/>
      <c r="E509" s="18"/>
      <c r="F509" s="18"/>
      <c r="G509" s="18"/>
      <c r="H509" s="22"/>
      <c r="I509" s="3" t="s">
        <v>20</v>
      </c>
      <c r="J509" s="9">
        <v>32.6</v>
      </c>
      <c r="K509" s="9">
        <v>32.1</v>
      </c>
      <c r="L509" s="8">
        <v>51.8</v>
      </c>
      <c r="M509" s="11"/>
      <c r="N509" s="7">
        <v>35.5</v>
      </c>
      <c r="O509" s="7">
        <v>35.5</v>
      </c>
    </row>
    <row r="510" spans="1:15" ht="15" thickBot="1" x14ac:dyDescent="0.4">
      <c r="A510" t="str">
        <f t="shared" si="271"/>
        <v>31ED</v>
      </c>
      <c r="B510" t="str">
        <f t="shared" si="268"/>
        <v>CPAC Metro</v>
      </c>
      <c r="C510" s="18"/>
      <c r="D510" s="18"/>
      <c r="E510" s="18"/>
      <c r="F510" s="18"/>
      <c r="G510" s="18"/>
      <c r="H510" s="22"/>
      <c r="I510" s="5" t="s">
        <v>21</v>
      </c>
      <c r="J510" s="9">
        <v>0.66</v>
      </c>
      <c r="K510" s="8">
        <v>0.46</v>
      </c>
      <c r="L510" s="8">
        <v>0.47</v>
      </c>
      <c r="M510" s="11"/>
      <c r="N510" s="9">
        <v>0.74</v>
      </c>
      <c r="O510" s="9">
        <v>0.62</v>
      </c>
    </row>
    <row r="511" spans="1:15" ht="15" thickBot="1" x14ac:dyDescent="0.4">
      <c r="A511" t="str">
        <f t="shared" si="272"/>
        <v>31ED</v>
      </c>
      <c r="B511" t="str">
        <f t="shared" ref="B511:B523" si="274">$D$446</f>
        <v>CPAC Metro</v>
      </c>
      <c r="C511" s="19"/>
      <c r="D511" s="19"/>
      <c r="E511" s="19"/>
      <c r="F511" s="19"/>
      <c r="G511" s="19"/>
      <c r="H511" s="23"/>
      <c r="I511" s="3" t="s">
        <v>22</v>
      </c>
      <c r="J511" s="11"/>
      <c r="K511" s="8" t="s">
        <v>23</v>
      </c>
      <c r="L511" s="11"/>
      <c r="M511" s="11" t="s">
        <v>27</v>
      </c>
      <c r="N511" s="11"/>
      <c r="O511" s="11"/>
    </row>
    <row r="512" spans="1:15" ht="15" thickBot="1" x14ac:dyDescent="0.4">
      <c r="B512" t="str">
        <f t="shared" si="274"/>
        <v>CPAC Metro</v>
      </c>
      <c r="C512" s="16"/>
      <c r="D512" s="16"/>
      <c r="E512" s="16"/>
      <c r="F512" s="16"/>
      <c r="G512" s="16" t="s">
        <v>147</v>
      </c>
      <c r="H512" s="24" t="s">
        <v>30</v>
      </c>
      <c r="I512" s="1"/>
      <c r="J512" s="1"/>
      <c r="K512" s="1"/>
      <c r="L512" s="1"/>
      <c r="M512" s="1"/>
      <c r="N512" s="1"/>
      <c r="O512" s="1"/>
    </row>
    <row r="513" spans="1:15" ht="15" thickBot="1" x14ac:dyDescent="0.4">
      <c r="A513" t="str">
        <f t="shared" si="273"/>
        <v>13JJ</v>
      </c>
      <c r="B513" t="str">
        <f t="shared" si="274"/>
        <v>CPAC Metro</v>
      </c>
      <c r="C513" s="18"/>
      <c r="D513" s="18"/>
      <c r="E513" s="18"/>
      <c r="F513" s="18"/>
      <c r="G513" s="18"/>
      <c r="H513" s="25"/>
      <c r="I513" s="3" t="s">
        <v>18</v>
      </c>
      <c r="J513" s="11"/>
      <c r="K513" s="11"/>
      <c r="L513" s="11"/>
      <c r="M513" s="11"/>
      <c r="N513" s="11"/>
      <c r="O513" s="11"/>
    </row>
    <row r="514" spans="1:15" ht="15" thickBot="1" x14ac:dyDescent="0.4">
      <c r="A514" t="str">
        <f t="shared" ref="A514:A574" si="275">IF(LEFT(G512,2)="FC",LEFT(G512,5),LEFT(G512,4))</f>
        <v>13JJ</v>
      </c>
      <c r="B514" t="str">
        <f t="shared" si="274"/>
        <v>CPAC Metro</v>
      </c>
      <c r="C514" s="18"/>
      <c r="D514" s="18"/>
      <c r="E514" s="18"/>
      <c r="F514" s="18"/>
      <c r="G514" s="18"/>
      <c r="H514" s="25"/>
      <c r="I514" s="5" t="s">
        <v>19</v>
      </c>
      <c r="J514" s="11"/>
      <c r="K514" s="11"/>
      <c r="L514" s="11"/>
      <c r="M514" s="11"/>
      <c r="N514" s="11"/>
      <c r="O514" s="11"/>
    </row>
    <row r="515" spans="1:15" ht="15" thickBot="1" x14ac:dyDescent="0.4">
      <c r="A515" t="str">
        <f t="shared" ref="A515:A575" si="276">IF(LEFT(G512,2)="FC",LEFT(G512,5),LEFT(G512,4))</f>
        <v>13JJ</v>
      </c>
      <c r="B515" t="str">
        <f t="shared" si="274"/>
        <v>CPAC Metro</v>
      </c>
      <c r="C515" s="18"/>
      <c r="D515" s="18"/>
      <c r="E515" s="18"/>
      <c r="F515" s="18"/>
      <c r="G515" s="18"/>
      <c r="H515" s="25"/>
      <c r="I515" s="3" t="s">
        <v>20</v>
      </c>
      <c r="J515" s="11"/>
      <c r="K515" s="11"/>
      <c r="L515" s="11"/>
      <c r="M515" s="11"/>
      <c r="N515" s="11"/>
      <c r="O515" s="11"/>
    </row>
    <row r="516" spans="1:15" ht="15" thickBot="1" x14ac:dyDescent="0.4">
      <c r="A516" t="str">
        <f t="shared" ref="A516:A576" si="277">IF(LEFT(G512,2)="FC",LEFT(G512,5),LEFT(G512,4))</f>
        <v>13JJ</v>
      </c>
      <c r="B516" t="str">
        <f t="shared" si="274"/>
        <v>CPAC Metro</v>
      </c>
      <c r="C516" s="18"/>
      <c r="D516" s="18"/>
      <c r="E516" s="18"/>
      <c r="F516" s="18"/>
      <c r="G516" s="18"/>
      <c r="H516" s="25"/>
      <c r="I516" s="5" t="s">
        <v>21</v>
      </c>
      <c r="J516" s="11"/>
      <c r="K516" s="11"/>
      <c r="L516" s="11"/>
      <c r="M516" s="11"/>
      <c r="N516" s="11"/>
      <c r="O516" s="11"/>
    </row>
    <row r="517" spans="1:15" ht="15" thickBot="1" x14ac:dyDescent="0.4">
      <c r="A517" t="str">
        <f t="shared" ref="A517:A577" si="278">IF(LEFT(G512,2)="FC",LEFT(G512,5),LEFT(G512,4))</f>
        <v>13JJ</v>
      </c>
      <c r="B517" t="str">
        <f t="shared" si="274"/>
        <v>CPAC Metro</v>
      </c>
      <c r="C517" s="33"/>
      <c r="D517" s="33"/>
      <c r="E517" s="33"/>
      <c r="F517" s="33"/>
      <c r="G517" s="33"/>
      <c r="H517" s="37"/>
      <c r="I517" s="12" t="s">
        <v>22</v>
      </c>
      <c r="J517" s="13" t="s">
        <v>46</v>
      </c>
      <c r="K517" s="13" t="s">
        <v>46</v>
      </c>
      <c r="L517" s="13" t="s">
        <v>46</v>
      </c>
      <c r="M517" s="13" t="s">
        <v>46</v>
      </c>
      <c r="N517" s="13" t="s">
        <v>46</v>
      </c>
      <c r="O517" s="13" t="s">
        <v>46</v>
      </c>
    </row>
    <row r="518" spans="1:15" ht="15" thickBot="1" x14ac:dyDescent="0.4">
      <c r="B518" t="str">
        <f>$D$518</f>
        <v>CPAC North</v>
      </c>
      <c r="C518" s="17"/>
      <c r="D518" s="17" t="s">
        <v>148</v>
      </c>
      <c r="E518" s="17" t="s">
        <v>149</v>
      </c>
      <c r="F518" s="17" t="s">
        <v>150</v>
      </c>
      <c r="G518" s="17" t="s">
        <v>151</v>
      </c>
      <c r="H518" s="38" t="s">
        <v>34</v>
      </c>
      <c r="I518" s="1"/>
      <c r="J518" s="1"/>
      <c r="K518" s="1"/>
      <c r="L518" s="1"/>
      <c r="M518" s="1"/>
      <c r="N518" s="1"/>
      <c r="O518" s="1"/>
    </row>
    <row r="519" spans="1:15" ht="15" thickBot="1" x14ac:dyDescent="0.4">
      <c r="A519" t="str">
        <f t="shared" si="273"/>
        <v>FC172</v>
      </c>
      <c r="B519" t="str">
        <f t="shared" ref="B519:B582" si="279">$D$518</f>
        <v>CPAC North</v>
      </c>
      <c r="C519" s="18"/>
      <c r="D519" s="18"/>
      <c r="E519" s="18"/>
      <c r="F519" s="18"/>
      <c r="G519" s="18"/>
      <c r="H519" s="28"/>
      <c r="I519" s="3" t="s">
        <v>18</v>
      </c>
      <c r="J519" s="4">
        <v>36</v>
      </c>
      <c r="K519" s="4">
        <v>30</v>
      </c>
      <c r="L519" s="11"/>
      <c r="M519" s="4">
        <v>30</v>
      </c>
      <c r="N519" s="4">
        <v>42</v>
      </c>
      <c r="O519" s="4">
        <v>33</v>
      </c>
    </row>
    <row r="520" spans="1:15" ht="15" thickBot="1" x14ac:dyDescent="0.4">
      <c r="A520" t="str">
        <f t="shared" si="275"/>
        <v>FC172</v>
      </c>
      <c r="B520" t="str">
        <f t="shared" si="279"/>
        <v>CPAC North</v>
      </c>
      <c r="C520" s="18"/>
      <c r="D520" s="18"/>
      <c r="E520" s="18"/>
      <c r="F520" s="18"/>
      <c r="G520" s="18"/>
      <c r="H520" s="28"/>
      <c r="I520" s="5" t="s">
        <v>19</v>
      </c>
      <c r="J520" s="9">
        <v>111</v>
      </c>
      <c r="K520" s="9">
        <v>113</v>
      </c>
      <c r="L520" s="11"/>
      <c r="M520" s="9">
        <v>141</v>
      </c>
      <c r="N520" s="9">
        <v>91</v>
      </c>
      <c r="O520" s="7">
        <v>83</v>
      </c>
    </row>
    <row r="521" spans="1:15" ht="15" thickBot="1" x14ac:dyDescent="0.4">
      <c r="A521" t="str">
        <f t="shared" si="276"/>
        <v>FC172</v>
      </c>
      <c r="B521" t="str">
        <f t="shared" si="279"/>
        <v>CPAC North</v>
      </c>
      <c r="C521" s="18"/>
      <c r="D521" s="18"/>
      <c r="E521" s="18"/>
      <c r="F521" s="18"/>
      <c r="G521" s="18"/>
      <c r="H521" s="28"/>
      <c r="I521" s="3" t="s">
        <v>20</v>
      </c>
      <c r="J521" s="6">
        <v>44.6</v>
      </c>
      <c r="K521" s="6">
        <v>44.3</v>
      </c>
      <c r="L521" s="11"/>
      <c r="M521" s="10">
        <v>26.6</v>
      </c>
      <c r="N521" s="7">
        <v>40</v>
      </c>
      <c r="O521" s="6">
        <v>45.7</v>
      </c>
    </row>
    <row r="522" spans="1:15" ht="15" thickBot="1" x14ac:dyDescent="0.4">
      <c r="A522" t="str">
        <f t="shared" si="277"/>
        <v>FC172</v>
      </c>
      <c r="B522" t="str">
        <f t="shared" si="279"/>
        <v>CPAC North</v>
      </c>
      <c r="C522" s="18"/>
      <c r="D522" s="18"/>
      <c r="E522" s="18"/>
      <c r="F522" s="18"/>
      <c r="G522" s="18"/>
      <c r="H522" s="28"/>
      <c r="I522" s="5" t="s">
        <v>21</v>
      </c>
      <c r="J522" s="10">
        <v>0.83</v>
      </c>
      <c r="K522" s="10">
        <v>0.85</v>
      </c>
      <c r="L522" s="11"/>
      <c r="M522" s="10">
        <v>1.76</v>
      </c>
      <c r="N522" s="9">
        <v>0.76</v>
      </c>
      <c r="O522" s="9">
        <v>0.61</v>
      </c>
    </row>
    <row r="523" spans="1:15" ht="15" thickBot="1" x14ac:dyDescent="0.4">
      <c r="A523" t="str">
        <f t="shared" si="278"/>
        <v>FC172</v>
      </c>
      <c r="B523" t="str">
        <f t="shared" si="279"/>
        <v>CPAC North</v>
      </c>
      <c r="C523" s="19"/>
      <c r="D523" s="19"/>
      <c r="E523" s="19"/>
      <c r="F523" s="19"/>
      <c r="G523" s="19"/>
      <c r="H523" s="29"/>
      <c r="I523" s="3" t="s">
        <v>22</v>
      </c>
      <c r="J523" s="11"/>
      <c r="K523" s="11"/>
      <c r="L523" s="11" t="s">
        <v>27</v>
      </c>
      <c r="M523" s="10" t="s">
        <v>24</v>
      </c>
      <c r="N523" s="11"/>
      <c r="O523" s="11"/>
    </row>
    <row r="524" spans="1:15" ht="15" thickBot="1" x14ac:dyDescent="0.4">
      <c r="B524" t="str">
        <f t="shared" si="279"/>
        <v>CPAC North</v>
      </c>
      <c r="C524" s="16"/>
      <c r="D524" s="16"/>
      <c r="E524" s="16"/>
      <c r="F524" s="16"/>
      <c r="G524" s="16" t="s">
        <v>152</v>
      </c>
      <c r="H524" s="20" t="s">
        <v>17</v>
      </c>
      <c r="I524" s="1"/>
      <c r="J524" s="1"/>
      <c r="K524" s="1"/>
      <c r="L524" s="1"/>
      <c r="M524" s="1"/>
      <c r="N524" s="1"/>
      <c r="O524" s="1"/>
    </row>
    <row r="525" spans="1:15" ht="15" thickBot="1" x14ac:dyDescent="0.4">
      <c r="A525" t="str">
        <f t="shared" si="273"/>
        <v>FC374</v>
      </c>
      <c r="B525" t="str">
        <f t="shared" si="279"/>
        <v>CPAC North</v>
      </c>
      <c r="C525" s="18"/>
      <c r="D525" s="18"/>
      <c r="E525" s="18"/>
      <c r="F525" s="18"/>
      <c r="G525" s="18"/>
      <c r="H525" s="22"/>
      <c r="I525" s="3" t="s">
        <v>18</v>
      </c>
      <c r="J525" s="4">
        <v>32</v>
      </c>
      <c r="K525" s="11"/>
      <c r="L525" s="11"/>
      <c r="M525" s="11"/>
      <c r="N525" s="4">
        <v>33</v>
      </c>
      <c r="O525" s="11"/>
    </row>
    <row r="526" spans="1:15" ht="15" thickBot="1" x14ac:dyDescent="0.4">
      <c r="A526" t="str">
        <f t="shared" si="275"/>
        <v>FC374</v>
      </c>
      <c r="B526" t="str">
        <f t="shared" si="279"/>
        <v>CPAC North</v>
      </c>
      <c r="C526" s="18"/>
      <c r="D526" s="18"/>
      <c r="E526" s="18"/>
      <c r="F526" s="18"/>
      <c r="G526" s="18"/>
      <c r="H526" s="22"/>
      <c r="I526" s="5" t="s">
        <v>19</v>
      </c>
      <c r="J526" s="9">
        <v>108</v>
      </c>
      <c r="K526" s="11"/>
      <c r="L526" s="11"/>
      <c r="M526" s="11"/>
      <c r="N526" s="7">
        <v>85</v>
      </c>
      <c r="O526" s="11"/>
    </row>
    <row r="527" spans="1:15" ht="15" thickBot="1" x14ac:dyDescent="0.4">
      <c r="A527" t="str">
        <f t="shared" si="276"/>
        <v>FC374</v>
      </c>
      <c r="B527" t="str">
        <f t="shared" si="279"/>
        <v>CPAC North</v>
      </c>
      <c r="C527" s="18"/>
      <c r="D527" s="18"/>
      <c r="E527" s="18"/>
      <c r="F527" s="18"/>
      <c r="G527" s="18"/>
      <c r="H527" s="22"/>
      <c r="I527" s="3" t="s">
        <v>20</v>
      </c>
      <c r="J527" s="7">
        <v>37.1</v>
      </c>
      <c r="K527" s="11"/>
      <c r="L527" s="11"/>
      <c r="M527" s="11"/>
      <c r="N527" s="6">
        <v>48</v>
      </c>
      <c r="O527" s="11"/>
    </row>
    <row r="528" spans="1:15" ht="15" thickBot="1" x14ac:dyDescent="0.4">
      <c r="A528" t="str">
        <f t="shared" si="277"/>
        <v>FC374</v>
      </c>
      <c r="B528" t="str">
        <f t="shared" si="279"/>
        <v>CPAC North</v>
      </c>
      <c r="C528" s="18"/>
      <c r="D528" s="18"/>
      <c r="E528" s="18"/>
      <c r="F528" s="18"/>
      <c r="G528" s="18"/>
      <c r="H528" s="22"/>
      <c r="I528" s="5" t="s">
        <v>21</v>
      </c>
      <c r="J528" s="10">
        <v>0.97</v>
      </c>
      <c r="K528" s="11"/>
      <c r="L528" s="11"/>
      <c r="M528" s="11"/>
      <c r="N528" s="9">
        <v>0.59</v>
      </c>
      <c r="O528" s="11"/>
    </row>
    <row r="529" spans="1:15" ht="15" thickBot="1" x14ac:dyDescent="0.4">
      <c r="A529" t="str">
        <f t="shared" si="278"/>
        <v>FC374</v>
      </c>
      <c r="B529" t="str">
        <f t="shared" si="279"/>
        <v>CPAC North</v>
      </c>
      <c r="C529" s="19"/>
      <c r="D529" s="19"/>
      <c r="E529" s="19"/>
      <c r="F529" s="19"/>
      <c r="G529" s="19"/>
      <c r="H529" s="23"/>
      <c r="I529" s="3" t="s">
        <v>22</v>
      </c>
      <c r="J529" s="11"/>
      <c r="K529" s="11" t="s">
        <v>45</v>
      </c>
      <c r="L529" s="11" t="s">
        <v>27</v>
      </c>
      <c r="M529" s="11" t="s">
        <v>27</v>
      </c>
      <c r="N529" s="9" t="s">
        <v>25</v>
      </c>
      <c r="O529" s="11" t="s">
        <v>45</v>
      </c>
    </row>
    <row r="530" spans="1:15" ht="15" thickBot="1" x14ac:dyDescent="0.4">
      <c r="B530" t="str">
        <f t="shared" si="279"/>
        <v>CPAC North</v>
      </c>
      <c r="C530" s="16"/>
      <c r="D530" s="16"/>
      <c r="E530" s="16"/>
      <c r="F530" s="16"/>
      <c r="G530" s="16" t="s">
        <v>153</v>
      </c>
      <c r="H530" s="27" t="s">
        <v>34</v>
      </c>
      <c r="I530" s="1"/>
      <c r="J530" s="1"/>
      <c r="K530" s="1"/>
      <c r="L530" s="1"/>
      <c r="M530" s="1"/>
      <c r="N530" s="1"/>
      <c r="O530" s="1"/>
    </row>
    <row r="531" spans="1:15" ht="15" thickBot="1" x14ac:dyDescent="0.4">
      <c r="A531" t="str">
        <f t="shared" si="273"/>
        <v>19FJ</v>
      </c>
      <c r="B531" t="str">
        <f t="shared" si="279"/>
        <v>CPAC North</v>
      </c>
      <c r="C531" s="18"/>
      <c r="D531" s="18"/>
      <c r="E531" s="18"/>
      <c r="F531" s="18"/>
      <c r="G531" s="18"/>
      <c r="H531" s="28"/>
      <c r="I531" s="3" t="s">
        <v>18</v>
      </c>
      <c r="J531" s="4">
        <v>30</v>
      </c>
      <c r="K531" s="8">
        <v>18</v>
      </c>
      <c r="L531" s="4">
        <v>30</v>
      </c>
      <c r="M531" s="4">
        <v>30</v>
      </c>
      <c r="N531" s="4">
        <v>30</v>
      </c>
      <c r="O531" s="4">
        <v>31</v>
      </c>
    </row>
    <row r="532" spans="1:15" ht="15" thickBot="1" x14ac:dyDescent="0.4">
      <c r="A532" t="str">
        <f t="shared" si="275"/>
        <v>19FJ</v>
      </c>
      <c r="B532" t="str">
        <f t="shared" si="279"/>
        <v>CPAC North</v>
      </c>
      <c r="C532" s="18"/>
      <c r="D532" s="18"/>
      <c r="E532" s="18"/>
      <c r="F532" s="18"/>
      <c r="G532" s="18"/>
      <c r="H532" s="28"/>
      <c r="I532" s="5" t="s">
        <v>19</v>
      </c>
      <c r="J532" s="9">
        <v>116</v>
      </c>
      <c r="K532" s="9">
        <v>115</v>
      </c>
      <c r="L532" s="7">
        <v>79</v>
      </c>
      <c r="M532" s="9">
        <v>94</v>
      </c>
      <c r="N532" s="9">
        <v>110</v>
      </c>
      <c r="O532" s="9">
        <v>158</v>
      </c>
    </row>
    <row r="533" spans="1:15" ht="15" thickBot="1" x14ac:dyDescent="0.4">
      <c r="A533" t="str">
        <f t="shared" si="276"/>
        <v>19FJ</v>
      </c>
      <c r="B533" t="str">
        <f t="shared" si="279"/>
        <v>CPAC North</v>
      </c>
      <c r="C533" s="18"/>
      <c r="D533" s="18"/>
      <c r="E533" s="18"/>
      <c r="F533" s="18"/>
      <c r="G533" s="18"/>
      <c r="H533" s="28"/>
      <c r="I533" s="3" t="s">
        <v>20</v>
      </c>
      <c r="J533" s="10">
        <v>17.8</v>
      </c>
      <c r="K533" s="10">
        <v>15.1</v>
      </c>
      <c r="L533" s="10">
        <v>23.8</v>
      </c>
      <c r="M533" s="6">
        <v>42.2</v>
      </c>
      <c r="N533" s="10">
        <v>12.3</v>
      </c>
      <c r="O533" s="10">
        <v>14.1</v>
      </c>
    </row>
    <row r="534" spans="1:15" ht="15" thickBot="1" x14ac:dyDescent="0.4">
      <c r="A534" t="str">
        <f t="shared" si="277"/>
        <v>19FJ</v>
      </c>
      <c r="B534" t="str">
        <f t="shared" si="279"/>
        <v>CPAC North</v>
      </c>
      <c r="C534" s="18"/>
      <c r="D534" s="18"/>
      <c r="E534" s="18"/>
      <c r="F534" s="18"/>
      <c r="G534" s="18"/>
      <c r="H534" s="28"/>
      <c r="I534" s="5" t="s">
        <v>21</v>
      </c>
      <c r="J534" s="10">
        <v>2.1800000000000002</v>
      </c>
      <c r="K534" s="10">
        <v>2.5299999999999998</v>
      </c>
      <c r="L534" s="10">
        <v>1.1100000000000001</v>
      </c>
      <c r="M534" s="9">
        <v>0.74</v>
      </c>
      <c r="N534" s="10">
        <v>2.99</v>
      </c>
      <c r="O534" s="10">
        <v>3.74</v>
      </c>
    </row>
    <row r="535" spans="1:15" ht="15" thickBot="1" x14ac:dyDescent="0.4">
      <c r="A535" t="str">
        <f t="shared" si="278"/>
        <v>19FJ</v>
      </c>
      <c r="B535" t="str">
        <f t="shared" si="279"/>
        <v>CPAC North</v>
      </c>
      <c r="C535" s="19"/>
      <c r="D535" s="19"/>
      <c r="E535" s="19"/>
      <c r="F535" s="19"/>
      <c r="G535" s="19"/>
      <c r="H535" s="29"/>
      <c r="I535" s="3" t="s">
        <v>22</v>
      </c>
      <c r="J535" s="11"/>
      <c r="K535" s="10" t="s">
        <v>24</v>
      </c>
      <c r="L535" s="11"/>
      <c r="M535" s="11"/>
      <c r="N535" s="11"/>
      <c r="O535" s="11"/>
    </row>
    <row r="536" spans="1:15" ht="15" thickBot="1" x14ac:dyDescent="0.4">
      <c r="B536" t="str">
        <f t="shared" si="279"/>
        <v>CPAC North</v>
      </c>
      <c r="C536" s="16"/>
      <c r="D536" s="16"/>
      <c r="E536" s="16"/>
      <c r="F536" s="16"/>
      <c r="G536" s="16" t="s">
        <v>154</v>
      </c>
      <c r="H536" s="27" t="s">
        <v>34</v>
      </c>
      <c r="I536" s="1"/>
      <c r="J536" s="1"/>
      <c r="K536" s="1"/>
      <c r="L536" s="1"/>
      <c r="M536" s="1"/>
      <c r="N536" s="1"/>
      <c r="O536" s="1"/>
    </row>
    <row r="537" spans="1:15" ht="15" thickBot="1" x14ac:dyDescent="0.4">
      <c r="A537" t="str">
        <f t="shared" si="273"/>
        <v>19FD</v>
      </c>
      <c r="B537" t="str">
        <f t="shared" si="279"/>
        <v>CPAC North</v>
      </c>
      <c r="C537" s="18"/>
      <c r="D537" s="18"/>
      <c r="E537" s="18"/>
      <c r="F537" s="18"/>
      <c r="G537" s="18"/>
      <c r="H537" s="28"/>
      <c r="I537" s="3" t="s">
        <v>18</v>
      </c>
      <c r="J537" s="8">
        <v>18</v>
      </c>
      <c r="K537" s="4">
        <v>35</v>
      </c>
      <c r="L537" s="4">
        <v>30</v>
      </c>
      <c r="M537" s="8">
        <v>20</v>
      </c>
      <c r="N537" s="4">
        <v>38</v>
      </c>
      <c r="O537" s="8">
        <v>15</v>
      </c>
    </row>
    <row r="538" spans="1:15" ht="15" thickBot="1" x14ac:dyDescent="0.4">
      <c r="A538" t="str">
        <f t="shared" si="275"/>
        <v>19FD</v>
      </c>
      <c r="B538" t="str">
        <f t="shared" si="279"/>
        <v>CPAC North</v>
      </c>
      <c r="C538" s="18"/>
      <c r="D538" s="18"/>
      <c r="E538" s="18"/>
      <c r="F538" s="18"/>
      <c r="G538" s="18"/>
      <c r="H538" s="28"/>
      <c r="I538" s="5" t="s">
        <v>19</v>
      </c>
      <c r="J538" s="7">
        <v>71</v>
      </c>
      <c r="K538" s="8">
        <v>39</v>
      </c>
      <c r="L538" s="9">
        <v>108</v>
      </c>
      <c r="M538" s="7">
        <v>80</v>
      </c>
      <c r="N538" s="7">
        <v>87</v>
      </c>
      <c r="O538" s="7">
        <v>85</v>
      </c>
    </row>
    <row r="539" spans="1:15" ht="15" thickBot="1" x14ac:dyDescent="0.4">
      <c r="A539" t="str">
        <f t="shared" si="276"/>
        <v>19FD</v>
      </c>
      <c r="B539" t="str">
        <f t="shared" si="279"/>
        <v>CPAC North</v>
      </c>
      <c r="C539" s="18"/>
      <c r="D539" s="18"/>
      <c r="E539" s="18"/>
      <c r="F539" s="18"/>
      <c r="G539" s="18"/>
      <c r="H539" s="28"/>
      <c r="I539" s="3" t="s">
        <v>20</v>
      </c>
      <c r="J539" s="8">
        <v>98.8</v>
      </c>
      <c r="K539" s="10">
        <v>20.8</v>
      </c>
      <c r="L539" s="9">
        <v>33.4</v>
      </c>
      <c r="M539" s="9">
        <v>31.1</v>
      </c>
      <c r="N539" s="6">
        <v>42</v>
      </c>
      <c r="O539" s="7">
        <v>35.5</v>
      </c>
    </row>
    <row r="540" spans="1:15" ht="15" thickBot="1" x14ac:dyDescent="0.4">
      <c r="A540" t="str">
        <f t="shared" si="277"/>
        <v>19FD</v>
      </c>
      <c r="B540" t="str">
        <f t="shared" si="279"/>
        <v>CPAC North</v>
      </c>
      <c r="C540" s="18"/>
      <c r="D540" s="18"/>
      <c r="E540" s="18"/>
      <c r="F540" s="18"/>
      <c r="G540" s="18"/>
      <c r="H540" s="28"/>
      <c r="I540" s="5" t="s">
        <v>21</v>
      </c>
      <c r="J540" s="8">
        <v>0.24</v>
      </c>
      <c r="K540" s="9">
        <v>0.62</v>
      </c>
      <c r="L540" s="10">
        <v>1.08</v>
      </c>
      <c r="M540" s="10">
        <v>0.86</v>
      </c>
      <c r="N540" s="9">
        <v>0.69</v>
      </c>
      <c r="O540" s="10">
        <v>0.79</v>
      </c>
    </row>
    <row r="541" spans="1:15" ht="15" thickBot="1" x14ac:dyDescent="0.4">
      <c r="A541" t="str">
        <f t="shared" si="278"/>
        <v>19FD</v>
      </c>
      <c r="B541" t="str">
        <f t="shared" si="279"/>
        <v>CPAC North</v>
      </c>
      <c r="C541" s="19"/>
      <c r="D541" s="19"/>
      <c r="E541" s="19"/>
      <c r="F541" s="19"/>
      <c r="G541" s="19"/>
      <c r="H541" s="29"/>
      <c r="I541" s="3" t="s">
        <v>22</v>
      </c>
      <c r="J541" s="8" t="s">
        <v>23</v>
      </c>
      <c r="K541" s="9" t="s">
        <v>25</v>
      </c>
      <c r="L541" s="10" t="s">
        <v>24</v>
      </c>
      <c r="M541" s="10" t="s">
        <v>24</v>
      </c>
      <c r="N541" s="11"/>
      <c r="O541" s="10" t="s">
        <v>24</v>
      </c>
    </row>
    <row r="542" spans="1:15" ht="15" thickBot="1" x14ac:dyDescent="0.4">
      <c r="B542" t="str">
        <f t="shared" si="279"/>
        <v>CPAC North</v>
      </c>
      <c r="C542" s="16"/>
      <c r="D542" s="16"/>
      <c r="E542" s="16"/>
      <c r="F542" s="16"/>
      <c r="G542" s="16" t="s">
        <v>155</v>
      </c>
      <c r="H542" s="20" t="s">
        <v>17</v>
      </c>
      <c r="I542" s="1"/>
      <c r="J542" s="1"/>
      <c r="K542" s="1"/>
      <c r="L542" s="1"/>
      <c r="M542" s="1"/>
      <c r="N542" s="1"/>
      <c r="O542" s="1"/>
    </row>
    <row r="543" spans="1:15" ht="15" thickBot="1" x14ac:dyDescent="0.4">
      <c r="A543" t="str">
        <f t="shared" si="273"/>
        <v>19FE</v>
      </c>
      <c r="B543" t="str">
        <f t="shared" si="279"/>
        <v>CPAC North</v>
      </c>
      <c r="C543" s="18"/>
      <c r="D543" s="18"/>
      <c r="E543" s="18"/>
      <c r="F543" s="18"/>
      <c r="G543" s="18"/>
      <c r="H543" s="22"/>
      <c r="I543" s="3" t="s">
        <v>18</v>
      </c>
      <c r="J543" s="4">
        <v>39</v>
      </c>
      <c r="K543" s="8">
        <v>21</v>
      </c>
      <c r="L543" s="8">
        <v>21</v>
      </c>
      <c r="M543" s="8">
        <v>25</v>
      </c>
      <c r="N543" s="4">
        <v>58</v>
      </c>
      <c r="O543" s="8">
        <v>21</v>
      </c>
    </row>
    <row r="544" spans="1:15" ht="15" thickBot="1" x14ac:dyDescent="0.4">
      <c r="A544" t="str">
        <f t="shared" si="275"/>
        <v>19FE</v>
      </c>
      <c r="B544" t="str">
        <f t="shared" si="279"/>
        <v>CPAC North</v>
      </c>
      <c r="C544" s="18"/>
      <c r="D544" s="18"/>
      <c r="E544" s="18"/>
      <c r="F544" s="18"/>
      <c r="G544" s="18"/>
      <c r="H544" s="22"/>
      <c r="I544" s="5" t="s">
        <v>19</v>
      </c>
      <c r="J544" s="8">
        <v>47</v>
      </c>
      <c r="K544" s="8">
        <v>-20</v>
      </c>
      <c r="L544" s="8">
        <v>20</v>
      </c>
      <c r="M544" s="9">
        <v>129</v>
      </c>
      <c r="N544" s="9">
        <v>94</v>
      </c>
      <c r="O544" s="8">
        <v>49</v>
      </c>
    </row>
    <row r="545" spans="1:15" ht="15" thickBot="1" x14ac:dyDescent="0.4">
      <c r="A545" t="str">
        <f t="shared" si="276"/>
        <v>19FE</v>
      </c>
      <c r="B545" t="str">
        <f t="shared" si="279"/>
        <v>CPAC North</v>
      </c>
      <c r="C545" s="18"/>
      <c r="D545" s="18"/>
      <c r="E545" s="18"/>
      <c r="F545" s="18"/>
      <c r="G545" s="18"/>
      <c r="H545" s="22"/>
      <c r="I545" s="3" t="s">
        <v>20</v>
      </c>
      <c r="J545" s="8">
        <v>51</v>
      </c>
      <c r="K545" s="6">
        <v>45</v>
      </c>
      <c r="L545" s="8">
        <v>65.400000000000006</v>
      </c>
      <c r="M545" s="7">
        <v>39</v>
      </c>
      <c r="N545" s="6">
        <v>46.5</v>
      </c>
      <c r="O545" s="8">
        <v>63.7</v>
      </c>
    </row>
    <row r="546" spans="1:15" ht="15" thickBot="1" x14ac:dyDescent="0.4">
      <c r="A546" t="str">
        <f t="shared" si="277"/>
        <v>19FE</v>
      </c>
      <c r="B546" t="str">
        <f t="shared" si="279"/>
        <v>CPAC North</v>
      </c>
      <c r="C546" s="18"/>
      <c r="D546" s="18"/>
      <c r="E546" s="18"/>
      <c r="F546" s="18"/>
      <c r="G546" s="18"/>
      <c r="H546" s="22"/>
      <c r="I546" s="5" t="s">
        <v>21</v>
      </c>
      <c r="J546" s="8">
        <v>0.3</v>
      </c>
      <c r="K546" s="8">
        <v>-0.15</v>
      </c>
      <c r="L546" s="8">
        <v>0.1</v>
      </c>
      <c r="M546" s="10">
        <v>1.1100000000000001</v>
      </c>
      <c r="N546" s="9">
        <v>0.67</v>
      </c>
      <c r="O546" s="8">
        <v>0.26</v>
      </c>
    </row>
    <row r="547" spans="1:15" ht="15" thickBot="1" x14ac:dyDescent="0.4">
      <c r="A547" t="str">
        <f t="shared" si="278"/>
        <v>19FE</v>
      </c>
      <c r="B547" t="str">
        <f t="shared" si="279"/>
        <v>CPAC North</v>
      </c>
      <c r="C547" s="19"/>
      <c r="D547" s="19"/>
      <c r="E547" s="19"/>
      <c r="F547" s="19"/>
      <c r="G547" s="19"/>
      <c r="H547" s="23"/>
      <c r="I547" s="3" t="s">
        <v>22</v>
      </c>
      <c r="J547" s="11"/>
      <c r="K547" s="8" t="s">
        <v>23</v>
      </c>
      <c r="L547" s="8" t="s">
        <v>23</v>
      </c>
      <c r="M547" s="10" t="s">
        <v>24</v>
      </c>
      <c r="N547" s="11"/>
      <c r="O547" s="8" t="s">
        <v>23</v>
      </c>
    </row>
    <row r="548" spans="1:15" ht="15" thickBot="1" x14ac:dyDescent="0.4">
      <c r="B548" t="str">
        <f t="shared" si="279"/>
        <v>CPAC North</v>
      </c>
      <c r="C548" s="16"/>
      <c r="D548" s="16"/>
      <c r="E548" s="16"/>
      <c r="F548" s="16"/>
      <c r="G548" s="16" t="s">
        <v>156</v>
      </c>
      <c r="H548" s="20" t="s">
        <v>17</v>
      </c>
      <c r="I548" s="1"/>
      <c r="J548" s="1"/>
      <c r="K548" s="1"/>
      <c r="L548" s="1"/>
      <c r="M548" s="1"/>
      <c r="N548" s="1"/>
      <c r="O548" s="1"/>
    </row>
    <row r="549" spans="1:15" ht="15" thickBot="1" x14ac:dyDescent="0.4">
      <c r="A549" t="str">
        <f t="shared" si="273"/>
        <v>FC360</v>
      </c>
      <c r="B549" t="str">
        <f t="shared" si="279"/>
        <v>CPAC North</v>
      </c>
      <c r="C549" s="18"/>
      <c r="D549" s="18"/>
      <c r="E549" s="18"/>
      <c r="F549" s="18"/>
      <c r="G549" s="18"/>
      <c r="H549" s="22"/>
      <c r="I549" s="3" t="s">
        <v>18</v>
      </c>
      <c r="J549" s="4">
        <v>37</v>
      </c>
      <c r="K549" s="4">
        <v>34</v>
      </c>
      <c r="L549" s="4">
        <v>38</v>
      </c>
      <c r="M549" s="4">
        <v>30</v>
      </c>
      <c r="N549" s="8">
        <v>28</v>
      </c>
      <c r="O549" s="4">
        <v>37</v>
      </c>
    </row>
    <row r="550" spans="1:15" ht="15" thickBot="1" x14ac:dyDescent="0.4">
      <c r="A550" t="str">
        <f t="shared" si="275"/>
        <v>FC360</v>
      </c>
      <c r="B550" t="str">
        <f t="shared" si="279"/>
        <v>CPAC North</v>
      </c>
      <c r="C550" s="18"/>
      <c r="D550" s="18"/>
      <c r="E550" s="18"/>
      <c r="F550" s="18"/>
      <c r="G550" s="18"/>
      <c r="H550" s="22"/>
      <c r="I550" s="5" t="s">
        <v>19</v>
      </c>
      <c r="J550" s="9">
        <v>92</v>
      </c>
      <c r="K550" s="6">
        <v>66</v>
      </c>
      <c r="L550" s="6">
        <v>62</v>
      </c>
      <c r="M550" s="6">
        <v>52</v>
      </c>
      <c r="N550" s="6">
        <v>53</v>
      </c>
      <c r="O550" s="6">
        <v>62</v>
      </c>
    </row>
    <row r="551" spans="1:15" ht="15" thickBot="1" x14ac:dyDescent="0.4">
      <c r="A551" t="str">
        <f t="shared" si="276"/>
        <v>FC360</v>
      </c>
      <c r="B551" t="str">
        <f t="shared" si="279"/>
        <v>CPAC North</v>
      </c>
      <c r="C551" s="18"/>
      <c r="D551" s="18"/>
      <c r="E551" s="18"/>
      <c r="F551" s="18"/>
      <c r="G551" s="18"/>
      <c r="H551" s="22"/>
      <c r="I551" s="3" t="s">
        <v>20</v>
      </c>
      <c r="J551" s="6">
        <v>42</v>
      </c>
      <c r="K551" s="9">
        <v>33.4</v>
      </c>
      <c r="L551" s="9">
        <v>29.3</v>
      </c>
      <c r="M551" s="10">
        <v>17.7</v>
      </c>
      <c r="N551" s="7">
        <v>38.799999999999997</v>
      </c>
      <c r="O551" s="10">
        <v>25.3</v>
      </c>
    </row>
    <row r="552" spans="1:15" ht="15" thickBot="1" x14ac:dyDescent="0.4">
      <c r="A552" t="str">
        <f t="shared" si="277"/>
        <v>FC360</v>
      </c>
      <c r="B552" t="str">
        <f t="shared" si="279"/>
        <v>CPAC North</v>
      </c>
      <c r="C552" s="18"/>
      <c r="D552" s="18"/>
      <c r="E552" s="18"/>
      <c r="F552" s="18"/>
      <c r="G552" s="18"/>
      <c r="H552" s="22"/>
      <c r="I552" s="5" t="s">
        <v>21</v>
      </c>
      <c r="J552" s="9">
        <v>0.73</v>
      </c>
      <c r="K552" s="9">
        <v>0.66</v>
      </c>
      <c r="L552" s="9">
        <v>0.7</v>
      </c>
      <c r="M552" s="10">
        <v>0.97</v>
      </c>
      <c r="N552" s="8">
        <v>0.46</v>
      </c>
      <c r="O552" s="10">
        <v>0.81</v>
      </c>
    </row>
    <row r="553" spans="1:15" ht="15" thickBot="1" x14ac:dyDescent="0.4">
      <c r="A553" t="str">
        <f t="shared" si="278"/>
        <v>FC360</v>
      </c>
      <c r="B553" t="str">
        <f t="shared" si="279"/>
        <v>CPAC North</v>
      </c>
      <c r="C553" s="19"/>
      <c r="D553" s="19"/>
      <c r="E553" s="19"/>
      <c r="F553" s="19"/>
      <c r="G553" s="19"/>
      <c r="H553" s="23"/>
      <c r="I553" s="3" t="s">
        <v>22</v>
      </c>
      <c r="J553" s="10" t="s">
        <v>24</v>
      </c>
      <c r="K553" s="9" t="s">
        <v>25</v>
      </c>
      <c r="L553" s="9" t="s">
        <v>25</v>
      </c>
      <c r="M553" s="11"/>
      <c r="N553" s="8" t="s">
        <v>23</v>
      </c>
      <c r="O553" s="11"/>
    </row>
    <row r="554" spans="1:15" ht="15" thickBot="1" x14ac:dyDescent="0.4">
      <c r="B554" t="str">
        <f t="shared" si="279"/>
        <v>CPAC North</v>
      </c>
      <c r="C554" s="16"/>
      <c r="D554" s="16"/>
      <c r="E554" s="16"/>
      <c r="F554" s="16"/>
      <c r="G554" s="16" t="s">
        <v>157</v>
      </c>
      <c r="H554" s="20" t="s">
        <v>17</v>
      </c>
      <c r="I554" s="1"/>
      <c r="J554" s="1"/>
      <c r="K554" s="1"/>
      <c r="L554" s="1"/>
      <c r="M554" s="1"/>
      <c r="N554" s="1"/>
      <c r="O554" s="1"/>
    </row>
    <row r="555" spans="1:15" ht="15" thickBot="1" x14ac:dyDescent="0.4">
      <c r="A555" t="str">
        <f t="shared" si="273"/>
        <v>FC306</v>
      </c>
      <c r="B555" t="str">
        <f t="shared" si="279"/>
        <v>CPAC North</v>
      </c>
      <c r="C555" s="18"/>
      <c r="D555" s="18"/>
      <c r="E555" s="18"/>
      <c r="F555" s="18"/>
      <c r="G555" s="18"/>
      <c r="H555" s="22"/>
      <c r="I555" s="3" t="s">
        <v>18</v>
      </c>
      <c r="J555" s="8">
        <v>16</v>
      </c>
      <c r="K555" s="4">
        <v>31</v>
      </c>
      <c r="L555" s="11"/>
      <c r="M555" s="11"/>
      <c r="N555" s="4">
        <v>37</v>
      </c>
      <c r="O555" s="4">
        <v>32</v>
      </c>
    </row>
    <row r="556" spans="1:15" ht="15" thickBot="1" x14ac:dyDescent="0.4">
      <c r="A556" t="str">
        <f t="shared" si="275"/>
        <v>FC306</v>
      </c>
      <c r="B556" t="str">
        <f t="shared" si="279"/>
        <v>CPAC North</v>
      </c>
      <c r="C556" s="18"/>
      <c r="D556" s="18"/>
      <c r="E556" s="18"/>
      <c r="F556" s="18"/>
      <c r="G556" s="18"/>
      <c r="H556" s="22"/>
      <c r="I556" s="5" t="s">
        <v>19</v>
      </c>
      <c r="J556" s="7">
        <v>77</v>
      </c>
      <c r="K556" s="7">
        <v>88</v>
      </c>
      <c r="L556" s="11"/>
      <c r="M556" s="11"/>
      <c r="N556" s="8">
        <v>39</v>
      </c>
      <c r="O556" s="6">
        <v>67</v>
      </c>
    </row>
    <row r="557" spans="1:15" ht="15" thickBot="1" x14ac:dyDescent="0.4">
      <c r="A557" t="str">
        <f t="shared" si="276"/>
        <v>FC306</v>
      </c>
      <c r="B557" t="str">
        <f t="shared" si="279"/>
        <v>CPAC North</v>
      </c>
      <c r="C557" s="18"/>
      <c r="D557" s="18"/>
      <c r="E557" s="18"/>
      <c r="F557" s="18"/>
      <c r="G557" s="18"/>
      <c r="H557" s="22"/>
      <c r="I557" s="3" t="s">
        <v>20</v>
      </c>
      <c r="J557" s="7">
        <v>37.700000000000003</v>
      </c>
      <c r="K557" s="10">
        <v>14.8</v>
      </c>
      <c r="L557" s="11"/>
      <c r="M557" s="11"/>
      <c r="N557" s="10">
        <v>28.2</v>
      </c>
      <c r="O557" s="10">
        <v>17.100000000000001</v>
      </c>
    </row>
    <row r="558" spans="1:15" ht="15" thickBot="1" x14ac:dyDescent="0.4">
      <c r="A558" t="str">
        <f t="shared" si="277"/>
        <v>FC306</v>
      </c>
      <c r="B558" t="str">
        <f t="shared" si="279"/>
        <v>CPAC North</v>
      </c>
      <c r="C558" s="18"/>
      <c r="D558" s="18"/>
      <c r="E558" s="18"/>
      <c r="F558" s="18"/>
      <c r="G558" s="18"/>
      <c r="H558" s="22"/>
      <c r="I558" s="5" t="s">
        <v>21</v>
      </c>
      <c r="J558" s="9">
        <v>0.68</v>
      </c>
      <c r="K558" s="10">
        <v>1.99</v>
      </c>
      <c r="L558" s="11"/>
      <c r="M558" s="11"/>
      <c r="N558" s="8">
        <v>0.46</v>
      </c>
      <c r="O558" s="10">
        <v>1.31</v>
      </c>
    </row>
    <row r="559" spans="1:15" ht="15" thickBot="1" x14ac:dyDescent="0.4">
      <c r="A559" t="str">
        <f t="shared" si="278"/>
        <v>FC306</v>
      </c>
      <c r="B559" t="str">
        <f t="shared" si="279"/>
        <v>CPAC North</v>
      </c>
      <c r="C559" s="19"/>
      <c r="D559" s="19"/>
      <c r="E559" s="19"/>
      <c r="F559" s="19"/>
      <c r="G559" s="19"/>
      <c r="H559" s="23"/>
      <c r="I559" s="3" t="s">
        <v>22</v>
      </c>
      <c r="J559" s="9" t="s">
        <v>25</v>
      </c>
      <c r="K559" s="11"/>
      <c r="L559" s="11" t="s">
        <v>27</v>
      </c>
      <c r="M559" s="11" t="s">
        <v>27</v>
      </c>
      <c r="N559" s="11"/>
      <c r="O559" s="11"/>
    </row>
    <row r="560" spans="1:15" ht="15" thickBot="1" x14ac:dyDescent="0.4">
      <c r="B560" t="str">
        <f t="shared" si="279"/>
        <v>CPAC North</v>
      </c>
      <c r="C560" s="16"/>
      <c r="D560" s="16"/>
      <c r="E560" s="16"/>
      <c r="F560" s="16"/>
      <c r="G560" s="16" t="s">
        <v>158</v>
      </c>
      <c r="H560" s="20" t="s">
        <v>17</v>
      </c>
      <c r="I560" s="1"/>
      <c r="J560" s="1"/>
      <c r="K560" s="1"/>
      <c r="L560" s="1"/>
      <c r="M560" s="1"/>
      <c r="N560" s="1"/>
      <c r="O560" s="1"/>
    </row>
    <row r="561" spans="1:15" ht="15" thickBot="1" x14ac:dyDescent="0.4">
      <c r="A561" t="str">
        <f t="shared" si="273"/>
        <v>FC371</v>
      </c>
      <c r="B561" t="str">
        <f t="shared" si="279"/>
        <v>CPAC North</v>
      </c>
      <c r="C561" s="18"/>
      <c r="D561" s="18"/>
      <c r="E561" s="18"/>
      <c r="F561" s="18"/>
      <c r="G561" s="18"/>
      <c r="H561" s="22"/>
      <c r="I561" s="3" t="s">
        <v>18</v>
      </c>
      <c r="J561" s="11"/>
      <c r="K561" s="8">
        <v>16</v>
      </c>
      <c r="L561" s="11"/>
      <c r="M561" s="4">
        <v>37</v>
      </c>
      <c r="N561" s="4">
        <v>37</v>
      </c>
      <c r="O561" s="8">
        <v>21</v>
      </c>
    </row>
    <row r="562" spans="1:15" ht="15" thickBot="1" x14ac:dyDescent="0.4">
      <c r="A562" t="str">
        <f t="shared" si="275"/>
        <v>FC371</v>
      </c>
      <c r="B562" t="str">
        <f t="shared" si="279"/>
        <v>CPAC North</v>
      </c>
      <c r="C562" s="18"/>
      <c r="D562" s="18"/>
      <c r="E562" s="18"/>
      <c r="F562" s="18"/>
      <c r="G562" s="18"/>
      <c r="H562" s="22"/>
      <c r="I562" s="5" t="s">
        <v>19</v>
      </c>
      <c r="J562" s="11"/>
      <c r="K562" s="6">
        <v>65</v>
      </c>
      <c r="L562" s="11"/>
      <c r="M562" s="6">
        <v>51</v>
      </c>
      <c r="N562" s="8">
        <v>48</v>
      </c>
      <c r="O562" s="8">
        <v>17</v>
      </c>
    </row>
    <row r="563" spans="1:15" ht="15" thickBot="1" x14ac:dyDescent="0.4">
      <c r="A563" t="str">
        <f t="shared" si="276"/>
        <v>FC371</v>
      </c>
      <c r="B563" t="str">
        <f t="shared" si="279"/>
        <v>CPAC North</v>
      </c>
      <c r="C563" s="18"/>
      <c r="D563" s="18"/>
      <c r="E563" s="18"/>
      <c r="F563" s="18"/>
      <c r="G563" s="18"/>
      <c r="H563" s="22"/>
      <c r="I563" s="3" t="s">
        <v>20</v>
      </c>
      <c r="J563" s="11"/>
      <c r="K563" s="8">
        <v>74.7</v>
      </c>
      <c r="L563" s="11"/>
      <c r="M563" s="7">
        <v>38.5</v>
      </c>
      <c r="N563" s="6">
        <v>45.4</v>
      </c>
      <c r="O563" s="8">
        <v>50.4</v>
      </c>
    </row>
    <row r="564" spans="1:15" ht="15" thickBot="1" x14ac:dyDescent="0.4">
      <c r="A564" t="str">
        <f t="shared" si="277"/>
        <v>FC371</v>
      </c>
      <c r="B564" t="str">
        <f t="shared" si="279"/>
        <v>CPAC North</v>
      </c>
      <c r="C564" s="18"/>
      <c r="D564" s="18"/>
      <c r="E564" s="18"/>
      <c r="F564" s="18"/>
      <c r="G564" s="18"/>
      <c r="H564" s="22"/>
      <c r="I564" s="5" t="s">
        <v>21</v>
      </c>
      <c r="J564" s="11"/>
      <c r="K564" s="8">
        <v>0.28999999999999998</v>
      </c>
      <c r="L564" s="11"/>
      <c r="M564" s="8">
        <v>0.44</v>
      </c>
      <c r="N564" s="8">
        <v>0.35</v>
      </c>
      <c r="O564" s="8">
        <v>0.11</v>
      </c>
    </row>
    <row r="565" spans="1:15" ht="15" thickBot="1" x14ac:dyDescent="0.4">
      <c r="A565" t="str">
        <f t="shared" si="278"/>
        <v>FC371</v>
      </c>
      <c r="B565" t="str">
        <f t="shared" si="279"/>
        <v>CPAC North</v>
      </c>
      <c r="C565" s="19"/>
      <c r="D565" s="19"/>
      <c r="E565" s="19"/>
      <c r="F565" s="19"/>
      <c r="G565" s="19"/>
      <c r="H565" s="23"/>
      <c r="I565" s="3" t="s">
        <v>22</v>
      </c>
      <c r="J565" s="11" t="s">
        <v>31</v>
      </c>
      <c r="K565" s="8" t="s">
        <v>23</v>
      </c>
      <c r="L565" s="11" t="s">
        <v>27</v>
      </c>
      <c r="M565" s="8" t="s">
        <v>23</v>
      </c>
      <c r="N565" s="8" t="s">
        <v>23</v>
      </c>
      <c r="O565" s="8" t="s">
        <v>23</v>
      </c>
    </row>
    <row r="566" spans="1:15" ht="15" thickBot="1" x14ac:dyDescent="0.4">
      <c r="B566" t="str">
        <f t="shared" si="279"/>
        <v>CPAC North</v>
      </c>
      <c r="C566" s="16"/>
      <c r="D566" s="16"/>
      <c r="E566" s="16"/>
      <c r="F566" s="16" t="s">
        <v>159</v>
      </c>
      <c r="G566" s="16" t="s">
        <v>160</v>
      </c>
      <c r="H566" s="24" t="s">
        <v>30</v>
      </c>
      <c r="I566" s="1"/>
      <c r="J566" s="1"/>
      <c r="K566" s="1"/>
      <c r="L566" s="1"/>
      <c r="M566" s="1"/>
      <c r="N566" s="1"/>
      <c r="O566" s="1"/>
    </row>
    <row r="567" spans="1:15" ht="15" thickBot="1" x14ac:dyDescent="0.4">
      <c r="A567" t="str">
        <f t="shared" si="273"/>
        <v>19FH</v>
      </c>
      <c r="B567" t="str">
        <f t="shared" si="279"/>
        <v>CPAC North</v>
      </c>
      <c r="C567" s="18"/>
      <c r="D567" s="18"/>
      <c r="E567" s="18"/>
      <c r="F567" s="18"/>
      <c r="G567" s="18"/>
      <c r="H567" s="25"/>
      <c r="I567" s="3" t="s">
        <v>18</v>
      </c>
      <c r="J567" s="11"/>
      <c r="K567" s="11"/>
      <c r="L567" s="11"/>
      <c r="M567" s="11"/>
      <c r="N567" s="11"/>
      <c r="O567" s="11"/>
    </row>
    <row r="568" spans="1:15" ht="15" thickBot="1" x14ac:dyDescent="0.4">
      <c r="A568" t="str">
        <f t="shared" si="275"/>
        <v>19FH</v>
      </c>
      <c r="B568" t="str">
        <f t="shared" si="279"/>
        <v>CPAC North</v>
      </c>
      <c r="C568" s="18"/>
      <c r="D568" s="18"/>
      <c r="E568" s="18"/>
      <c r="F568" s="18"/>
      <c r="G568" s="18"/>
      <c r="H568" s="25"/>
      <c r="I568" s="5" t="s">
        <v>19</v>
      </c>
      <c r="J568" s="11"/>
      <c r="K568" s="11"/>
      <c r="L568" s="11"/>
      <c r="M568" s="11"/>
      <c r="N568" s="11"/>
      <c r="O568" s="11"/>
    </row>
    <row r="569" spans="1:15" ht="15" thickBot="1" x14ac:dyDescent="0.4">
      <c r="A569" t="str">
        <f t="shared" si="276"/>
        <v>19FH</v>
      </c>
      <c r="B569" t="str">
        <f t="shared" si="279"/>
        <v>CPAC North</v>
      </c>
      <c r="C569" s="18"/>
      <c r="D569" s="18"/>
      <c r="E569" s="18"/>
      <c r="F569" s="18"/>
      <c r="G569" s="18"/>
      <c r="H569" s="25"/>
      <c r="I569" s="3" t="s">
        <v>20</v>
      </c>
      <c r="J569" s="11"/>
      <c r="K569" s="11"/>
      <c r="L569" s="11"/>
      <c r="M569" s="11"/>
      <c r="N569" s="11"/>
      <c r="O569" s="11"/>
    </row>
    <row r="570" spans="1:15" ht="15" thickBot="1" x14ac:dyDescent="0.4">
      <c r="A570" t="str">
        <f t="shared" si="277"/>
        <v>19FH</v>
      </c>
      <c r="B570" t="str">
        <f t="shared" si="279"/>
        <v>CPAC North</v>
      </c>
      <c r="C570" s="18"/>
      <c r="D570" s="18"/>
      <c r="E570" s="18"/>
      <c r="F570" s="18"/>
      <c r="G570" s="18"/>
      <c r="H570" s="25"/>
      <c r="I570" s="5" t="s">
        <v>21</v>
      </c>
      <c r="J570" s="11"/>
      <c r="K570" s="11"/>
      <c r="L570" s="11"/>
      <c r="M570" s="11"/>
      <c r="N570" s="11"/>
      <c r="O570" s="11"/>
    </row>
    <row r="571" spans="1:15" ht="15" thickBot="1" x14ac:dyDescent="0.4">
      <c r="A571" t="str">
        <f t="shared" si="278"/>
        <v>19FH</v>
      </c>
      <c r="B571" t="str">
        <f t="shared" si="279"/>
        <v>CPAC North</v>
      </c>
      <c r="C571" s="19"/>
      <c r="D571" s="19"/>
      <c r="E571" s="19"/>
      <c r="F571" s="19"/>
      <c r="G571" s="19"/>
      <c r="H571" s="26"/>
      <c r="I571" s="3" t="s">
        <v>22</v>
      </c>
      <c r="J571" s="11" t="s">
        <v>46</v>
      </c>
      <c r="K571" s="11" t="s">
        <v>46</v>
      </c>
      <c r="L571" s="11" t="s">
        <v>46</v>
      </c>
      <c r="M571" s="11" t="s">
        <v>46</v>
      </c>
      <c r="N571" s="11" t="s">
        <v>46</v>
      </c>
      <c r="O571" s="11" t="s">
        <v>46</v>
      </c>
    </row>
    <row r="572" spans="1:15" ht="15" thickBot="1" x14ac:dyDescent="0.4">
      <c r="B572" t="str">
        <f t="shared" si="279"/>
        <v>CPAC North</v>
      </c>
      <c r="C572" s="16"/>
      <c r="D572" s="16"/>
      <c r="E572" s="16"/>
      <c r="F572" s="16"/>
      <c r="G572" s="16" t="s">
        <v>161</v>
      </c>
      <c r="H572" s="20" t="s">
        <v>17</v>
      </c>
      <c r="I572" s="1"/>
      <c r="J572" s="1"/>
      <c r="K572" s="1"/>
      <c r="L572" s="1"/>
      <c r="M572" s="1"/>
      <c r="N572" s="1"/>
      <c r="O572" s="1"/>
    </row>
    <row r="573" spans="1:15" ht="15" thickBot="1" x14ac:dyDescent="0.4">
      <c r="A573" t="str">
        <f t="shared" ref="A573:A636" si="280">IF(LEFT(G572,2)="FC",LEFT(G572,5),LEFT(G572,4))</f>
        <v>FC280</v>
      </c>
      <c r="B573" t="str">
        <f t="shared" si="279"/>
        <v>CPAC North</v>
      </c>
      <c r="C573" s="18"/>
      <c r="D573" s="18"/>
      <c r="E573" s="18"/>
      <c r="F573" s="18"/>
      <c r="G573" s="18"/>
      <c r="H573" s="22"/>
      <c r="I573" s="3" t="s">
        <v>18</v>
      </c>
      <c r="J573" s="8">
        <v>15</v>
      </c>
      <c r="K573" s="4">
        <v>32</v>
      </c>
      <c r="L573" s="11"/>
      <c r="M573" s="11"/>
      <c r="N573" s="4">
        <v>30</v>
      </c>
      <c r="O573" s="4">
        <v>36</v>
      </c>
    </row>
    <row r="574" spans="1:15" ht="15" thickBot="1" x14ac:dyDescent="0.4">
      <c r="A574" t="str">
        <f t="shared" si="275"/>
        <v>FC280</v>
      </c>
      <c r="B574" t="str">
        <f t="shared" si="279"/>
        <v>CPAC North</v>
      </c>
      <c r="C574" s="18"/>
      <c r="D574" s="18"/>
      <c r="E574" s="18"/>
      <c r="F574" s="18"/>
      <c r="G574" s="18"/>
      <c r="H574" s="22"/>
      <c r="I574" s="5" t="s">
        <v>19</v>
      </c>
      <c r="J574" s="9">
        <v>96</v>
      </c>
      <c r="K574" s="9">
        <v>117</v>
      </c>
      <c r="L574" s="11"/>
      <c r="M574" s="11"/>
      <c r="N574" s="9">
        <v>98</v>
      </c>
      <c r="O574" s="7">
        <v>88</v>
      </c>
    </row>
    <row r="575" spans="1:15" ht="15" thickBot="1" x14ac:dyDescent="0.4">
      <c r="A575" t="str">
        <f t="shared" si="276"/>
        <v>FC280</v>
      </c>
      <c r="B575" t="str">
        <f t="shared" si="279"/>
        <v>CPAC North</v>
      </c>
      <c r="C575" s="18"/>
      <c r="D575" s="18"/>
      <c r="E575" s="18"/>
      <c r="F575" s="18"/>
      <c r="G575" s="18"/>
      <c r="H575" s="22"/>
      <c r="I575" s="3" t="s">
        <v>20</v>
      </c>
      <c r="J575" s="8">
        <v>61.4</v>
      </c>
      <c r="K575" s="8">
        <v>51.9</v>
      </c>
      <c r="L575" s="11"/>
      <c r="M575" s="11"/>
      <c r="N575" s="10">
        <v>2.2000000000000002</v>
      </c>
      <c r="O575" s="10">
        <v>13.8</v>
      </c>
    </row>
    <row r="576" spans="1:15" ht="15" thickBot="1" x14ac:dyDescent="0.4">
      <c r="A576" t="str">
        <f t="shared" si="277"/>
        <v>FC280</v>
      </c>
      <c r="B576" t="str">
        <f t="shared" si="279"/>
        <v>CPAC North</v>
      </c>
      <c r="C576" s="18"/>
      <c r="D576" s="18"/>
      <c r="E576" s="18"/>
      <c r="F576" s="18"/>
      <c r="G576" s="18"/>
      <c r="H576" s="22"/>
      <c r="I576" s="5" t="s">
        <v>21</v>
      </c>
      <c r="J576" s="8">
        <v>0.52</v>
      </c>
      <c r="K576" s="9">
        <v>0.75</v>
      </c>
      <c r="L576" s="11"/>
      <c r="M576" s="11"/>
      <c r="N576" s="10">
        <v>15.1</v>
      </c>
      <c r="O576" s="10">
        <v>2.12</v>
      </c>
    </row>
    <row r="577" spans="1:15" ht="15" thickBot="1" x14ac:dyDescent="0.4">
      <c r="A577" t="str">
        <f t="shared" si="278"/>
        <v>FC280</v>
      </c>
      <c r="B577" t="str">
        <f t="shared" si="279"/>
        <v>CPAC North</v>
      </c>
      <c r="C577" s="19"/>
      <c r="D577" s="19"/>
      <c r="E577" s="19"/>
      <c r="F577" s="19"/>
      <c r="G577" s="19"/>
      <c r="H577" s="23"/>
      <c r="I577" s="3" t="s">
        <v>22</v>
      </c>
      <c r="J577" s="8" t="s">
        <v>23</v>
      </c>
      <c r="K577" s="11"/>
      <c r="L577" s="11" t="s">
        <v>27</v>
      </c>
      <c r="M577" s="11" t="s">
        <v>27</v>
      </c>
      <c r="N577" s="11"/>
      <c r="O577" s="10" t="s">
        <v>24</v>
      </c>
    </row>
    <row r="578" spans="1:15" ht="15" thickBot="1" x14ac:dyDescent="0.4">
      <c r="B578" t="str">
        <f t="shared" si="279"/>
        <v>CPAC North</v>
      </c>
      <c r="C578" s="16"/>
      <c r="D578" s="16"/>
      <c r="E578" s="16"/>
      <c r="F578" s="16"/>
      <c r="G578" s="16" t="s">
        <v>162</v>
      </c>
      <c r="H578" s="27" t="s">
        <v>34</v>
      </c>
      <c r="I578" s="1"/>
      <c r="J578" s="1"/>
      <c r="K578" s="1"/>
      <c r="L578" s="1"/>
      <c r="M578" s="1"/>
      <c r="N578" s="1"/>
      <c r="O578" s="1"/>
    </row>
    <row r="579" spans="1:15" ht="15" thickBot="1" x14ac:dyDescent="0.4">
      <c r="A579" t="str">
        <f t="shared" si="280"/>
        <v>FC372</v>
      </c>
      <c r="B579" t="str">
        <f t="shared" si="279"/>
        <v>CPAC North</v>
      </c>
      <c r="C579" s="18"/>
      <c r="D579" s="18"/>
      <c r="E579" s="18"/>
      <c r="F579" s="18"/>
      <c r="G579" s="18"/>
      <c r="H579" s="28"/>
      <c r="I579" s="3" t="s">
        <v>18</v>
      </c>
      <c r="J579" s="4">
        <v>42</v>
      </c>
      <c r="K579" s="4">
        <v>35</v>
      </c>
      <c r="L579" s="4">
        <v>32</v>
      </c>
      <c r="M579" s="4">
        <v>32</v>
      </c>
      <c r="N579" s="4">
        <v>32</v>
      </c>
      <c r="O579" s="4">
        <v>32</v>
      </c>
    </row>
    <row r="580" spans="1:15" ht="15" thickBot="1" x14ac:dyDescent="0.4">
      <c r="A580" t="str">
        <f t="shared" ref="A580:A640" si="281">IF(LEFT(G578,2)="FC",LEFT(G578,5),LEFT(G578,4))</f>
        <v>FC372</v>
      </c>
      <c r="B580" t="str">
        <f t="shared" si="279"/>
        <v>CPAC North</v>
      </c>
      <c r="C580" s="18"/>
      <c r="D580" s="18"/>
      <c r="E580" s="18"/>
      <c r="F580" s="18"/>
      <c r="G580" s="18"/>
      <c r="H580" s="28"/>
      <c r="I580" s="5" t="s">
        <v>19</v>
      </c>
      <c r="J580" s="8">
        <v>39</v>
      </c>
      <c r="K580" s="9">
        <v>108</v>
      </c>
      <c r="L580" s="9">
        <v>146</v>
      </c>
      <c r="M580" s="7">
        <v>90</v>
      </c>
      <c r="N580" s="9">
        <v>120</v>
      </c>
      <c r="O580" s="9">
        <v>114</v>
      </c>
    </row>
    <row r="581" spans="1:15" ht="15" thickBot="1" x14ac:dyDescent="0.4">
      <c r="A581" t="str">
        <f t="shared" ref="A581:A641" si="282">IF(LEFT(G578,2)="FC",LEFT(G578,5),LEFT(G578,4))</f>
        <v>FC372</v>
      </c>
      <c r="B581" t="str">
        <f t="shared" si="279"/>
        <v>CPAC North</v>
      </c>
      <c r="C581" s="18"/>
      <c r="D581" s="18"/>
      <c r="E581" s="18"/>
      <c r="F581" s="18"/>
      <c r="G581" s="18"/>
      <c r="H581" s="28"/>
      <c r="I581" s="3" t="s">
        <v>20</v>
      </c>
      <c r="J581" s="10">
        <v>16.7</v>
      </c>
      <c r="K581" s="7">
        <v>38.200000000000003</v>
      </c>
      <c r="L581" s="10">
        <v>26.9</v>
      </c>
      <c r="M581" s="6">
        <v>47.3</v>
      </c>
      <c r="N581" s="9">
        <v>31.9</v>
      </c>
      <c r="O581" s="6">
        <v>47.1</v>
      </c>
    </row>
    <row r="582" spans="1:15" ht="15" thickBot="1" x14ac:dyDescent="0.4">
      <c r="A582" t="str">
        <f t="shared" ref="A582:A642" si="283">IF(LEFT(G578,2)="FC",LEFT(G578,5),LEFT(G578,4))</f>
        <v>FC372</v>
      </c>
      <c r="B582" t="str">
        <f t="shared" si="279"/>
        <v>CPAC North</v>
      </c>
      <c r="C582" s="18"/>
      <c r="D582" s="18"/>
      <c r="E582" s="18"/>
      <c r="F582" s="18"/>
      <c r="G582" s="18"/>
      <c r="H582" s="28"/>
      <c r="I582" s="5" t="s">
        <v>21</v>
      </c>
      <c r="J582" s="9">
        <v>0.78</v>
      </c>
      <c r="K582" s="10">
        <v>0.94</v>
      </c>
      <c r="L582" s="10">
        <v>1.81</v>
      </c>
      <c r="M582" s="9">
        <v>0.63</v>
      </c>
      <c r="N582" s="10">
        <v>1.25</v>
      </c>
      <c r="O582" s="10">
        <v>0.81</v>
      </c>
    </row>
    <row r="583" spans="1:15" ht="15" thickBot="1" x14ac:dyDescent="0.4">
      <c r="A583" t="str">
        <f t="shared" ref="A583:A643" si="284">IF(LEFT(G578,2)="FC",LEFT(G578,5),LEFT(G578,4))</f>
        <v>FC372</v>
      </c>
      <c r="B583" t="str">
        <f t="shared" ref="B583:B646" si="285">$D$518</f>
        <v>CPAC North</v>
      </c>
      <c r="C583" s="19"/>
      <c r="D583" s="19"/>
      <c r="E583" s="19"/>
      <c r="F583" s="19"/>
      <c r="G583" s="19"/>
      <c r="H583" s="29"/>
      <c r="I583" s="3" t="s">
        <v>22</v>
      </c>
      <c r="J583" s="9" t="s">
        <v>25</v>
      </c>
      <c r="K583" s="10" t="s">
        <v>24</v>
      </c>
      <c r="L583" s="10" t="s">
        <v>24</v>
      </c>
      <c r="M583" s="9" t="s">
        <v>25</v>
      </c>
      <c r="N583" s="11"/>
      <c r="O583" s="10" t="s">
        <v>24</v>
      </c>
    </row>
    <row r="584" spans="1:15" ht="15" thickBot="1" x14ac:dyDescent="0.4">
      <c r="B584" t="str">
        <f t="shared" si="285"/>
        <v>CPAC North</v>
      </c>
      <c r="C584" s="16"/>
      <c r="D584" s="16"/>
      <c r="E584" s="16"/>
      <c r="F584" s="16"/>
      <c r="G584" s="16" t="s">
        <v>163</v>
      </c>
      <c r="H584" s="27" t="s">
        <v>34</v>
      </c>
      <c r="I584" s="1"/>
      <c r="J584" s="1"/>
      <c r="K584" s="1"/>
      <c r="L584" s="1"/>
      <c r="M584" s="1"/>
      <c r="N584" s="1"/>
      <c r="O584" s="1"/>
    </row>
    <row r="585" spans="1:15" ht="15" thickBot="1" x14ac:dyDescent="0.4">
      <c r="A585" t="str">
        <f t="shared" si="280"/>
        <v>FC194</v>
      </c>
      <c r="B585" t="str">
        <f t="shared" si="285"/>
        <v>CPAC North</v>
      </c>
      <c r="C585" s="18"/>
      <c r="D585" s="18"/>
      <c r="E585" s="18"/>
      <c r="F585" s="18"/>
      <c r="G585" s="18"/>
      <c r="H585" s="28"/>
      <c r="I585" s="3" t="s">
        <v>18</v>
      </c>
      <c r="J585" s="4">
        <v>30</v>
      </c>
      <c r="K585" s="8">
        <v>21</v>
      </c>
      <c r="L585" s="4">
        <v>36</v>
      </c>
      <c r="M585" s="4">
        <v>30</v>
      </c>
      <c r="N585" s="4">
        <v>30</v>
      </c>
      <c r="O585" s="4">
        <v>30</v>
      </c>
    </row>
    <row r="586" spans="1:15" ht="15" thickBot="1" x14ac:dyDescent="0.4">
      <c r="A586" t="str">
        <f t="shared" si="281"/>
        <v>FC194</v>
      </c>
      <c r="B586" t="str">
        <f t="shared" si="285"/>
        <v>CPAC North</v>
      </c>
      <c r="C586" s="18"/>
      <c r="D586" s="18"/>
      <c r="E586" s="18"/>
      <c r="F586" s="18"/>
      <c r="G586" s="18"/>
      <c r="H586" s="28"/>
      <c r="I586" s="5" t="s">
        <v>19</v>
      </c>
      <c r="J586" s="6">
        <v>66</v>
      </c>
      <c r="K586" s="7">
        <v>79</v>
      </c>
      <c r="L586" s="6">
        <v>66</v>
      </c>
      <c r="M586" s="6">
        <v>68</v>
      </c>
      <c r="N586" s="6">
        <v>64</v>
      </c>
      <c r="O586" s="6">
        <v>69</v>
      </c>
    </row>
    <row r="587" spans="1:15" ht="15" thickBot="1" x14ac:dyDescent="0.4">
      <c r="A587" t="str">
        <f t="shared" si="282"/>
        <v>FC194</v>
      </c>
      <c r="B587" t="str">
        <f t="shared" si="285"/>
        <v>CPAC North</v>
      </c>
      <c r="C587" s="18"/>
      <c r="D587" s="18"/>
      <c r="E587" s="18"/>
      <c r="F587" s="18"/>
      <c r="G587" s="18"/>
      <c r="H587" s="28"/>
      <c r="I587" s="3" t="s">
        <v>20</v>
      </c>
      <c r="J587" s="10">
        <v>21.8</v>
      </c>
      <c r="K587" s="10">
        <v>25</v>
      </c>
      <c r="L587" s="10">
        <v>15.5</v>
      </c>
      <c r="M587" s="10">
        <v>11.4</v>
      </c>
      <c r="N587" s="10">
        <v>13.3</v>
      </c>
      <c r="O587" s="10">
        <v>10.7</v>
      </c>
    </row>
    <row r="588" spans="1:15" ht="15" thickBot="1" x14ac:dyDescent="0.4">
      <c r="A588" t="str">
        <f t="shared" si="283"/>
        <v>FC194</v>
      </c>
      <c r="B588" t="str">
        <f t="shared" si="285"/>
        <v>CPAC North</v>
      </c>
      <c r="C588" s="18"/>
      <c r="D588" s="18"/>
      <c r="E588" s="18"/>
      <c r="F588" s="18"/>
      <c r="G588" s="18"/>
      <c r="H588" s="28"/>
      <c r="I588" s="5" t="s">
        <v>21</v>
      </c>
      <c r="J588" s="10">
        <v>1.02</v>
      </c>
      <c r="K588" s="10">
        <v>1.05</v>
      </c>
      <c r="L588" s="10">
        <v>1.43</v>
      </c>
      <c r="M588" s="10">
        <v>2</v>
      </c>
      <c r="N588" s="10">
        <v>1.6</v>
      </c>
      <c r="O588" s="10">
        <v>2.16</v>
      </c>
    </row>
    <row r="589" spans="1:15" ht="15" thickBot="1" x14ac:dyDescent="0.4">
      <c r="A589" t="str">
        <f t="shared" si="284"/>
        <v>FC194</v>
      </c>
      <c r="B589" t="str">
        <f t="shared" si="285"/>
        <v>CPAC North</v>
      </c>
      <c r="C589" s="19"/>
      <c r="D589" s="19"/>
      <c r="E589" s="19"/>
      <c r="F589" s="19"/>
      <c r="G589" s="19"/>
      <c r="H589" s="29"/>
      <c r="I589" s="3" t="s">
        <v>22</v>
      </c>
      <c r="J589" s="11"/>
      <c r="K589" s="10" t="s">
        <v>24</v>
      </c>
      <c r="L589" s="11"/>
      <c r="M589" s="11"/>
      <c r="N589" s="11"/>
      <c r="O589" s="11"/>
    </row>
    <row r="590" spans="1:15" ht="15" thickBot="1" x14ac:dyDescent="0.4">
      <c r="B590" t="str">
        <f t="shared" si="285"/>
        <v>CPAC North</v>
      </c>
      <c r="C590" s="16"/>
      <c r="D590" s="16"/>
      <c r="E590" s="16"/>
      <c r="F590" s="16"/>
      <c r="G590" s="16" t="s">
        <v>164</v>
      </c>
      <c r="H590" s="27" t="s">
        <v>34</v>
      </c>
      <c r="I590" s="1"/>
      <c r="J590" s="1"/>
      <c r="K590" s="1"/>
      <c r="L590" s="1"/>
      <c r="M590" s="1"/>
      <c r="N590" s="1"/>
      <c r="O590" s="1"/>
    </row>
    <row r="591" spans="1:15" ht="15" thickBot="1" x14ac:dyDescent="0.4">
      <c r="A591" t="str">
        <f t="shared" si="280"/>
        <v>FC174</v>
      </c>
      <c r="B591" t="str">
        <f t="shared" si="285"/>
        <v>CPAC North</v>
      </c>
      <c r="C591" s="18"/>
      <c r="D591" s="18"/>
      <c r="E591" s="18"/>
      <c r="F591" s="18"/>
      <c r="G591" s="18"/>
      <c r="H591" s="28"/>
      <c r="I591" s="3" t="s">
        <v>18</v>
      </c>
      <c r="J591" s="4">
        <v>48</v>
      </c>
      <c r="K591" s="4">
        <v>39</v>
      </c>
      <c r="L591" s="4">
        <v>42</v>
      </c>
      <c r="M591" s="4">
        <v>39</v>
      </c>
      <c r="N591" s="4">
        <v>30</v>
      </c>
      <c r="O591" s="4">
        <v>30</v>
      </c>
    </row>
    <row r="592" spans="1:15" ht="15" thickBot="1" x14ac:dyDescent="0.4">
      <c r="A592" t="str">
        <f t="shared" si="281"/>
        <v>FC174</v>
      </c>
      <c r="B592" t="str">
        <f t="shared" si="285"/>
        <v>CPAC North</v>
      </c>
      <c r="C592" s="18"/>
      <c r="D592" s="18"/>
      <c r="E592" s="18"/>
      <c r="F592" s="18"/>
      <c r="G592" s="18"/>
      <c r="H592" s="28"/>
      <c r="I592" s="5" t="s">
        <v>19</v>
      </c>
      <c r="J592" s="6">
        <v>64</v>
      </c>
      <c r="K592" s="6">
        <v>61</v>
      </c>
      <c r="L592" s="8">
        <v>41</v>
      </c>
      <c r="M592" s="8">
        <v>49</v>
      </c>
      <c r="N592" s="6">
        <v>62</v>
      </c>
      <c r="O592" s="8">
        <v>46</v>
      </c>
    </row>
    <row r="593" spans="1:15" ht="15" thickBot="1" x14ac:dyDescent="0.4">
      <c r="A593" t="str">
        <f t="shared" si="282"/>
        <v>FC174</v>
      </c>
      <c r="B593" t="str">
        <f t="shared" si="285"/>
        <v>CPAC North</v>
      </c>
      <c r="C593" s="18"/>
      <c r="D593" s="18"/>
      <c r="E593" s="18"/>
      <c r="F593" s="18"/>
      <c r="G593" s="18"/>
      <c r="H593" s="28"/>
      <c r="I593" s="3" t="s">
        <v>20</v>
      </c>
      <c r="J593" s="9">
        <v>33.200000000000003</v>
      </c>
      <c r="K593" s="10">
        <v>17.8</v>
      </c>
      <c r="L593" s="6">
        <v>47.6</v>
      </c>
      <c r="M593" s="10">
        <v>21.7</v>
      </c>
      <c r="N593" s="7">
        <v>35.5</v>
      </c>
      <c r="O593" s="10">
        <v>17.7</v>
      </c>
    </row>
    <row r="594" spans="1:15" ht="15" thickBot="1" x14ac:dyDescent="0.4">
      <c r="A594" t="str">
        <f t="shared" si="283"/>
        <v>FC174</v>
      </c>
      <c r="B594" t="str">
        <f t="shared" si="285"/>
        <v>CPAC North</v>
      </c>
      <c r="C594" s="18"/>
      <c r="D594" s="18"/>
      <c r="E594" s="18"/>
      <c r="F594" s="18"/>
      <c r="G594" s="18"/>
      <c r="H594" s="28"/>
      <c r="I594" s="5" t="s">
        <v>21</v>
      </c>
      <c r="J594" s="9">
        <v>0.64</v>
      </c>
      <c r="K594" s="10">
        <v>1.1399999999999999</v>
      </c>
      <c r="L594" s="8">
        <v>0.28999999999999998</v>
      </c>
      <c r="M594" s="9">
        <v>0.75</v>
      </c>
      <c r="N594" s="9">
        <v>0.57999999999999996</v>
      </c>
      <c r="O594" s="10">
        <v>0.86</v>
      </c>
    </row>
    <row r="595" spans="1:15" ht="15" thickBot="1" x14ac:dyDescent="0.4">
      <c r="A595" t="str">
        <f t="shared" si="284"/>
        <v>FC174</v>
      </c>
      <c r="B595" t="str">
        <f t="shared" si="285"/>
        <v>CPAC North</v>
      </c>
      <c r="C595" s="19"/>
      <c r="D595" s="19"/>
      <c r="E595" s="19"/>
      <c r="F595" s="19"/>
      <c r="G595" s="19"/>
      <c r="H595" s="29"/>
      <c r="I595" s="3" t="s">
        <v>22</v>
      </c>
      <c r="J595" s="9" t="s">
        <v>25</v>
      </c>
      <c r="K595" s="10" t="s">
        <v>24</v>
      </c>
      <c r="L595" s="8" t="s">
        <v>23</v>
      </c>
      <c r="M595" s="9" t="s">
        <v>25</v>
      </c>
      <c r="N595" s="9" t="s">
        <v>25</v>
      </c>
      <c r="O595" s="9" t="s">
        <v>25</v>
      </c>
    </row>
    <row r="596" spans="1:15" ht="15" thickBot="1" x14ac:dyDescent="0.4">
      <c r="B596" t="str">
        <f t="shared" si="285"/>
        <v>CPAC North</v>
      </c>
      <c r="C596" s="16"/>
      <c r="D596" s="16"/>
      <c r="E596" s="16"/>
      <c r="F596" s="16"/>
      <c r="G596" s="16" t="s">
        <v>165</v>
      </c>
      <c r="H596" s="27" t="s">
        <v>34</v>
      </c>
      <c r="I596" s="1"/>
      <c r="J596" s="1"/>
      <c r="K596" s="1"/>
      <c r="L596" s="1"/>
      <c r="M596" s="1"/>
      <c r="N596" s="1"/>
      <c r="O596" s="1"/>
    </row>
    <row r="597" spans="1:15" ht="15" thickBot="1" x14ac:dyDescent="0.4">
      <c r="A597" t="str">
        <f t="shared" si="280"/>
        <v>FC204</v>
      </c>
      <c r="B597" t="str">
        <f t="shared" si="285"/>
        <v>CPAC North</v>
      </c>
      <c r="C597" s="18"/>
      <c r="D597" s="18"/>
      <c r="E597" s="18"/>
      <c r="F597" s="18"/>
      <c r="G597" s="18"/>
      <c r="H597" s="28"/>
      <c r="I597" s="3" t="s">
        <v>18</v>
      </c>
      <c r="J597" s="4">
        <v>45</v>
      </c>
      <c r="K597" s="4">
        <v>45</v>
      </c>
      <c r="L597" s="11"/>
      <c r="M597" s="4">
        <v>39</v>
      </c>
      <c r="N597" s="4">
        <v>45</v>
      </c>
      <c r="O597" s="4">
        <v>42</v>
      </c>
    </row>
    <row r="598" spans="1:15" ht="15" thickBot="1" x14ac:dyDescent="0.4">
      <c r="A598" t="str">
        <f t="shared" si="281"/>
        <v>FC204</v>
      </c>
      <c r="B598" t="str">
        <f t="shared" si="285"/>
        <v>CPAC North</v>
      </c>
      <c r="C598" s="18"/>
      <c r="D598" s="18"/>
      <c r="E598" s="18"/>
      <c r="F598" s="18"/>
      <c r="G598" s="18"/>
      <c r="H598" s="28"/>
      <c r="I598" s="5" t="s">
        <v>19</v>
      </c>
      <c r="J598" s="6">
        <v>55</v>
      </c>
      <c r="K598" s="8">
        <v>30</v>
      </c>
      <c r="L598" s="11"/>
      <c r="M598" s="6">
        <v>63</v>
      </c>
      <c r="N598" s="6">
        <v>65</v>
      </c>
      <c r="O598" s="6">
        <v>67</v>
      </c>
    </row>
    <row r="599" spans="1:15" ht="15" thickBot="1" x14ac:dyDescent="0.4">
      <c r="A599" t="str">
        <f t="shared" si="282"/>
        <v>FC204</v>
      </c>
      <c r="B599" t="str">
        <f t="shared" si="285"/>
        <v>CPAC North</v>
      </c>
      <c r="C599" s="18"/>
      <c r="D599" s="18"/>
      <c r="E599" s="18"/>
      <c r="F599" s="18"/>
      <c r="G599" s="18"/>
      <c r="H599" s="28"/>
      <c r="I599" s="3" t="s">
        <v>20</v>
      </c>
      <c r="J599" s="10">
        <v>10.199999999999999</v>
      </c>
      <c r="K599" s="10">
        <v>6.9</v>
      </c>
      <c r="L599" s="11"/>
      <c r="M599" s="10">
        <v>7.5</v>
      </c>
      <c r="N599" s="10">
        <v>8.5</v>
      </c>
      <c r="O599" s="10">
        <v>7.2</v>
      </c>
    </row>
    <row r="600" spans="1:15" ht="15" thickBot="1" x14ac:dyDescent="0.4">
      <c r="A600" t="str">
        <f t="shared" si="283"/>
        <v>FC204</v>
      </c>
      <c r="B600" t="str">
        <f t="shared" si="285"/>
        <v>CPAC North</v>
      </c>
      <c r="C600" s="18"/>
      <c r="D600" s="18"/>
      <c r="E600" s="18"/>
      <c r="F600" s="18"/>
      <c r="G600" s="18"/>
      <c r="H600" s="28"/>
      <c r="I600" s="5" t="s">
        <v>21</v>
      </c>
      <c r="J600" s="10">
        <v>1.8</v>
      </c>
      <c r="K600" s="10">
        <v>1.45</v>
      </c>
      <c r="L600" s="11"/>
      <c r="M600" s="10">
        <v>2.82</v>
      </c>
      <c r="N600" s="10">
        <v>2.52</v>
      </c>
      <c r="O600" s="10">
        <v>3.09</v>
      </c>
    </row>
    <row r="601" spans="1:15" ht="15" thickBot="1" x14ac:dyDescent="0.4">
      <c r="A601" t="str">
        <f t="shared" si="284"/>
        <v>FC204</v>
      </c>
      <c r="B601" t="str">
        <f t="shared" si="285"/>
        <v>CPAC North</v>
      </c>
      <c r="C601" s="19"/>
      <c r="D601" s="19"/>
      <c r="E601" s="19"/>
      <c r="F601" s="19"/>
      <c r="G601" s="19"/>
      <c r="H601" s="29"/>
      <c r="I601" s="3" t="s">
        <v>22</v>
      </c>
      <c r="J601" s="10" t="s">
        <v>24</v>
      </c>
      <c r="K601" s="11"/>
      <c r="L601" s="11" t="s">
        <v>31</v>
      </c>
      <c r="M601" s="10" t="s">
        <v>24</v>
      </c>
      <c r="N601" s="11"/>
      <c r="O601" s="10" t="s">
        <v>24</v>
      </c>
    </row>
    <row r="602" spans="1:15" ht="15" thickBot="1" x14ac:dyDescent="0.4">
      <c r="B602" t="str">
        <f t="shared" si="285"/>
        <v>CPAC North</v>
      </c>
      <c r="C602" s="16"/>
      <c r="D602" s="16"/>
      <c r="E602" s="16"/>
      <c r="F602" s="16"/>
      <c r="G602" s="16" t="s">
        <v>166</v>
      </c>
      <c r="H602" s="20" t="s">
        <v>17</v>
      </c>
      <c r="I602" s="1"/>
      <c r="J602" s="1"/>
      <c r="K602" s="1"/>
      <c r="L602" s="1"/>
      <c r="M602" s="1"/>
      <c r="N602" s="1"/>
      <c r="O602" s="1"/>
    </row>
    <row r="603" spans="1:15" ht="15" thickBot="1" x14ac:dyDescent="0.4">
      <c r="A603" t="str">
        <f t="shared" si="280"/>
        <v>FC265</v>
      </c>
      <c r="B603" t="str">
        <f t="shared" si="285"/>
        <v>CPAC North</v>
      </c>
      <c r="C603" s="18"/>
      <c r="D603" s="18"/>
      <c r="E603" s="18"/>
      <c r="F603" s="18"/>
      <c r="G603" s="18"/>
      <c r="H603" s="22"/>
      <c r="I603" s="3" t="s">
        <v>18</v>
      </c>
      <c r="J603" s="11"/>
      <c r="K603" s="4">
        <v>32</v>
      </c>
      <c r="L603" s="8">
        <v>18</v>
      </c>
      <c r="M603" s="11"/>
      <c r="N603" s="4">
        <v>30</v>
      </c>
      <c r="O603" s="4">
        <v>32</v>
      </c>
    </row>
    <row r="604" spans="1:15" ht="15" thickBot="1" x14ac:dyDescent="0.4">
      <c r="A604" t="str">
        <f t="shared" si="281"/>
        <v>FC265</v>
      </c>
      <c r="B604" t="str">
        <f t="shared" si="285"/>
        <v>CPAC North</v>
      </c>
      <c r="C604" s="18"/>
      <c r="D604" s="18"/>
      <c r="E604" s="18"/>
      <c r="F604" s="18"/>
      <c r="G604" s="18"/>
      <c r="H604" s="22"/>
      <c r="I604" s="5" t="s">
        <v>19</v>
      </c>
      <c r="J604" s="11"/>
      <c r="K604" s="9">
        <v>121</v>
      </c>
      <c r="L604" s="7">
        <v>80</v>
      </c>
      <c r="M604" s="11"/>
      <c r="N604" s="7">
        <v>81</v>
      </c>
      <c r="O604" s="9">
        <v>93</v>
      </c>
    </row>
    <row r="605" spans="1:15" ht="15" thickBot="1" x14ac:dyDescent="0.4">
      <c r="A605" t="str">
        <f t="shared" si="282"/>
        <v>FC265</v>
      </c>
      <c r="B605" t="str">
        <f t="shared" si="285"/>
        <v>CPAC North</v>
      </c>
      <c r="C605" s="18"/>
      <c r="D605" s="18"/>
      <c r="E605" s="18"/>
      <c r="F605" s="18"/>
      <c r="G605" s="18"/>
      <c r="H605" s="22"/>
      <c r="I605" s="3" t="s">
        <v>20</v>
      </c>
      <c r="J605" s="11"/>
      <c r="K605" s="8">
        <v>49.2</v>
      </c>
      <c r="L605" s="10">
        <v>5.3</v>
      </c>
      <c r="M605" s="11"/>
      <c r="N605" s="10">
        <v>2.6</v>
      </c>
      <c r="O605" s="10">
        <v>16.2</v>
      </c>
    </row>
    <row r="606" spans="1:15" ht="15" thickBot="1" x14ac:dyDescent="0.4">
      <c r="A606" t="str">
        <f t="shared" si="283"/>
        <v>FC265</v>
      </c>
      <c r="B606" t="str">
        <f t="shared" si="285"/>
        <v>CPAC North</v>
      </c>
      <c r="C606" s="18"/>
      <c r="D606" s="18"/>
      <c r="E606" s="18"/>
      <c r="F606" s="18"/>
      <c r="G606" s="18"/>
      <c r="H606" s="22"/>
      <c r="I606" s="5" t="s">
        <v>21</v>
      </c>
      <c r="J606" s="11"/>
      <c r="K606" s="10">
        <v>0.82</v>
      </c>
      <c r="L606" s="10">
        <v>5.0999999999999996</v>
      </c>
      <c r="M606" s="11"/>
      <c r="N606" s="10">
        <v>10.24</v>
      </c>
      <c r="O606" s="10">
        <v>1.92</v>
      </c>
    </row>
    <row r="607" spans="1:15" ht="15" thickBot="1" x14ac:dyDescent="0.4">
      <c r="A607" t="str">
        <f t="shared" si="284"/>
        <v>FC265</v>
      </c>
      <c r="B607" t="str">
        <f t="shared" si="285"/>
        <v>CPAC North</v>
      </c>
      <c r="C607" s="19"/>
      <c r="D607" s="19"/>
      <c r="E607" s="19"/>
      <c r="F607" s="19"/>
      <c r="G607" s="19"/>
      <c r="H607" s="23"/>
      <c r="I607" s="3" t="s">
        <v>22</v>
      </c>
      <c r="J607" s="11" t="s">
        <v>27</v>
      </c>
      <c r="K607" s="11"/>
      <c r="L607" s="10" t="s">
        <v>24</v>
      </c>
      <c r="M607" s="11" t="s">
        <v>27</v>
      </c>
      <c r="N607" s="11"/>
      <c r="O607" s="11"/>
    </row>
    <row r="608" spans="1:15" ht="15" thickBot="1" x14ac:dyDescent="0.4">
      <c r="B608" t="str">
        <f t="shared" si="285"/>
        <v>CPAC North</v>
      </c>
      <c r="C608" s="16"/>
      <c r="D608" s="16"/>
      <c r="E608" s="16"/>
      <c r="F608" s="16"/>
      <c r="G608" s="16" t="s">
        <v>167</v>
      </c>
      <c r="H608" s="27" t="s">
        <v>34</v>
      </c>
      <c r="I608" s="1"/>
      <c r="J608" s="1"/>
      <c r="K608" s="1"/>
      <c r="L608" s="1"/>
      <c r="M608" s="1"/>
      <c r="N608" s="1"/>
      <c r="O608" s="1"/>
    </row>
    <row r="609" spans="1:15" ht="15" thickBot="1" x14ac:dyDescent="0.4">
      <c r="A609" t="str">
        <f t="shared" si="280"/>
        <v>FC049</v>
      </c>
      <c r="B609" t="str">
        <f t="shared" si="285"/>
        <v>CPAC North</v>
      </c>
      <c r="C609" s="18"/>
      <c r="D609" s="18"/>
      <c r="E609" s="18"/>
      <c r="F609" s="18"/>
      <c r="G609" s="18"/>
      <c r="H609" s="28"/>
      <c r="I609" s="3" t="s">
        <v>18</v>
      </c>
      <c r="J609" s="4">
        <v>45</v>
      </c>
      <c r="K609" s="4">
        <v>39</v>
      </c>
      <c r="L609" s="4">
        <v>45</v>
      </c>
      <c r="M609" s="4">
        <v>45</v>
      </c>
      <c r="N609" s="4">
        <v>45</v>
      </c>
      <c r="O609" s="4">
        <v>39</v>
      </c>
    </row>
    <row r="610" spans="1:15" ht="15" thickBot="1" x14ac:dyDescent="0.4">
      <c r="A610" t="str">
        <f t="shared" si="281"/>
        <v>FC049</v>
      </c>
      <c r="B610" t="str">
        <f t="shared" si="285"/>
        <v>CPAC North</v>
      </c>
      <c r="C610" s="18"/>
      <c r="D610" s="18"/>
      <c r="E610" s="18"/>
      <c r="F610" s="18"/>
      <c r="G610" s="18"/>
      <c r="H610" s="28"/>
      <c r="I610" s="5" t="s">
        <v>19</v>
      </c>
      <c r="J610" s="6">
        <v>62</v>
      </c>
      <c r="K610" s="6">
        <v>63</v>
      </c>
      <c r="L610" s="6">
        <v>62</v>
      </c>
      <c r="M610" s="6">
        <v>62</v>
      </c>
      <c r="N610" s="6">
        <v>62</v>
      </c>
      <c r="O610" s="6">
        <v>63</v>
      </c>
    </row>
    <row r="611" spans="1:15" ht="15" thickBot="1" x14ac:dyDescent="0.4">
      <c r="A611" t="str">
        <f t="shared" si="282"/>
        <v>FC049</v>
      </c>
      <c r="B611" t="str">
        <f t="shared" si="285"/>
        <v>CPAC North</v>
      </c>
      <c r="C611" s="18"/>
      <c r="D611" s="18"/>
      <c r="E611" s="18"/>
      <c r="F611" s="18"/>
      <c r="G611" s="18"/>
      <c r="H611" s="28"/>
      <c r="I611" s="3" t="s">
        <v>20</v>
      </c>
      <c r="J611" s="10">
        <v>3.7</v>
      </c>
      <c r="K611" s="10">
        <v>2.5</v>
      </c>
      <c r="L611" s="10">
        <v>2.4</v>
      </c>
      <c r="M611" s="10">
        <v>2.1</v>
      </c>
      <c r="N611" s="10">
        <v>2.2000000000000002</v>
      </c>
      <c r="O611" s="10">
        <v>1.7</v>
      </c>
    </row>
    <row r="612" spans="1:15" ht="15" thickBot="1" x14ac:dyDescent="0.4">
      <c r="A612" t="str">
        <f t="shared" si="283"/>
        <v>FC049</v>
      </c>
      <c r="B612" t="str">
        <f t="shared" si="285"/>
        <v>CPAC North</v>
      </c>
      <c r="C612" s="18"/>
      <c r="D612" s="18"/>
      <c r="E612" s="18"/>
      <c r="F612" s="18"/>
      <c r="G612" s="18"/>
      <c r="H612" s="28"/>
      <c r="I612" s="5" t="s">
        <v>21</v>
      </c>
      <c r="J612" s="10">
        <v>5.64</v>
      </c>
      <c r="K612" s="10">
        <v>8.49</v>
      </c>
      <c r="L612" s="10">
        <v>8.6</v>
      </c>
      <c r="M612" s="10">
        <v>9.76</v>
      </c>
      <c r="N612" s="10">
        <v>9.23</v>
      </c>
      <c r="O612" s="10">
        <v>12.6</v>
      </c>
    </row>
    <row r="613" spans="1:15" ht="15" thickBot="1" x14ac:dyDescent="0.4">
      <c r="A613" t="str">
        <f t="shared" si="284"/>
        <v>FC049</v>
      </c>
      <c r="B613" t="str">
        <f t="shared" si="285"/>
        <v>CPAC North</v>
      </c>
      <c r="C613" s="19"/>
      <c r="D613" s="19"/>
      <c r="E613" s="19"/>
      <c r="F613" s="19"/>
      <c r="G613" s="19"/>
      <c r="H613" s="29"/>
      <c r="I613" s="3" t="s">
        <v>22</v>
      </c>
      <c r="J613" s="10" t="s">
        <v>24</v>
      </c>
      <c r="K613" s="10" t="s">
        <v>24</v>
      </c>
      <c r="L613" s="10" t="s">
        <v>24</v>
      </c>
      <c r="M613" s="10" t="s">
        <v>24</v>
      </c>
      <c r="N613" s="11"/>
      <c r="O613" s="10" t="s">
        <v>24</v>
      </c>
    </row>
    <row r="614" spans="1:15" ht="15" thickBot="1" x14ac:dyDescent="0.4">
      <c r="B614" t="str">
        <f t="shared" si="285"/>
        <v>CPAC North</v>
      </c>
      <c r="C614" s="16"/>
      <c r="D614" s="16"/>
      <c r="E614" s="16"/>
      <c r="F614" s="16"/>
      <c r="G614" s="16" t="s">
        <v>168</v>
      </c>
      <c r="H614" s="20" t="s">
        <v>17</v>
      </c>
      <c r="I614" s="1"/>
      <c r="J614" s="1"/>
      <c r="K614" s="1"/>
      <c r="L614" s="1"/>
      <c r="M614" s="1"/>
      <c r="N614" s="1"/>
      <c r="O614" s="1"/>
    </row>
    <row r="615" spans="1:15" ht="15" thickBot="1" x14ac:dyDescent="0.4">
      <c r="A615" t="str">
        <f t="shared" si="280"/>
        <v>FC048</v>
      </c>
      <c r="B615" t="str">
        <f t="shared" si="285"/>
        <v>CPAC North</v>
      </c>
      <c r="C615" s="18"/>
      <c r="D615" s="18"/>
      <c r="E615" s="18"/>
      <c r="F615" s="18"/>
      <c r="G615" s="18"/>
      <c r="H615" s="22"/>
      <c r="I615" s="3" t="s">
        <v>18</v>
      </c>
      <c r="J615" s="4">
        <v>42</v>
      </c>
      <c r="K615" s="4">
        <v>45</v>
      </c>
      <c r="L615" s="4">
        <v>36</v>
      </c>
      <c r="M615" s="11"/>
      <c r="N615" s="4">
        <v>42</v>
      </c>
      <c r="O615" s="11"/>
    </row>
    <row r="616" spans="1:15" ht="15" thickBot="1" x14ac:dyDescent="0.4">
      <c r="A616" t="str">
        <f t="shared" si="281"/>
        <v>FC048</v>
      </c>
      <c r="B616" t="str">
        <f t="shared" si="285"/>
        <v>CPAC North</v>
      </c>
      <c r="C616" s="18"/>
      <c r="D616" s="18"/>
      <c r="E616" s="18"/>
      <c r="F616" s="18"/>
      <c r="G616" s="18"/>
      <c r="H616" s="22"/>
      <c r="I616" s="5" t="s">
        <v>19</v>
      </c>
      <c r="J616" s="6">
        <v>59</v>
      </c>
      <c r="K616" s="6">
        <v>64</v>
      </c>
      <c r="L616" s="6">
        <v>59</v>
      </c>
      <c r="M616" s="11"/>
      <c r="N616" s="6">
        <v>65</v>
      </c>
      <c r="O616" s="11"/>
    </row>
    <row r="617" spans="1:15" ht="15" thickBot="1" x14ac:dyDescent="0.4">
      <c r="A617" t="str">
        <f t="shared" si="282"/>
        <v>FC048</v>
      </c>
      <c r="B617" t="str">
        <f t="shared" si="285"/>
        <v>CPAC North</v>
      </c>
      <c r="C617" s="18"/>
      <c r="D617" s="18"/>
      <c r="E617" s="18"/>
      <c r="F617" s="18"/>
      <c r="G617" s="18"/>
      <c r="H617" s="22"/>
      <c r="I617" s="3" t="s">
        <v>20</v>
      </c>
      <c r="J617" s="10">
        <v>8.8000000000000007</v>
      </c>
      <c r="K617" s="10">
        <v>18.399999999999999</v>
      </c>
      <c r="L617" s="10">
        <v>11.4</v>
      </c>
      <c r="M617" s="11"/>
      <c r="N617" s="10">
        <v>13.1</v>
      </c>
      <c r="O617" s="11"/>
    </row>
    <row r="618" spans="1:15" ht="15" thickBot="1" x14ac:dyDescent="0.4">
      <c r="A618" t="str">
        <f t="shared" si="283"/>
        <v>FC048</v>
      </c>
      <c r="B618" t="str">
        <f t="shared" si="285"/>
        <v>CPAC North</v>
      </c>
      <c r="C618" s="18"/>
      <c r="D618" s="18"/>
      <c r="E618" s="18"/>
      <c r="F618" s="18"/>
      <c r="G618" s="18"/>
      <c r="H618" s="22"/>
      <c r="I618" s="5" t="s">
        <v>21</v>
      </c>
      <c r="J618" s="10">
        <v>2.21</v>
      </c>
      <c r="K618" s="10">
        <v>1.17</v>
      </c>
      <c r="L618" s="10">
        <v>1.73</v>
      </c>
      <c r="M618" s="11"/>
      <c r="N618" s="10">
        <v>1.65</v>
      </c>
      <c r="O618" s="11"/>
    </row>
    <row r="619" spans="1:15" ht="15" thickBot="1" x14ac:dyDescent="0.4">
      <c r="A619" t="str">
        <f t="shared" si="284"/>
        <v>FC048</v>
      </c>
      <c r="B619" t="str">
        <f t="shared" si="285"/>
        <v>CPAC North</v>
      </c>
      <c r="C619" s="19"/>
      <c r="D619" s="19"/>
      <c r="E619" s="19"/>
      <c r="F619" s="19"/>
      <c r="G619" s="19"/>
      <c r="H619" s="23"/>
      <c r="I619" s="3" t="s">
        <v>22</v>
      </c>
      <c r="J619" s="11"/>
      <c r="K619" s="11"/>
      <c r="L619" s="10" t="s">
        <v>24</v>
      </c>
      <c r="M619" s="11" t="s">
        <v>31</v>
      </c>
      <c r="N619" s="11"/>
      <c r="O619" s="11" t="s">
        <v>31</v>
      </c>
    </row>
    <row r="620" spans="1:15" ht="15" thickBot="1" x14ac:dyDescent="0.4">
      <c r="B620" t="str">
        <f t="shared" si="285"/>
        <v>CPAC North</v>
      </c>
      <c r="C620" s="16"/>
      <c r="D620" s="16"/>
      <c r="E620" s="16"/>
      <c r="F620" s="16" t="s">
        <v>169</v>
      </c>
      <c r="G620" s="16" t="s">
        <v>170</v>
      </c>
      <c r="H620" s="24" t="s">
        <v>30</v>
      </c>
      <c r="I620" s="1"/>
      <c r="J620" s="1"/>
      <c r="K620" s="1"/>
      <c r="L620" s="1"/>
      <c r="M620" s="1"/>
      <c r="N620" s="1"/>
      <c r="O620" s="1"/>
    </row>
    <row r="621" spans="1:15" ht="15" thickBot="1" x14ac:dyDescent="0.4">
      <c r="A621" t="str">
        <f t="shared" si="280"/>
        <v>FC408</v>
      </c>
      <c r="B621" t="str">
        <f t="shared" si="285"/>
        <v>CPAC North</v>
      </c>
      <c r="C621" s="18"/>
      <c r="D621" s="18"/>
      <c r="E621" s="18"/>
      <c r="F621" s="18"/>
      <c r="G621" s="18"/>
      <c r="H621" s="25"/>
      <c r="I621" s="3" t="s">
        <v>18</v>
      </c>
      <c r="J621" s="11"/>
      <c r="K621" s="11"/>
      <c r="L621" s="11"/>
      <c r="M621" s="11"/>
      <c r="N621" s="11"/>
      <c r="O621" s="11"/>
    </row>
    <row r="622" spans="1:15" ht="15" thickBot="1" x14ac:dyDescent="0.4">
      <c r="A622" t="str">
        <f t="shared" si="281"/>
        <v>FC408</v>
      </c>
      <c r="B622" t="str">
        <f t="shared" si="285"/>
        <v>CPAC North</v>
      </c>
      <c r="C622" s="18"/>
      <c r="D622" s="18"/>
      <c r="E622" s="18"/>
      <c r="F622" s="18"/>
      <c r="G622" s="18"/>
      <c r="H622" s="25"/>
      <c r="I622" s="5" t="s">
        <v>19</v>
      </c>
      <c r="J622" s="11"/>
      <c r="K622" s="11"/>
      <c r="L622" s="11"/>
      <c r="M622" s="11"/>
      <c r="N622" s="11"/>
      <c r="O622" s="11"/>
    </row>
    <row r="623" spans="1:15" ht="15" thickBot="1" x14ac:dyDescent="0.4">
      <c r="A623" t="str">
        <f t="shared" si="282"/>
        <v>FC408</v>
      </c>
      <c r="B623" t="str">
        <f t="shared" si="285"/>
        <v>CPAC North</v>
      </c>
      <c r="C623" s="18"/>
      <c r="D623" s="18"/>
      <c r="E623" s="18"/>
      <c r="F623" s="18"/>
      <c r="G623" s="18"/>
      <c r="H623" s="25"/>
      <c r="I623" s="3" t="s">
        <v>20</v>
      </c>
      <c r="J623" s="11"/>
      <c r="K623" s="11"/>
      <c r="L623" s="11"/>
      <c r="M623" s="11"/>
      <c r="N623" s="11"/>
      <c r="O623" s="11"/>
    </row>
    <row r="624" spans="1:15" ht="15" thickBot="1" x14ac:dyDescent="0.4">
      <c r="A624" t="str">
        <f t="shared" si="283"/>
        <v>FC408</v>
      </c>
      <c r="B624" t="str">
        <f t="shared" si="285"/>
        <v>CPAC North</v>
      </c>
      <c r="C624" s="18"/>
      <c r="D624" s="18"/>
      <c r="E624" s="18"/>
      <c r="F624" s="18"/>
      <c r="G624" s="18"/>
      <c r="H624" s="25"/>
      <c r="I624" s="5" t="s">
        <v>21</v>
      </c>
      <c r="J624" s="11"/>
      <c r="K624" s="11"/>
      <c r="L624" s="11"/>
      <c r="M624" s="11"/>
      <c r="N624" s="11"/>
      <c r="O624" s="11"/>
    </row>
    <row r="625" spans="1:15" ht="15" thickBot="1" x14ac:dyDescent="0.4">
      <c r="A625" t="str">
        <f t="shared" si="284"/>
        <v>FC408</v>
      </c>
      <c r="B625" t="str">
        <f t="shared" si="285"/>
        <v>CPAC North</v>
      </c>
      <c r="C625" s="19"/>
      <c r="D625" s="19"/>
      <c r="E625" s="19"/>
      <c r="F625" s="19"/>
      <c r="G625" s="19"/>
      <c r="H625" s="26"/>
      <c r="I625" s="3" t="s">
        <v>22</v>
      </c>
      <c r="J625" s="11" t="s">
        <v>31</v>
      </c>
      <c r="K625" s="11" t="s">
        <v>27</v>
      </c>
      <c r="L625" s="11" t="s">
        <v>31</v>
      </c>
      <c r="M625" s="11" t="s">
        <v>27</v>
      </c>
      <c r="N625" s="11" t="s">
        <v>31</v>
      </c>
      <c r="O625" s="11" t="s">
        <v>45</v>
      </c>
    </row>
    <row r="626" spans="1:15" ht="15" thickBot="1" x14ac:dyDescent="0.4">
      <c r="B626" t="str">
        <f t="shared" si="285"/>
        <v>CPAC North</v>
      </c>
      <c r="C626" s="16"/>
      <c r="D626" s="16"/>
      <c r="E626" s="16"/>
      <c r="F626" s="16"/>
      <c r="G626" s="16" t="s">
        <v>171</v>
      </c>
      <c r="H626" s="20" t="s">
        <v>17</v>
      </c>
      <c r="I626" s="1"/>
      <c r="J626" s="1"/>
      <c r="K626" s="1"/>
      <c r="L626" s="1"/>
      <c r="M626" s="1"/>
      <c r="N626" s="1"/>
      <c r="O626" s="1"/>
    </row>
    <row r="627" spans="1:15" ht="15" thickBot="1" x14ac:dyDescent="0.4">
      <c r="A627" t="str">
        <f t="shared" si="280"/>
        <v>FC146</v>
      </c>
      <c r="B627" t="str">
        <f t="shared" si="285"/>
        <v>CPAC North</v>
      </c>
      <c r="C627" s="18"/>
      <c r="D627" s="18"/>
      <c r="E627" s="18"/>
      <c r="F627" s="18"/>
      <c r="G627" s="18"/>
      <c r="H627" s="22"/>
      <c r="I627" s="3" t="s">
        <v>18</v>
      </c>
      <c r="J627" s="4">
        <v>30</v>
      </c>
      <c r="K627" s="4">
        <v>30</v>
      </c>
      <c r="L627" s="4">
        <v>30</v>
      </c>
      <c r="M627" s="11"/>
      <c r="N627" s="8">
        <v>26</v>
      </c>
      <c r="O627" s="8">
        <v>24</v>
      </c>
    </row>
    <row r="628" spans="1:15" ht="15" thickBot="1" x14ac:dyDescent="0.4">
      <c r="A628" t="str">
        <f t="shared" si="281"/>
        <v>FC146</v>
      </c>
      <c r="B628" t="str">
        <f t="shared" si="285"/>
        <v>CPAC North</v>
      </c>
      <c r="C628" s="18"/>
      <c r="D628" s="18"/>
      <c r="E628" s="18"/>
      <c r="F628" s="18"/>
      <c r="G628" s="18"/>
      <c r="H628" s="22"/>
      <c r="I628" s="5" t="s">
        <v>19</v>
      </c>
      <c r="J628" s="6">
        <v>65</v>
      </c>
      <c r="K628" s="6">
        <v>64</v>
      </c>
      <c r="L628" s="7">
        <v>71</v>
      </c>
      <c r="M628" s="11"/>
      <c r="N628" s="6">
        <v>66</v>
      </c>
      <c r="O628" s="6">
        <v>62</v>
      </c>
    </row>
    <row r="629" spans="1:15" ht="15" thickBot="1" x14ac:dyDescent="0.4">
      <c r="A629" t="str">
        <f t="shared" si="282"/>
        <v>FC146</v>
      </c>
      <c r="B629" t="str">
        <f t="shared" si="285"/>
        <v>CPAC North</v>
      </c>
      <c r="C629" s="18"/>
      <c r="D629" s="18"/>
      <c r="E629" s="18"/>
      <c r="F629" s="18"/>
      <c r="G629" s="18"/>
      <c r="H629" s="22"/>
      <c r="I629" s="3" t="s">
        <v>20</v>
      </c>
      <c r="J629" s="10">
        <v>11.8</v>
      </c>
      <c r="K629" s="10">
        <v>15.1</v>
      </c>
      <c r="L629" s="10">
        <v>17.600000000000001</v>
      </c>
      <c r="M629" s="11"/>
      <c r="N629" s="10">
        <v>22.5</v>
      </c>
      <c r="O629" s="10">
        <v>25.7</v>
      </c>
    </row>
    <row r="630" spans="1:15" ht="15" thickBot="1" x14ac:dyDescent="0.4">
      <c r="A630" t="str">
        <f t="shared" si="283"/>
        <v>FC146</v>
      </c>
      <c r="B630" t="str">
        <f t="shared" si="285"/>
        <v>CPAC North</v>
      </c>
      <c r="C630" s="18"/>
      <c r="D630" s="18"/>
      <c r="E630" s="18"/>
      <c r="F630" s="18"/>
      <c r="G630" s="18"/>
      <c r="H630" s="22"/>
      <c r="I630" s="5" t="s">
        <v>21</v>
      </c>
      <c r="J630" s="10">
        <v>1.83</v>
      </c>
      <c r="K630" s="10">
        <v>1.41</v>
      </c>
      <c r="L630" s="10">
        <v>1.34</v>
      </c>
      <c r="M630" s="11"/>
      <c r="N630" s="10">
        <v>0.97</v>
      </c>
      <c r="O630" s="10">
        <v>0.8</v>
      </c>
    </row>
    <row r="631" spans="1:15" ht="15" thickBot="1" x14ac:dyDescent="0.4">
      <c r="A631" t="str">
        <f t="shared" si="284"/>
        <v>FC146</v>
      </c>
      <c r="B631" t="str">
        <f t="shared" si="285"/>
        <v>CPAC North</v>
      </c>
      <c r="C631" s="19"/>
      <c r="D631" s="19"/>
      <c r="E631" s="19"/>
      <c r="F631" s="19"/>
      <c r="G631" s="19"/>
      <c r="H631" s="23"/>
      <c r="I631" s="3" t="s">
        <v>22</v>
      </c>
      <c r="J631" s="11"/>
      <c r="K631" s="11"/>
      <c r="L631" s="10" t="s">
        <v>24</v>
      </c>
      <c r="M631" s="11" t="s">
        <v>27</v>
      </c>
      <c r="N631" s="10" t="s">
        <v>24</v>
      </c>
      <c r="O631" s="9" t="s">
        <v>25</v>
      </c>
    </row>
    <row r="632" spans="1:15" ht="15" thickBot="1" x14ac:dyDescent="0.4">
      <c r="B632" t="str">
        <f t="shared" si="285"/>
        <v>CPAC North</v>
      </c>
      <c r="C632" s="16"/>
      <c r="D632" s="16"/>
      <c r="E632" s="16"/>
      <c r="F632" s="16"/>
      <c r="G632" s="16" t="s">
        <v>172</v>
      </c>
      <c r="H632" s="30" t="s">
        <v>39</v>
      </c>
      <c r="I632" s="1"/>
      <c r="J632" s="1"/>
      <c r="K632" s="1"/>
      <c r="L632" s="1"/>
      <c r="M632" s="1"/>
      <c r="N632" s="1"/>
      <c r="O632" s="1"/>
    </row>
    <row r="633" spans="1:15" ht="15" thickBot="1" x14ac:dyDescent="0.4">
      <c r="A633" t="str">
        <f t="shared" si="280"/>
        <v>FC322</v>
      </c>
      <c r="B633" t="str">
        <f t="shared" si="285"/>
        <v>CPAC North</v>
      </c>
      <c r="C633" s="18"/>
      <c r="D633" s="18"/>
      <c r="E633" s="18"/>
      <c r="F633" s="18"/>
      <c r="G633" s="18"/>
      <c r="H633" s="31"/>
      <c r="I633" s="3" t="s">
        <v>18</v>
      </c>
      <c r="J633" s="4">
        <v>30</v>
      </c>
      <c r="K633" s="8">
        <v>26</v>
      </c>
      <c r="L633" s="4">
        <v>30</v>
      </c>
      <c r="M633" s="4">
        <v>30</v>
      </c>
      <c r="N633" s="4">
        <v>30</v>
      </c>
      <c r="O633" s="4">
        <v>30</v>
      </c>
    </row>
    <row r="634" spans="1:15" ht="15" thickBot="1" x14ac:dyDescent="0.4">
      <c r="A634" t="str">
        <f t="shared" si="281"/>
        <v>FC322</v>
      </c>
      <c r="B634" t="str">
        <f t="shared" si="285"/>
        <v>CPAC North</v>
      </c>
      <c r="C634" s="18"/>
      <c r="D634" s="18"/>
      <c r="E634" s="18"/>
      <c r="F634" s="18"/>
      <c r="G634" s="18"/>
      <c r="H634" s="31"/>
      <c r="I634" s="5" t="s">
        <v>19</v>
      </c>
      <c r="J634" s="7">
        <v>70</v>
      </c>
      <c r="K634" s="6">
        <v>63</v>
      </c>
      <c r="L634" s="6">
        <v>67</v>
      </c>
      <c r="M634" s="7">
        <v>71</v>
      </c>
      <c r="N634" s="6">
        <v>62</v>
      </c>
      <c r="O634" s="6">
        <v>63</v>
      </c>
    </row>
    <row r="635" spans="1:15" ht="15" thickBot="1" x14ac:dyDescent="0.4">
      <c r="A635" t="str">
        <f t="shared" si="282"/>
        <v>FC322</v>
      </c>
      <c r="B635" t="str">
        <f t="shared" si="285"/>
        <v>CPAC North</v>
      </c>
      <c r="C635" s="18"/>
      <c r="D635" s="18"/>
      <c r="E635" s="18"/>
      <c r="F635" s="18"/>
      <c r="G635" s="18"/>
      <c r="H635" s="31"/>
      <c r="I635" s="3" t="s">
        <v>20</v>
      </c>
      <c r="J635" s="10">
        <v>14.6</v>
      </c>
      <c r="K635" s="10">
        <v>12.4</v>
      </c>
      <c r="L635" s="10">
        <v>12.2</v>
      </c>
      <c r="M635" s="10">
        <v>12.4</v>
      </c>
      <c r="N635" s="10">
        <v>23.6</v>
      </c>
      <c r="O635" s="10">
        <v>25.8</v>
      </c>
    </row>
    <row r="636" spans="1:15" ht="15" thickBot="1" x14ac:dyDescent="0.4">
      <c r="A636" t="str">
        <f t="shared" si="283"/>
        <v>FC322</v>
      </c>
      <c r="B636" t="str">
        <f t="shared" si="285"/>
        <v>CPAC North</v>
      </c>
      <c r="C636" s="18"/>
      <c r="D636" s="18"/>
      <c r="E636" s="18"/>
      <c r="F636" s="18"/>
      <c r="G636" s="18"/>
      <c r="H636" s="31"/>
      <c r="I636" s="5" t="s">
        <v>21</v>
      </c>
      <c r="J636" s="10">
        <v>1.61</v>
      </c>
      <c r="K636" s="10">
        <v>1.71</v>
      </c>
      <c r="L636" s="10">
        <v>1.83</v>
      </c>
      <c r="M636" s="10">
        <v>1.89</v>
      </c>
      <c r="N636" s="10">
        <v>0.87</v>
      </c>
      <c r="O636" s="10">
        <v>0.81</v>
      </c>
    </row>
    <row r="637" spans="1:15" ht="15" thickBot="1" x14ac:dyDescent="0.4">
      <c r="A637" t="str">
        <f t="shared" si="284"/>
        <v>FC322</v>
      </c>
      <c r="B637" t="str">
        <f t="shared" si="285"/>
        <v>CPAC North</v>
      </c>
      <c r="C637" s="19"/>
      <c r="D637" s="19"/>
      <c r="E637" s="19"/>
      <c r="F637" s="19"/>
      <c r="G637" s="19"/>
      <c r="H637" s="32"/>
      <c r="I637" s="3" t="s">
        <v>22</v>
      </c>
      <c r="J637" s="11"/>
      <c r="K637" s="10" t="s">
        <v>24</v>
      </c>
      <c r="L637" s="10" t="s">
        <v>24</v>
      </c>
      <c r="M637" s="10" t="s">
        <v>24</v>
      </c>
      <c r="N637" s="10" t="s">
        <v>24</v>
      </c>
      <c r="O637" s="10" t="s">
        <v>24</v>
      </c>
    </row>
    <row r="638" spans="1:15" ht="15" thickBot="1" x14ac:dyDescent="0.4">
      <c r="B638" t="str">
        <f t="shared" si="285"/>
        <v>CPAC North</v>
      </c>
      <c r="C638" s="16"/>
      <c r="D638" s="16"/>
      <c r="E638" s="16"/>
      <c r="F638" s="16"/>
      <c r="G638" s="16" t="s">
        <v>173</v>
      </c>
      <c r="H638" s="20" t="s">
        <v>17</v>
      </c>
      <c r="I638" s="1"/>
      <c r="J638" s="1"/>
      <c r="K638" s="1"/>
      <c r="L638" s="1"/>
      <c r="M638" s="1"/>
      <c r="N638" s="1"/>
      <c r="O638" s="1"/>
    </row>
    <row r="639" spans="1:15" ht="15" thickBot="1" x14ac:dyDescent="0.4">
      <c r="A639" t="str">
        <f t="shared" ref="A639:A702" si="286">IF(LEFT(G638,2)="FC",LEFT(G638,5),LEFT(G638,4))</f>
        <v>FC216</v>
      </c>
      <c r="B639" t="str">
        <f t="shared" si="285"/>
        <v>CPAC North</v>
      </c>
      <c r="C639" s="18"/>
      <c r="D639" s="18"/>
      <c r="E639" s="18"/>
      <c r="F639" s="18"/>
      <c r="G639" s="18"/>
      <c r="H639" s="22"/>
      <c r="I639" s="3" t="s">
        <v>18</v>
      </c>
      <c r="J639" s="8">
        <v>18</v>
      </c>
      <c r="K639" s="8">
        <v>18</v>
      </c>
      <c r="L639" s="8">
        <v>18</v>
      </c>
      <c r="M639" s="8">
        <v>18</v>
      </c>
      <c r="N639" s="8">
        <v>18</v>
      </c>
      <c r="O639" s="8">
        <v>18</v>
      </c>
    </row>
    <row r="640" spans="1:15" ht="15" thickBot="1" x14ac:dyDescent="0.4">
      <c r="A640" t="str">
        <f t="shared" si="281"/>
        <v>FC216</v>
      </c>
      <c r="B640" t="str">
        <f t="shared" si="285"/>
        <v>CPAC North</v>
      </c>
      <c r="C640" s="18"/>
      <c r="D640" s="18"/>
      <c r="E640" s="18"/>
      <c r="F640" s="18"/>
      <c r="G640" s="18"/>
      <c r="H640" s="22"/>
      <c r="I640" s="5" t="s">
        <v>19</v>
      </c>
      <c r="J640" s="6">
        <v>55</v>
      </c>
      <c r="K640" s="9">
        <v>109</v>
      </c>
      <c r="L640" s="7">
        <v>72</v>
      </c>
      <c r="M640" s="8">
        <v>24</v>
      </c>
      <c r="N640" s="8">
        <v>48</v>
      </c>
      <c r="O640" s="6">
        <v>59</v>
      </c>
    </row>
    <row r="641" spans="1:15" ht="15" thickBot="1" x14ac:dyDescent="0.4">
      <c r="A641" t="str">
        <f t="shared" si="282"/>
        <v>FC216</v>
      </c>
      <c r="B641" t="str">
        <f t="shared" si="285"/>
        <v>CPAC North</v>
      </c>
      <c r="C641" s="18"/>
      <c r="D641" s="18"/>
      <c r="E641" s="18"/>
      <c r="F641" s="18"/>
      <c r="G641" s="18"/>
      <c r="H641" s="22"/>
      <c r="I641" s="3" t="s">
        <v>20</v>
      </c>
      <c r="J641" s="10">
        <v>14.1</v>
      </c>
      <c r="K641" s="10">
        <v>16.5</v>
      </c>
      <c r="L641" s="10">
        <v>15.5</v>
      </c>
      <c r="M641" s="10">
        <v>25.9</v>
      </c>
      <c r="N641" s="10">
        <v>16.2</v>
      </c>
      <c r="O641" s="10">
        <v>14.5</v>
      </c>
    </row>
    <row r="642" spans="1:15" ht="15" thickBot="1" x14ac:dyDescent="0.4">
      <c r="A642" t="str">
        <f t="shared" si="283"/>
        <v>FC216</v>
      </c>
      <c r="B642" t="str">
        <f t="shared" si="285"/>
        <v>CPAC North</v>
      </c>
      <c r="C642" s="18"/>
      <c r="D642" s="18"/>
      <c r="E642" s="18"/>
      <c r="F642" s="18"/>
      <c r="G642" s="18"/>
      <c r="H642" s="22"/>
      <c r="I642" s="5" t="s">
        <v>21</v>
      </c>
      <c r="J642" s="10">
        <v>1.3</v>
      </c>
      <c r="K642" s="10">
        <v>2.2000000000000002</v>
      </c>
      <c r="L642" s="10">
        <v>1.55</v>
      </c>
      <c r="M642" s="8">
        <v>0.31</v>
      </c>
      <c r="N642" s="10">
        <v>0.99</v>
      </c>
      <c r="O642" s="10">
        <v>1.35</v>
      </c>
    </row>
    <row r="643" spans="1:15" ht="15" thickBot="1" x14ac:dyDescent="0.4">
      <c r="A643" t="str">
        <f t="shared" si="284"/>
        <v>FC216</v>
      </c>
      <c r="B643" t="str">
        <f t="shared" si="285"/>
        <v>CPAC North</v>
      </c>
      <c r="C643" s="19"/>
      <c r="D643" s="19"/>
      <c r="E643" s="19"/>
      <c r="F643" s="19"/>
      <c r="G643" s="19"/>
      <c r="H643" s="23"/>
      <c r="I643" s="3" t="s">
        <v>22</v>
      </c>
      <c r="J643" s="10" t="s">
        <v>24</v>
      </c>
      <c r="K643" s="10" t="s">
        <v>24</v>
      </c>
      <c r="L643" s="10" t="s">
        <v>24</v>
      </c>
      <c r="M643" s="8" t="s">
        <v>23</v>
      </c>
      <c r="N643" s="10" t="s">
        <v>24</v>
      </c>
      <c r="O643" s="10" t="s">
        <v>24</v>
      </c>
    </row>
    <row r="644" spans="1:15" ht="15" thickBot="1" x14ac:dyDescent="0.4">
      <c r="B644" t="str">
        <f t="shared" si="285"/>
        <v>CPAC North</v>
      </c>
      <c r="C644" s="16"/>
      <c r="D644" s="16"/>
      <c r="E644" s="16"/>
      <c r="F644" s="16"/>
      <c r="G644" s="16" t="s">
        <v>174</v>
      </c>
      <c r="H644" s="20" t="s">
        <v>17</v>
      </c>
      <c r="I644" s="1"/>
      <c r="J644" s="1"/>
      <c r="K644" s="1"/>
      <c r="L644" s="1"/>
      <c r="M644" s="1"/>
      <c r="N644" s="1"/>
      <c r="O644" s="1"/>
    </row>
    <row r="645" spans="1:15" ht="15" thickBot="1" x14ac:dyDescent="0.4">
      <c r="A645" t="str">
        <f t="shared" si="286"/>
        <v>FC348</v>
      </c>
      <c r="B645" t="str">
        <f t="shared" si="285"/>
        <v>CPAC North</v>
      </c>
      <c r="C645" s="18"/>
      <c r="D645" s="18"/>
      <c r="E645" s="18"/>
      <c r="F645" s="18"/>
      <c r="G645" s="18"/>
      <c r="H645" s="22"/>
      <c r="I645" s="3" t="s">
        <v>18</v>
      </c>
      <c r="J645" s="11"/>
      <c r="K645" s="8">
        <v>15</v>
      </c>
      <c r="L645" s="8">
        <v>17</v>
      </c>
      <c r="M645" s="8">
        <v>15</v>
      </c>
      <c r="N645" s="8">
        <v>15</v>
      </c>
      <c r="O645" s="8">
        <v>24</v>
      </c>
    </row>
    <row r="646" spans="1:15" ht="15" thickBot="1" x14ac:dyDescent="0.4">
      <c r="A646" t="str">
        <f t="shared" ref="A646:A706" si="287">IF(LEFT(G644,2)="FC",LEFT(G644,5),LEFT(G644,4))</f>
        <v>FC348</v>
      </c>
      <c r="B646" t="str">
        <f t="shared" si="285"/>
        <v>CPAC North</v>
      </c>
      <c r="C646" s="18"/>
      <c r="D646" s="18"/>
      <c r="E646" s="18"/>
      <c r="F646" s="18"/>
      <c r="G646" s="18"/>
      <c r="H646" s="22"/>
      <c r="I646" s="5" t="s">
        <v>19</v>
      </c>
      <c r="J646" s="11"/>
      <c r="K646" s="8">
        <v>35</v>
      </c>
      <c r="L646" s="8">
        <v>37</v>
      </c>
      <c r="M646" s="8">
        <v>46</v>
      </c>
      <c r="N646" s="8">
        <v>12</v>
      </c>
      <c r="O646" s="8">
        <v>44</v>
      </c>
    </row>
    <row r="647" spans="1:15" ht="15" thickBot="1" x14ac:dyDescent="0.4">
      <c r="A647" t="str">
        <f t="shared" ref="A647:A707" si="288">IF(LEFT(G644,2)="FC",LEFT(G644,5),LEFT(G644,4))</f>
        <v>FC348</v>
      </c>
      <c r="B647" t="str">
        <f t="shared" ref="B647:B710" si="289">$D$518</f>
        <v>CPAC North</v>
      </c>
      <c r="C647" s="18"/>
      <c r="D647" s="18"/>
      <c r="E647" s="18"/>
      <c r="F647" s="18"/>
      <c r="G647" s="18"/>
      <c r="H647" s="22"/>
      <c r="I647" s="3" t="s">
        <v>20</v>
      </c>
      <c r="J647" s="11"/>
      <c r="K647" s="10">
        <v>4</v>
      </c>
      <c r="L647" s="10">
        <v>6.3</v>
      </c>
      <c r="M647" s="10">
        <v>7.7</v>
      </c>
      <c r="N647" s="8">
        <v>74.7</v>
      </c>
      <c r="O647" s="10">
        <v>10.4</v>
      </c>
    </row>
    <row r="648" spans="1:15" ht="15" thickBot="1" x14ac:dyDescent="0.4">
      <c r="A648" t="str">
        <f t="shared" ref="A648:A708" si="290">IF(LEFT(G644,2)="FC",LEFT(G644,5),LEFT(G644,4))</f>
        <v>FC348</v>
      </c>
      <c r="B648" t="str">
        <f t="shared" si="289"/>
        <v>CPAC North</v>
      </c>
      <c r="C648" s="18"/>
      <c r="D648" s="18"/>
      <c r="E648" s="18"/>
      <c r="F648" s="18"/>
      <c r="G648" s="18"/>
      <c r="H648" s="22"/>
      <c r="I648" s="5" t="s">
        <v>21</v>
      </c>
      <c r="J648" s="11"/>
      <c r="K648" s="10">
        <v>2.91</v>
      </c>
      <c r="L648" s="10">
        <v>1.93</v>
      </c>
      <c r="M648" s="10">
        <v>1.99</v>
      </c>
      <c r="N648" s="8">
        <v>0.05</v>
      </c>
      <c r="O648" s="10">
        <v>1.42</v>
      </c>
    </row>
    <row r="649" spans="1:15" ht="15" thickBot="1" x14ac:dyDescent="0.4">
      <c r="A649" t="str">
        <f t="shared" ref="A649:A709" si="291">IF(LEFT(G644,2)="FC",LEFT(G644,5),LEFT(G644,4))</f>
        <v>FC348</v>
      </c>
      <c r="B649" t="str">
        <f t="shared" si="289"/>
        <v>CPAC North</v>
      </c>
      <c r="C649" s="19"/>
      <c r="D649" s="19"/>
      <c r="E649" s="19"/>
      <c r="F649" s="19"/>
      <c r="G649" s="19"/>
      <c r="H649" s="23"/>
      <c r="I649" s="3" t="s">
        <v>22</v>
      </c>
      <c r="J649" s="11" t="s">
        <v>27</v>
      </c>
      <c r="K649" s="10" t="s">
        <v>24</v>
      </c>
      <c r="L649" s="10" t="s">
        <v>24</v>
      </c>
      <c r="M649" s="10" t="s">
        <v>24</v>
      </c>
      <c r="N649" s="8" t="s">
        <v>23</v>
      </c>
      <c r="O649" s="10" t="s">
        <v>24</v>
      </c>
    </row>
    <row r="650" spans="1:15" ht="15" thickBot="1" x14ac:dyDescent="0.4">
      <c r="B650" t="str">
        <f t="shared" si="289"/>
        <v>CPAC North</v>
      </c>
      <c r="C650" s="16"/>
      <c r="D650" s="16"/>
      <c r="E650" s="16"/>
      <c r="F650" s="16"/>
      <c r="G650" s="16" t="s">
        <v>175</v>
      </c>
      <c r="H650" s="20" t="s">
        <v>17</v>
      </c>
      <c r="I650" s="1"/>
      <c r="J650" s="1"/>
      <c r="K650" s="1"/>
      <c r="L650" s="1"/>
      <c r="M650" s="1"/>
      <c r="N650" s="1"/>
      <c r="O650" s="1"/>
    </row>
    <row r="651" spans="1:15" ht="15" thickBot="1" x14ac:dyDescent="0.4">
      <c r="A651" t="str">
        <f t="shared" si="286"/>
        <v>FC195</v>
      </c>
      <c r="B651" t="str">
        <f t="shared" si="289"/>
        <v>CPAC North</v>
      </c>
      <c r="C651" s="18"/>
      <c r="D651" s="18"/>
      <c r="E651" s="18"/>
      <c r="F651" s="18"/>
      <c r="G651" s="18"/>
      <c r="H651" s="22"/>
      <c r="I651" s="3" t="s">
        <v>18</v>
      </c>
      <c r="J651" s="4">
        <v>41</v>
      </c>
      <c r="K651" s="4">
        <v>54</v>
      </c>
      <c r="L651" s="4">
        <v>53</v>
      </c>
      <c r="M651" s="4">
        <v>41</v>
      </c>
      <c r="N651" s="4">
        <v>71</v>
      </c>
      <c r="O651" s="4">
        <v>57</v>
      </c>
    </row>
    <row r="652" spans="1:15" ht="15" thickBot="1" x14ac:dyDescent="0.4">
      <c r="A652" t="str">
        <f t="shared" si="287"/>
        <v>FC195</v>
      </c>
      <c r="B652" t="str">
        <f t="shared" si="289"/>
        <v>CPAC North</v>
      </c>
      <c r="C652" s="18"/>
      <c r="D652" s="18"/>
      <c r="E652" s="18"/>
      <c r="F652" s="18"/>
      <c r="G652" s="18"/>
      <c r="H652" s="22"/>
      <c r="I652" s="5" t="s">
        <v>19</v>
      </c>
      <c r="J652" s="9">
        <v>141</v>
      </c>
      <c r="K652" s="9">
        <v>114</v>
      </c>
      <c r="L652" s="9">
        <v>121</v>
      </c>
      <c r="M652" s="6">
        <v>58</v>
      </c>
      <c r="N652" s="6">
        <v>56</v>
      </c>
      <c r="O652" s="8">
        <v>32</v>
      </c>
    </row>
    <row r="653" spans="1:15" ht="15" thickBot="1" x14ac:dyDescent="0.4">
      <c r="A653" t="str">
        <f t="shared" si="288"/>
        <v>FC195</v>
      </c>
      <c r="B653" t="str">
        <f t="shared" si="289"/>
        <v>CPAC North</v>
      </c>
      <c r="C653" s="18"/>
      <c r="D653" s="18"/>
      <c r="E653" s="18"/>
      <c r="F653" s="18"/>
      <c r="G653" s="18"/>
      <c r="H653" s="22"/>
      <c r="I653" s="3" t="s">
        <v>20</v>
      </c>
      <c r="J653" s="7">
        <v>37.1</v>
      </c>
      <c r="K653" s="6">
        <v>44.5</v>
      </c>
      <c r="L653" s="8">
        <v>49.9</v>
      </c>
      <c r="M653" s="10">
        <v>28.3</v>
      </c>
      <c r="N653" s="7">
        <v>38.799999999999997</v>
      </c>
      <c r="O653" s="10">
        <v>25.3</v>
      </c>
    </row>
    <row r="654" spans="1:15" ht="15" thickBot="1" x14ac:dyDescent="0.4">
      <c r="A654" t="str">
        <f t="shared" si="290"/>
        <v>FC195</v>
      </c>
      <c r="B654" t="str">
        <f t="shared" si="289"/>
        <v>CPAC North</v>
      </c>
      <c r="C654" s="18"/>
      <c r="D654" s="18"/>
      <c r="E654" s="18"/>
      <c r="F654" s="18"/>
      <c r="G654" s="18"/>
      <c r="H654" s="22"/>
      <c r="I654" s="5" t="s">
        <v>21</v>
      </c>
      <c r="J654" s="10">
        <v>1.27</v>
      </c>
      <c r="K654" s="10">
        <v>0.85</v>
      </c>
      <c r="L654" s="10">
        <v>0.81</v>
      </c>
      <c r="M654" s="9">
        <v>0.68</v>
      </c>
      <c r="N654" s="8">
        <v>0.48</v>
      </c>
      <c r="O654" s="8">
        <v>0.42</v>
      </c>
    </row>
    <row r="655" spans="1:15" ht="15" thickBot="1" x14ac:dyDescent="0.4">
      <c r="A655" t="str">
        <f t="shared" si="291"/>
        <v>FC195</v>
      </c>
      <c r="B655" t="str">
        <f t="shared" si="289"/>
        <v>CPAC North</v>
      </c>
      <c r="C655" s="19"/>
      <c r="D655" s="19"/>
      <c r="E655" s="19"/>
      <c r="F655" s="19"/>
      <c r="G655" s="19"/>
      <c r="H655" s="23"/>
      <c r="I655" s="3" t="s">
        <v>22</v>
      </c>
      <c r="J655" s="10" t="s">
        <v>24</v>
      </c>
      <c r="K655" s="10" t="s">
        <v>24</v>
      </c>
      <c r="L655" s="10" t="s">
        <v>24</v>
      </c>
      <c r="M655" s="9" t="s">
        <v>25</v>
      </c>
      <c r="N655" s="8" t="s">
        <v>23</v>
      </c>
      <c r="O655" s="8" t="s">
        <v>23</v>
      </c>
    </row>
    <row r="656" spans="1:15" ht="15" thickBot="1" x14ac:dyDescent="0.4">
      <c r="B656" t="str">
        <f t="shared" si="289"/>
        <v>CPAC North</v>
      </c>
      <c r="C656" s="16"/>
      <c r="D656" s="16"/>
      <c r="E656" s="16"/>
      <c r="F656" s="16"/>
      <c r="G656" s="16" t="s">
        <v>176</v>
      </c>
      <c r="H656" s="20" t="s">
        <v>17</v>
      </c>
      <c r="I656" s="1"/>
      <c r="J656" s="1"/>
      <c r="K656" s="1"/>
      <c r="L656" s="1"/>
      <c r="M656" s="1"/>
      <c r="N656" s="1"/>
      <c r="O656" s="1"/>
    </row>
    <row r="657" spans="1:15" ht="15" thickBot="1" x14ac:dyDescent="0.4">
      <c r="A657" t="str">
        <f t="shared" si="286"/>
        <v>FC247</v>
      </c>
      <c r="B657" t="str">
        <f t="shared" si="289"/>
        <v>CPAC North</v>
      </c>
      <c r="C657" s="18"/>
      <c r="D657" s="18"/>
      <c r="E657" s="18"/>
      <c r="F657" s="18"/>
      <c r="G657" s="18"/>
      <c r="H657" s="22"/>
      <c r="I657" s="3" t="s">
        <v>18</v>
      </c>
      <c r="J657" s="8">
        <v>18</v>
      </c>
      <c r="K657" s="4">
        <v>30</v>
      </c>
      <c r="L657" s="8">
        <v>18</v>
      </c>
      <c r="M657" s="8">
        <v>26</v>
      </c>
      <c r="N657" s="8">
        <v>26</v>
      </c>
      <c r="O657" s="11"/>
    </row>
    <row r="658" spans="1:15" ht="15" thickBot="1" x14ac:dyDescent="0.4">
      <c r="A658" t="str">
        <f t="shared" si="287"/>
        <v>FC247</v>
      </c>
      <c r="B658" t="str">
        <f t="shared" si="289"/>
        <v>CPAC North</v>
      </c>
      <c r="C658" s="18"/>
      <c r="D658" s="18"/>
      <c r="E658" s="18"/>
      <c r="F658" s="18"/>
      <c r="G658" s="18"/>
      <c r="H658" s="22"/>
      <c r="I658" s="5" t="s">
        <v>19</v>
      </c>
      <c r="J658" s="9">
        <v>123</v>
      </c>
      <c r="K658" s="9">
        <v>119</v>
      </c>
      <c r="L658" s="9">
        <v>115</v>
      </c>
      <c r="M658" s="7">
        <v>83</v>
      </c>
      <c r="N658" s="7">
        <v>76</v>
      </c>
      <c r="O658" s="11"/>
    </row>
    <row r="659" spans="1:15" ht="15" thickBot="1" x14ac:dyDescent="0.4">
      <c r="A659" t="str">
        <f t="shared" si="288"/>
        <v>FC247</v>
      </c>
      <c r="B659" t="str">
        <f t="shared" si="289"/>
        <v>CPAC North</v>
      </c>
      <c r="C659" s="18"/>
      <c r="D659" s="18"/>
      <c r="E659" s="18"/>
      <c r="F659" s="18"/>
      <c r="G659" s="18"/>
      <c r="H659" s="22"/>
      <c r="I659" s="3" t="s">
        <v>20</v>
      </c>
      <c r="J659" s="8">
        <v>52.8</v>
      </c>
      <c r="K659" s="10">
        <v>19.899999999999999</v>
      </c>
      <c r="L659" s="10">
        <v>28.4</v>
      </c>
      <c r="M659" s="8">
        <v>55.2</v>
      </c>
      <c r="N659" s="9">
        <v>30.4</v>
      </c>
      <c r="O659" s="11"/>
    </row>
    <row r="660" spans="1:15" ht="15" thickBot="1" x14ac:dyDescent="0.4">
      <c r="A660" t="str">
        <f t="shared" si="290"/>
        <v>FC247</v>
      </c>
      <c r="B660" t="str">
        <f t="shared" si="289"/>
        <v>CPAC North</v>
      </c>
      <c r="C660" s="18"/>
      <c r="D660" s="18"/>
      <c r="E660" s="18"/>
      <c r="F660" s="18"/>
      <c r="G660" s="18"/>
      <c r="H660" s="22"/>
      <c r="I660" s="5" t="s">
        <v>21</v>
      </c>
      <c r="J660" s="9">
        <v>0.77</v>
      </c>
      <c r="K660" s="10">
        <v>1.99</v>
      </c>
      <c r="L660" s="10">
        <v>1.35</v>
      </c>
      <c r="M660" s="8">
        <v>0.5</v>
      </c>
      <c r="N660" s="10">
        <v>0.83</v>
      </c>
      <c r="O660" s="11"/>
    </row>
    <row r="661" spans="1:15" ht="15" thickBot="1" x14ac:dyDescent="0.4">
      <c r="A661" t="str">
        <f t="shared" si="291"/>
        <v>FC247</v>
      </c>
      <c r="B661" t="str">
        <f t="shared" si="289"/>
        <v>CPAC North</v>
      </c>
      <c r="C661" s="19"/>
      <c r="D661" s="19"/>
      <c r="E661" s="19"/>
      <c r="F661" s="19"/>
      <c r="G661" s="19"/>
      <c r="H661" s="23"/>
      <c r="I661" s="3" t="s">
        <v>22</v>
      </c>
      <c r="J661" s="10" t="s">
        <v>24</v>
      </c>
      <c r="K661" s="10" t="s">
        <v>24</v>
      </c>
      <c r="L661" s="10" t="s">
        <v>24</v>
      </c>
      <c r="M661" s="8" t="s">
        <v>23</v>
      </c>
      <c r="N661" s="10" t="s">
        <v>24</v>
      </c>
      <c r="O661" s="11" t="s">
        <v>27</v>
      </c>
    </row>
    <row r="662" spans="1:15" ht="15" thickBot="1" x14ac:dyDescent="0.4">
      <c r="B662" t="str">
        <f t="shared" si="289"/>
        <v>CPAC North</v>
      </c>
      <c r="C662" s="16"/>
      <c r="D662" s="16"/>
      <c r="E662" s="16"/>
      <c r="F662" s="16"/>
      <c r="G662" s="16" t="s">
        <v>177</v>
      </c>
      <c r="H662" s="20" t="s">
        <v>17</v>
      </c>
      <c r="I662" s="1"/>
      <c r="J662" s="1"/>
      <c r="K662" s="1"/>
      <c r="L662" s="1"/>
      <c r="M662" s="1"/>
      <c r="N662" s="1"/>
      <c r="O662" s="1"/>
    </row>
    <row r="663" spans="1:15" ht="15" thickBot="1" x14ac:dyDescent="0.4">
      <c r="A663" t="str">
        <f t="shared" si="286"/>
        <v>FC404</v>
      </c>
      <c r="B663" t="str">
        <f t="shared" si="289"/>
        <v>CPAC North</v>
      </c>
      <c r="C663" s="18"/>
      <c r="D663" s="18"/>
      <c r="E663" s="18"/>
      <c r="F663" s="18"/>
      <c r="G663" s="18"/>
      <c r="H663" s="22"/>
      <c r="I663" s="3" t="s">
        <v>18</v>
      </c>
      <c r="J663" s="4">
        <v>32</v>
      </c>
      <c r="K663" s="4">
        <v>32</v>
      </c>
      <c r="L663" s="8">
        <v>26</v>
      </c>
      <c r="M663" s="11"/>
      <c r="N663" s="8">
        <v>28</v>
      </c>
      <c r="O663" s="4">
        <v>30</v>
      </c>
    </row>
    <row r="664" spans="1:15" ht="15" thickBot="1" x14ac:dyDescent="0.4">
      <c r="A664" t="str">
        <f t="shared" si="287"/>
        <v>FC404</v>
      </c>
      <c r="B664" t="str">
        <f t="shared" si="289"/>
        <v>CPAC North</v>
      </c>
      <c r="C664" s="18"/>
      <c r="D664" s="18"/>
      <c r="E664" s="18"/>
      <c r="F664" s="18"/>
      <c r="G664" s="18"/>
      <c r="H664" s="22"/>
      <c r="I664" s="5" t="s">
        <v>19</v>
      </c>
      <c r="J664" s="9">
        <v>124</v>
      </c>
      <c r="K664" s="9">
        <v>94</v>
      </c>
      <c r="L664" s="9">
        <v>124</v>
      </c>
      <c r="M664" s="11"/>
      <c r="N664" s="7">
        <v>89</v>
      </c>
      <c r="O664" s="8">
        <v>28</v>
      </c>
    </row>
    <row r="665" spans="1:15" ht="15" thickBot="1" x14ac:dyDescent="0.4">
      <c r="A665" t="str">
        <f t="shared" si="288"/>
        <v>FC404</v>
      </c>
      <c r="B665" t="str">
        <f t="shared" si="289"/>
        <v>CPAC North</v>
      </c>
      <c r="C665" s="18"/>
      <c r="D665" s="18"/>
      <c r="E665" s="18"/>
      <c r="F665" s="18"/>
      <c r="G665" s="18"/>
      <c r="H665" s="22"/>
      <c r="I665" s="3" t="s">
        <v>20</v>
      </c>
      <c r="J665" s="8">
        <v>54</v>
      </c>
      <c r="K665" s="9">
        <v>30.8</v>
      </c>
      <c r="L665" s="9">
        <v>29.4</v>
      </c>
      <c r="M665" s="11"/>
      <c r="N665" s="9">
        <v>33.299999999999997</v>
      </c>
      <c r="O665" s="10">
        <v>19.3</v>
      </c>
    </row>
    <row r="666" spans="1:15" ht="15" thickBot="1" x14ac:dyDescent="0.4">
      <c r="A666" t="str">
        <f t="shared" si="290"/>
        <v>FC404</v>
      </c>
      <c r="B666" t="str">
        <f t="shared" si="289"/>
        <v>CPAC North</v>
      </c>
      <c r="C666" s="18"/>
      <c r="D666" s="18"/>
      <c r="E666" s="18"/>
      <c r="F666" s="18"/>
      <c r="G666" s="18"/>
      <c r="H666" s="22"/>
      <c r="I666" s="5" t="s">
        <v>21</v>
      </c>
      <c r="J666" s="9">
        <v>0.76</v>
      </c>
      <c r="K666" s="10">
        <v>1.02</v>
      </c>
      <c r="L666" s="10">
        <v>1.41</v>
      </c>
      <c r="M666" s="11"/>
      <c r="N666" s="10">
        <v>0.89</v>
      </c>
      <c r="O666" s="8">
        <v>0.49</v>
      </c>
    </row>
    <row r="667" spans="1:15" ht="15" thickBot="1" x14ac:dyDescent="0.4">
      <c r="A667" t="str">
        <f t="shared" si="291"/>
        <v>FC404</v>
      </c>
      <c r="B667" t="str">
        <f t="shared" si="289"/>
        <v>CPAC North</v>
      </c>
      <c r="C667" s="19"/>
      <c r="D667" s="19"/>
      <c r="E667" s="19"/>
      <c r="F667" s="19"/>
      <c r="G667" s="19"/>
      <c r="H667" s="23"/>
      <c r="I667" s="3" t="s">
        <v>22</v>
      </c>
      <c r="J667" s="10" t="s">
        <v>24</v>
      </c>
      <c r="K667" s="10" t="s">
        <v>24</v>
      </c>
      <c r="L667" s="10" t="s">
        <v>24</v>
      </c>
      <c r="M667" s="11" t="s">
        <v>45</v>
      </c>
      <c r="N667" s="10" t="s">
        <v>24</v>
      </c>
      <c r="O667" s="11"/>
    </row>
    <row r="668" spans="1:15" ht="15" thickBot="1" x14ac:dyDescent="0.4">
      <c r="B668" t="str">
        <f t="shared" si="289"/>
        <v>CPAC North</v>
      </c>
      <c r="C668" s="16"/>
      <c r="D668" s="16"/>
      <c r="E668" s="16"/>
      <c r="F668" s="16"/>
      <c r="G668" s="16" t="s">
        <v>178</v>
      </c>
      <c r="H668" s="30" t="s">
        <v>39</v>
      </c>
      <c r="I668" s="1"/>
      <c r="J668" s="1"/>
      <c r="K668" s="1"/>
      <c r="L668" s="1"/>
      <c r="M668" s="1"/>
      <c r="N668" s="1"/>
      <c r="O668" s="1"/>
    </row>
    <row r="669" spans="1:15" ht="15" thickBot="1" x14ac:dyDescent="0.4">
      <c r="A669" t="str">
        <f t="shared" si="286"/>
        <v>FC205</v>
      </c>
      <c r="B669" t="str">
        <f t="shared" si="289"/>
        <v>CPAC North</v>
      </c>
      <c r="C669" s="18"/>
      <c r="D669" s="18"/>
      <c r="E669" s="18"/>
      <c r="F669" s="18"/>
      <c r="G669" s="18"/>
      <c r="H669" s="31"/>
      <c r="I669" s="3" t="s">
        <v>18</v>
      </c>
      <c r="J669" s="4">
        <v>30</v>
      </c>
      <c r="K669" s="8">
        <v>24</v>
      </c>
      <c r="L669" s="8">
        <v>18</v>
      </c>
      <c r="M669" s="8">
        <v>18</v>
      </c>
      <c r="N669" s="8">
        <v>24</v>
      </c>
      <c r="O669" s="8">
        <v>24</v>
      </c>
    </row>
    <row r="670" spans="1:15" ht="15" thickBot="1" x14ac:dyDescent="0.4">
      <c r="A670" t="str">
        <f t="shared" si="287"/>
        <v>FC205</v>
      </c>
      <c r="B670" t="str">
        <f t="shared" si="289"/>
        <v>CPAC North</v>
      </c>
      <c r="C670" s="18"/>
      <c r="D670" s="18"/>
      <c r="E670" s="18"/>
      <c r="F670" s="18"/>
      <c r="G670" s="18"/>
      <c r="H670" s="31"/>
      <c r="I670" s="5" t="s">
        <v>19</v>
      </c>
      <c r="J670" s="7">
        <v>73</v>
      </c>
      <c r="K670" s="7">
        <v>80</v>
      </c>
      <c r="L670" s="6">
        <v>52</v>
      </c>
      <c r="M670" s="6">
        <v>67</v>
      </c>
      <c r="N670" s="7">
        <v>73</v>
      </c>
      <c r="O670" s="6">
        <v>62</v>
      </c>
    </row>
    <row r="671" spans="1:15" ht="15" thickBot="1" x14ac:dyDescent="0.4">
      <c r="A671" t="str">
        <f t="shared" si="288"/>
        <v>FC205</v>
      </c>
      <c r="B671" t="str">
        <f t="shared" si="289"/>
        <v>CPAC North</v>
      </c>
      <c r="C671" s="18"/>
      <c r="D671" s="18"/>
      <c r="E671" s="18"/>
      <c r="F671" s="18"/>
      <c r="G671" s="18"/>
      <c r="H671" s="31"/>
      <c r="I671" s="3" t="s">
        <v>20</v>
      </c>
      <c r="J671" s="10">
        <v>18.7</v>
      </c>
      <c r="K671" s="10">
        <v>23.1</v>
      </c>
      <c r="L671" s="10">
        <v>26.1</v>
      </c>
      <c r="M671" s="10">
        <v>16</v>
      </c>
      <c r="N671" s="10">
        <v>22.3</v>
      </c>
      <c r="O671" s="10">
        <v>16.5</v>
      </c>
    </row>
    <row r="672" spans="1:15" ht="15" thickBot="1" x14ac:dyDescent="0.4">
      <c r="A672" t="str">
        <f t="shared" si="290"/>
        <v>FC205</v>
      </c>
      <c r="B672" t="str">
        <f t="shared" si="289"/>
        <v>CPAC North</v>
      </c>
      <c r="C672" s="18"/>
      <c r="D672" s="18"/>
      <c r="E672" s="18"/>
      <c r="F672" s="18"/>
      <c r="G672" s="18"/>
      <c r="H672" s="31"/>
      <c r="I672" s="5" t="s">
        <v>21</v>
      </c>
      <c r="J672" s="10">
        <v>1.3</v>
      </c>
      <c r="K672" s="10">
        <v>1.1499999999999999</v>
      </c>
      <c r="L672" s="9">
        <v>0.66</v>
      </c>
      <c r="M672" s="10">
        <v>1.4</v>
      </c>
      <c r="N672" s="10">
        <v>1.0900000000000001</v>
      </c>
      <c r="O672" s="10">
        <v>1.26</v>
      </c>
    </row>
    <row r="673" spans="1:15" ht="15" thickBot="1" x14ac:dyDescent="0.4">
      <c r="A673" t="str">
        <f t="shared" si="291"/>
        <v>FC205</v>
      </c>
      <c r="B673" t="str">
        <f t="shared" si="289"/>
        <v>CPAC North</v>
      </c>
      <c r="C673" s="19"/>
      <c r="D673" s="19"/>
      <c r="E673" s="19"/>
      <c r="F673" s="19"/>
      <c r="G673" s="19"/>
      <c r="H673" s="32"/>
      <c r="I673" s="3" t="s">
        <v>22</v>
      </c>
      <c r="J673" s="11"/>
      <c r="K673" s="10" t="s">
        <v>24</v>
      </c>
      <c r="L673" s="9" t="s">
        <v>25</v>
      </c>
      <c r="M673" s="10" t="s">
        <v>24</v>
      </c>
      <c r="N673" s="10" t="s">
        <v>24</v>
      </c>
      <c r="O673" s="10" t="s">
        <v>24</v>
      </c>
    </row>
    <row r="674" spans="1:15" ht="15" thickBot="1" x14ac:dyDescent="0.4">
      <c r="B674" t="str">
        <f t="shared" si="289"/>
        <v>CPAC North</v>
      </c>
      <c r="C674" s="16"/>
      <c r="D674" s="16"/>
      <c r="E674" s="16"/>
      <c r="F674" s="16"/>
      <c r="G674" s="16" t="s">
        <v>179</v>
      </c>
      <c r="H674" s="20" t="s">
        <v>17</v>
      </c>
      <c r="I674" s="1"/>
      <c r="J674" s="1"/>
      <c r="K674" s="1"/>
      <c r="L674" s="1"/>
      <c r="M674" s="1"/>
      <c r="N674" s="1"/>
      <c r="O674" s="1"/>
    </row>
    <row r="675" spans="1:15" ht="15" thickBot="1" x14ac:dyDescent="0.4">
      <c r="A675" t="str">
        <f t="shared" si="286"/>
        <v>FC368</v>
      </c>
      <c r="B675" t="str">
        <f t="shared" si="289"/>
        <v>CPAC North</v>
      </c>
      <c r="C675" s="18"/>
      <c r="D675" s="18"/>
      <c r="E675" s="18"/>
      <c r="F675" s="18"/>
      <c r="G675" s="18"/>
      <c r="H675" s="22"/>
      <c r="I675" s="3" t="s">
        <v>18</v>
      </c>
      <c r="J675" s="4">
        <v>30</v>
      </c>
      <c r="K675" s="4">
        <v>30</v>
      </c>
      <c r="L675" s="4">
        <v>30</v>
      </c>
      <c r="M675" s="11"/>
      <c r="N675" s="4">
        <v>30</v>
      </c>
      <c r="O675" s="4">
        <v>30</v>
      </c>
    </row>
    <row r="676" spans="1:15" ht="15" thickBot="1" x14ac:dyDescent="0.4">
      <c r="A676" t="str">
        <f t="shared" si="287"/>
        <v>FC368</v>
      </c>
      <c r="B676" t="str">
        <f t="shared" si="289"/>
        <v>CPAC North</v>
      </c>
      <c r="C676" s="18"/>
      <c r="D676" s="18"/>
      <c r="E676" s="18"/>
      <c r="F676" s="18"/>
      <c r="G676" s="18"/>
      <c r="H676" s="22"/>
      <c r="I676" s="5" t="s">
        <v>19</v>
      </c>
      <c r="J676" s="6">
        <v>51</v>
      </c>
      <c r="K676" s="6">
        <v>52</v>
      </c>
      <c r="L676" s="6">
        <v>55</v>
      </c>
      <c r="M676" s="11"/>
      <c r="N676" s="6">
        <v>51</v>
      </c>
      <c r="O676" s="6">
        <v>59</v>
      </c>
    </row>
    <row r="677" spans="1:15" ht="15" thickBot="1" x14ac:dyDescent="0.4">
      <c r="A677" t="str">
        <f t="shared" si="288"/>
        <v>FC368</v>
      </c>
      <c r="B677" t="str">
        <f t="shared" si="289"/>
        <v>CPAC North</v>
      </c>
      <c r="C677" s="18"/>
      <c r="D677" s="18"/>
      <c r="E677" s="18"/>
      <c r="F677" s="18"/>
      <c r="G677" s="18"/>
      <c r="H677" s="22"/>
      <c r="I677" s="3" t="s">
        <v>20</v>
      </c>
      <c r="J677" s="10">
        <v>17.100000000000001</v>
      </c>
      <c r="K677" s="10">
        <v>18.3</v>
      </c>
      <c r="L677" s="10">
        <v>13.7</v>
      </c>
      <c r="M677" s="11"/>
      <c r="N677" s="10">
        <v>20</v>
      </c>
      <c r="O677" s="10">
        <v>16.399999999999999</v>
      </c>
    </row>
    <row r="678" spans="1:15" ht="15" thickBot="1" x14ac:dyDescent="0.4">
      <c r="A678" t="str">
        <f t="shared" si="290"/>
        <v>FC368</v>
      </c>
      <c r="B678" t="str">
        <f t="shared" si="289"/>
        <v>CPAC North</v>
      </c>
      <c r="C678" s="18"/>
      <c r="D678" s="18"/>
      <c r="E678" s="18"/>
      <c r="F678" s="18"/>
      <c r="G678" s="18"/>
      <c r="H678" s="22"/>
      <c r="I678" s="5" t="s">
        <v>21</v>
      </c>
      <c r="J678" s="10">
        <v>0.98</v>
      </c>
      <c r="K678" s="10">
        <v>0.95</v>
      </c>
      <c r="L678" s="10">
        <v>1.34</v>
      </c>
      <c r="M678" s="11"/>
      <c r="N678" s="10">
        <v>0.85</v>
      </c>
      <c r="O678" s="10">
        <v>1.2</v>
      </c>
    </row>
    <row r="679" spans="1:15" ht="15" thickBot="1" x14ac:dyDescent="0.4">
      <c r="A679" t="str">
        <f t="shared" si="291"/>
        <v>FC368</v>
      </c>
      <c r="B679" t="str">
        <f t="shared" si="289"/>
        <v>CPAC North</v>
      </c>
      <c r="C679" s="19"/>
      <c r="D679" s="19"/>
      <c r="E679" s="19"/>
      <c r="F679" s="19"/>
      <c r="G679" s="19"/>
      <c r="H679" s="23"/>
      <c r="I679" s="3" t="s">
        <v>22</v>
      </c>
      <c r="J679" s="11"/>
      <c r="K679" s="10" t="s">
        <v>24</v>
      </c>
      <c r="L679" s="10" t="s">
        <v>24</v>
      </c>
      <c r="M679" s="11" t="s">
        <v>27</v>
      </c>
      <c r="N679" s="9" t="s">
        <v>25</v>
      </c>
      <c r="O679" s="10" t="s">
        <v>24</v>
      </c>
    </row>
    <row r="680" spans="1:15" ht="15" thickBot="1" x14ac:dyDescent="0.4">
      <c r="B680" t="str">
        <f t="shared" si="289"/>
        <v>CPAC North</v>
      </c>
      <c r="C680" s="16"/>
      <c r="D680" s="16"/>
      <c r="E680" s="16"/>
      <c r="F680" s="16"/>
      <c r="G680" s="16" t="s">
        <v>180</v>
      </c>
      <c r="H680" s="20" t="s">
        <v>17</v>
      </c>
      <c r="I680" s="1"/>
      <c r="J680" s="1"/>
      <c r="K680" s="1"/>
      <c r="L680" s="1"/>
      <c r="M680" s="1"/>
      <c r="N680" s="1"/>
      <c r="O680" s="1"/>
    </row>
    <row r="681" spans="1:15" ht="15" thickBot="1" x14ac:dyDescent="0.4">
      <c r="A681" t="str">
        <f t="shared" si="286"/>
        <v>FC364</v>
      </c>
      <c r="B681" t="str">
        <f t="shared" si="289"/>
        <v>CPAC North</v>
      </c>
      <c r="C681" s="18"/>
      <c r="D681" s="18"/>
      <c r="E681" s="18"/>
      <c r="F681" s="18"/>
      <c r="G681" s="18"/>
      <c r="H681" s="22"/>
      <c r="I681" s="3" t="s">
        <v>18</v>
      </c>
      <c r="J681" s="8">
        <v>23</v>
      </c>
      <c r="K681" s="8">
        <v>18</v>
      </c>
      <c r="L681" s="8">
        <v>15</v>
      </c>
      <c r="M681" s="8">
        <v>18</v>
      </c>
      <c r="N681" s="8">
        <v>22</v>
      </c>
      <c r="O681" s="8">
        <v>15</v>
      </c>
    </row>
    <row r="682" spans="1:15" ht="15" thickBot="1" x14ac:dyDescent="0.4">
      <c r="A682" t="str">
        <f t="shared" si="287"/>
        <v>FC364</v>
      </c>
      <c r="B682" t="str">
        <f t="shared" si="289"/>
        <v>CPAC North</v>
      </c>
      <c r="C682" s="18"/>
      <c r="D682" s="18"/>
      <c r="E682" s="18"/>
      <c r="F682" s="18"/>
      <c r="G682" s="18"/>
      <c r="H682" s="22"/>
      <c r="I682" s="5" t="s">
        <v>19</v>
      </c>
      <c r="J682" s="7">
        <v>80</v>
      </c>
      <c r="K682" s="9">
        <v>124</v>
      </c>
      <c r="L682" s="9">
        <v>133</v>
      </c>
      <c r="M682" s="9">
        <v>94</v>
      </c>
      <c r="N682" s="8">
        <v>49</v>
      </c>
      <c r="O682" s="6">
        <v>56</v>
      </c>
    </row>
    <row r="683" spans="1:15" ht="15" thickBot="1" x14ac:dyDescent="0.4">
      <c r="A683" t="str">
        <f t="shared" si="288"/>
        <v>FC364</v>
      </c>
      <c r="B683" t="str">
        <f t="shared" si="289"/>
        <v>CPAC North</v>
      </c>
      <c r="C683" s="18"/>
      <c r="D683" s="18"/>
      <c r="E683" s="18"/>
      <c r="F683" s="18"/>
      <c r="G683" s="18"/>
      <c r="H683" s="22"/>
      <c r="I683" s="3" t="s">
        <v>20</v>
      </c>
      <c r="J683" s="9">
        <v>33.9</v>
      </c>
      <c r="K683" s="9">
        <v>32.5</v>
      </c>
      <c r="L683" s="7">
        <v>35.6</v>
      </c>
      <c r="M683" s="10">
        <v>24.5</v>
      </c>
      <c r="N683" s="9">
        <v>34.6</v>
      </c>
      <c r="O683" s="7">
        <v>38.4</v>
      </c>
    </row>
    <row r="684" spans="1:15" ht="15" thickBot="1" x14ac:dyDescent="0.4">
      <c r="A684" t="str">
        <f t="shared" si="290"/>
        <v>FC364</v>
      </c>
      <c r="B684" t="str">
        <f t="shared" si="289"/>
        <v>CPAC North</v>
      </c>
      <c r="C684" s="18"/>
      <c r="D684" s="18"/>
      <c r="E684" s="18"/>
      <c r="F684" s="18"/>
      <c r="G684" s="18"/>
      <c r="H684" s="22"/>
      <c r="I684" s="5" t="s">
        <v>21</v>
      </c>
      <c r="J684" s="10">
        <v>0.79</v>
      </c>
      <c r="K684" s="10">
        <v>1.28</v>
      </c>
      <c r="L684" s="10">
        <v>1.25</v>
      </c>
      <c r="M684" s="10">
        <v>1.28</v>
      </c>
      <c r="N684" s="8">
        <v>0.47</v>
      </c>
      <c r="O684" s="8">
        <v>0.49</v>
      </c>
    </row>
    <row r="685" spans="1:15" ht="15" thickBot="1" x14ac:dyDescent="0.4">
      <c r="A685" t="str">
        <f t="shared" si="291"/>
        <v>FC364</v>
      </c>
      <c r="B685" t="str">
        <f t="shared" si="289"/>
        <v>CPAC North</v>
      </c>
      <c r="C685" s="19"/>
      <c r="D685" s="19"/>
      <c r="E685" s="19"/>
      <c r="F685" s="19"/>
      <c r="G685" s="19"/>
      <c r="H685" s="23"/>
      <c r="I685" s="3" t="s">
        <v>22</v>
      </c>
      <c r="J685" s="10" t="s">
        <v>24</v>
      </c>
      <c r="K685" s="10" t="s">
        <v>24</v>
      </c>
      <c r="L685" s="10" t="s">
        <v>24</v>
      </c>
      <c r="M685" s="10" t="s">
        <v>24</v>
      </c>
      <c r="N685" s="8" t="s">
        <v>23</v>
      </c>
      <c r="O685" s="8" t="s">
        <v>23</v>
      </c>
    </row>
    <row r="686" spans="1:15" ht="15" thickBot="1" x14ac:dyDescent="0.4">
      <c r="B686" t="str">
        <f t="shared" si="289"/>
        <v>CPAC North</v>
      </c>
      <c r="C686" s="16"/>
      <c r="D686" s="16"/>
      <c r="E686" s="16"/>
      <c r="F686" s="16"/>
      <c r="G686" s="16" t="s">
        <v>181</v>
      </c>
      <c r="H686" s="20" t="s">
        <v>17</v>
      </c>
      <c r="I686" s="1"/>
      <c r="J686" s="1"/>
      <c r="K686" s="1"/>
      <c r="L686" s="1"/>
      <c r="M686" s="1"/>
      <c r="N686" s="1"/>
      <c r="O686" s="1"/>
    </row>
    <row r="687" spans="1:15" ht="15" thickBot="1" x14ac:dyDescent="0.4">
      <c r="A687" t="str">
        <f t="shared" si="286"/>
        <v>FC276</v>
      </c>
      <c r="B687" t="str">
        <f t="shared" si="289"/>
        <v>CPAC North</v>
      </c>
      <c r="C687" s="18"/>
      <c r="D687" s="18"/>
      <c r="E687" s="18"/>
      <c r="F687" s="18"/>
      <c r="G687" s="18"/>
      <c r="H687" s="22"/>
      <c r="I687" s="3" t="s">
        <v>18</v>
      </c>
      <c r="J687" s="11"/>
      <c r="K687" s="11"/>
      <c r="L687" s="11"/>
      <c r="M687" s="11"/>
      <c r="N687" s="11"/>
      <c r="O687" s="4">
        <v>30</v>
      </c>
    </row>
    <row r="688" spans="1:15" ht="15" thickBot="1" x14ac:dyDescent="0.4">
      <c r="A688" t="str">
        <f t="shared" si="287"/>
        <v>FC276</v>
      </c>
      <c r="B688" t="str">
        <f t="shared" si="289"/>
        <v>CPAC North</v>
      </c>
      <c r="C688" s="18"/>
      <c r="D688" s="18"/>
      <c r="E688" s="18"/>
      <c r="F688" s="18"/>
      <c r="G688" s="18"/>
      <c r="H688" s="22"/>
      <c r="I688" s="5" t="s">
        <v>19</v>
      </c>
      <c r="J688" s="11"/>
      <c r="K688" s="11"/>
      <c r="L688" s="11"/>
      <c r="M688" s="11"/>
      <c r="N688" s="11"/>
      <c r="O688" s="6">
        <v>63</v>
      </c>
    </row>
    <row r="689" spans="1:15" ht="15" thickBot="1" x14ac:dyDescent="0.4">
      <c r="A689" t="str">
        <f t="shared" si="288"/>
        <v>FC276</v>
      </c>
      <c r="B689" t="str">
        <f t="shared" si="289"/>
        <v>CPAC North</v>
      </c>
      <c r="C689" s="18"/>
      <c r="D689" s="18"/>
      <c r="E689" s="18"/>
      <c r="F689" s="18"/>
      <c r="G689" s="18"/>
      <c r="H689" s="22"/>
      <c r="I689" s="3" t="s">
        <v>20</v>
      </c>
      <c r="J689" s="11"/>
      <c r="K689" s="11"/>
      <c r="L689" s="11"/>
      <c r="M689" s="11"/>
      <c r="N689" s="11"/>
      <c r="O689" s="10">
        <v>23.3</v>
      </c>
    </row>
    <row r="690" spans="1:15" ht="15" thickBot="1" x14ac:dyDescent="0.4">
      <c r="A690" t="str">
        <f t="shared" si="290"/>
        <v>FC276</v>
      </c>
      <c r="B690" t="str">
        <f t="shared" si="289"/>
        <v>CPAC North</v>
      </c>
      <c r="C690" s="18"/>
      <c r="D690" s="18"/>
      <c r="E690" s="18"/>
      <c r="F690" s="18"/>
      <c r="G690" s="18"/>
      <c r="H690" s="22"/>
      <c r="I690" s="5" t="s">
        <v>21</v>
      </c>
      <c r="J690" s="11"/>
      <c r="K690" s="11"/>
      <c r="L690" s="11"/>
      <c r="M690" s="11"/>
      <c r="N690" s="11"/>
      <c r="O690" s="10">
        <v>0.91</v>
      </c>
    </row>
    <row r="691" spans="1:15" ht="15" thickBot="1" x14ac:dyDescent="0.4">
      <c r="A691" t="str">
        <f t="shared" si="291"/>
        <v>FC276</v>
      </c>
      <c r="B691" t="str">
        <f t="shared" si="289"/>
        <v>CPAC North</v>
      </c>
      <c r="C691" s="19"/>
      <c r="D691" s="19"/>
      <c r="E691" s="19"/>
      <c r="F691" s="19"/>
      <c r="G691" s="19"/>
      <c r="H691" s="23"/>
      <c r="I691" s="3" t="s">
        <v>22</v>
      </c>
      <c r="J691" s="11" t="s">
        <v>45</v>
      </c>
      <c r="K691" s="11" t="s">
        <v>45</v>
      </c>
      <c r="L691" s="11" t="s">
        <v>45</v>
      </c>
      <c r="M691" s="11" t="s">
        <v>45</v>
      </c>
      <c r="N691" s="11" t="s">
        <v>45</v>
      </c>
      <c r="O691" s="10" t="s">
        <v>24</v>
      </c>
    </row>
    <row r="692" spans="1:15" ht="15" thickBot="1" x14ac:dyDescent="0.4">
      <c r="B692" t="str">
        <f t="shared" si="289"/>
        <v>CPAC North</v>
      </c>
      <c r="C692" s="16"/>
      <c r="D692" s="16"/>
      <c r="E692" s="16"/>
      <c r="F692" s="16" t="s">
        <v>182</v>
      </c>
      <c r="G692" s="16" t="s">
        <v>183</v>
      </c>
      <c r="H692" s="20" t="s">
        <v>17</v>
      </c>
      <c r="I692" s="1"/>
      <c r="J692" s="1"/>
      <c r="K692" s="1"/>
      <c r="L692" s="1"/>
      <c r="M692" s="1"/>
      <c r="N692" s="1"/>
      <c r="O692" s="1"/>
    </row>
    <row r="693" spans="1:15" ht="15" thickBot="1" x14ac:dyDescent="0.4">
      <c r="A693" t="str">
        <f t="shared" si="286"/>
        <v>FC392</v>
      </c>
      <c r="B693" t="str">
        <f t="shared" si="289"/>
        <v>CPAC North</v>
      </c>
      <c r="C693" s="18"/>
      <c r="D693" s="18"/>
      <c r="E693" s="18"/>
      <c r="F693" s="18"/>
      <c r="G693" s="18"/>
      <c r="H693" s="22"/>
      <c r="I693" s="3" t="s">
        <v>18</v>
      </c>
      <c r="J693" s="11"/>
      <c r="K693" s="11"/>
      <c r="L693" s="11"/>
      <c r="M693" s="4">
        <v>32</v>
      </c>
      <c r="N693" s="8">
        <v>25</v>
      </c>
      <c r="O693" s="11"/>
    </row>
    <row r="694" spans="1:15" ht="15" thickBot="1" x14ac:dyDescent="0.4">
      <c r="A694" t="str">
        <f t="shared" si="287"/>
        <v>FC392</v>
      </c>
      <c r="B694" t="str">
        <f t="shared" si="289"/>
        <v>CPAC North</v>
      </c>
      <c r="C694" s="18"/>
      <c r="D694" s="18"/>
      <c r="E694" s="18"/>
      <c r="F694" s="18"/>
      <c r="G694" s="18"/>
      <c r="H694" s="22"/>
      <c r="I694" s="5" t="s">
        <v>19</v>
      </c>
      <c r="J694" s="11"/>
      <c r="K694" s="11"/>
      <c r="L694" s="11"/>
      <c r="M694" s="6">
        <v>52</v>
      </c>
      <c r="N694" s="8">
        <v>39</v>
      </c>
      <c r="O694" s="11"/>
    </row>
    <row r="695" spans="1:15" ht="15" thickBot="1" x14ac:dyDescent="0.4">
      <c r="A695" t="str">
        <f t="shared" si="288"/>
        <v>FC392</v>
      </c>
      <c r="B695" t="str">
        <f t="shared" si="289"/>
        <v>CPAC North</v>
      </c>
      <c r="C695" s="18"/>
      <c r="D695" s="18"/>
      <c r="E695" s="18"/>
      <c r="F695" s="18"/>
      <c r="G695" s="18"/>
      <c r="H695" s="22"/>
      <c r="I695" s="3" t="s">
        <v>20</v>
      </c>
      <c r="J695" s="11"/>
      <c r="K695" s="11"/>
      <c r="L695" s="11"/>
      <c r="M695" s="9">
        <v>30.2</v>
      </c>
      <c r="N695" s="10">
        <v>19.399999999999999</v>
      </c>
      <c r="O695" s="11"/>
    </row>
    <row r="696" spans="1:15" ht="15" thickBot="1" x14ac:dyDescent="0.4">
      <c r="A696" t="str">
        <f t="shared" si="290"/>
        <v>FC392</v>
      </c>
      <c r="B696" t="str">
        <f t="shared" si="289"/>
        <v>CPAC North</v>
      </c>
      <c r="C696" s="18"/>
      <c r="D696" s="18"/>
      <c r="E696" s="18"/>
      <c r="F696" s="18"/>
      <c r="G696" s="18"/>
      <c r="H696" s="22"/>
      <c r="I696" s="5" t="s">
        <v>21</v>
      </c>
      <c r="J696" s="11"/>
      <c r="K696" s="11"/>
      <c r="L696" s="11"/>
      <c r="M696" s="9">
        <v>0.57999999999999996</v>
      </c>
      <c r="N696" s="9">
        <v>0.67</v>
      </c>
      <c r="O696" s="11"/>
    </row>
    <row r="697" spans="1:15" ht="15" thickBot="1" x14ac:dyDescent="0.4">
      <c r="A697" t="str">
        <f t="shared" si="291"/>
        <v>FC392</v>
      </c>
      <c r="B697" t="str">
        <f t="shared" si="289"/>
        <v>CPAC North</v>
      </c>
      <c r="C697" s="19"/>
      <c r="D697" s="19"/>
      <c r="E697" s="19"/>
      <c r="F697" s="19"/>
      <c r="G697" s="19"/>
      <c r="H697" s="23"/>
      <c r="I697" s="3" t="s">
        <v>22</v>
      </c>
      <c r="J697" s="11" t="s">
        <v>31</v>
      </c>
      <c r="K697" s="11" t="s">
        <v>31</v>
      </c>
      <c r="L697" s="11" t="s">
        <v>45</v>
      </c>
      <c r="M697" s="11"/>
      <c r="N697" s="9" t="s">
        <v>25</v>
      </c>
      <c r="O697" s="11" t="s">
        <v>45</v>
      </c>
    </row>
    <row r="698" spans="1:15" ht="15" thickBot="1" x14ac:dyDescent="0.4">
      <c r="B698" t="str">
        <f t="shared" si="289"/>
        <v>CPAC North</v>
      </c>
      <c r="C698" s="16"/>
      <c r="D698" s="16"/>
      <c r="E698" s="16"/>
      <c r="F698" s="16" t="s">
        <v>184</v>
      </c>
      <c r="G698" s="16" t="s">
        <v>185</v>
      </c>
      <c r="H698" s="27" t="s">
        <v>34</v>
      </c>
      <c r="I698" s="1"/>
      <c r="J698" s="1"/>
      <c r="K698" s="1"/>
      <c r="L698" s="1"/>
      <c r="M698" s="1"/>
      <c r="N698" s="1"/>
      <c r="O698" s="1"/>
    </row>
    <row r="699" spans="1:15" ht="15" thickBot="1" x14ac:dyDescent="0.4">
      <c r="A699" t="str">
        <f t="shared" si="286"/>
        <v>FC297</v>
      </c>
      <c r="B699" t="str">
        <f t="shared" si="289"/>
        <v>CPAC North</v>
      </c>
      <c r="C699" s="18"/>
      <c r="D699" s="18"/>
      <c r="E699" s="18"/>
      <c r="F699" s="18"/>
      <c r="G699" s="18"/>
      <c r="H699" s="28"/>
      <c r="I699" s="3" t="s">
        <v>18</v>
      </c>
      <c r="J699" s="4">
        <v>33</v>
      </c>
      <c r="K699" s="4">
        <v>30</v>
      </c>
      <c r="L699" s="4">
        <v>30</v>
      </c>
      <c r="M699" s="4">
        <v>30</v>
      </c>
      <c r="N699" s="4">
        <v>30</v>
      </c>
      <c r="O699" s="4">
        <v>30</v>
      </c>
    </row>
    <row r="700" spans="1:15" ht="15" thickBot="1" x14ac:dyDescent="0.4">
      <c r="A700" t="str">
        <f t="shared" si="287"/>
        <v>FC297</v>
      </c>
      <c r="B700" t="str">
        <f t="shared" si="289"/>
        <v>CPAC North</v>
      </c>
      <c r="C700" s="18"/>
      <c r="D700" s="18"/>
      <c r="E700" s="18"/>
      <c r="F700" s="18"/>
      <c r="G700" s="18"/>
      <c r="H700" s="28"/>
      <c r="I700" s="5" t="s">
        <v>19</v>
      </c>
      <c r="J700" s="6">
        <v>50</v>
      </c>
      <c r="K700" s="6">
        <v>52</v>
      </c>
      <c r="L700" s="6">
        <v>52</v>
      </c>
      <c r="M700" s="6">
        <v>59</v>
      </c>
      <c r="N700" s="6">
        <v>59</v>
      </c>
      <c r="O700" s="6">
        <v>51</v>
      </c>
    </row>
    <row r="701" spans="1:15" ht="15" thickBot="1" x14ac:dyDescent="0.4">
      <c r="A701" t="str">
        <f t="shared" si="288"/>
        <v>FC297</v>
      </c>
      <c r="B701" t="str">
        <f t="shared" si="289"/>
        <v>CPAC North</v>
      </c>
      <c r="C701" s="18"/>
      <c r="D701" s="18"/>
      <c r="E701" s="18"/>
      <c r="F701" s="18"/>
      <c r="G701" s="18"/>
      <c r="H701" s="28"/>
      <c r="I701" s="3" t="s">
        <v>20</v>
      </c>
      <c r="J701" s="10">
        <v>12.6</v>
      </c>
      <c r="K701" s="10">
        <v>18.2</v>
      </c>
      <c r="L701" s="10">
        <v>25.4</v>
      </c>
      <c r="M701" s="10">
        <v>13.8</v>
      </c>
      <c r="N701" s="10">
        <v>12</v>
      </c>
      <c r="O701" s="10">
        <v>9.4</v>
      </c>
    </row>
    <row r="702" spans="1:15" ht="15" thickBot="1" x14ac:dyDescent="0.4">
      <c r="A702" t="str">
        <f t="shared" si="290"/>
        <v>FC297</v>
      </c>
      <c r="B702" t="str">
        <f t="shared" si="289"/>
        <v>CPAC North</v>
      </c>
      <c r="C702" s="18"/>
      <c r="D702" s="18"/>
      <c r="E702" s="18"/>
      <c r="F702" s="18"/>
      <c r="G702" s="18"/>
      <c r="H702" s="28"/>
      <c r="I702" s="5" t="s">
        <v>21</v>
      </c>
      <c r="J702" s="10">
        <v>1.33</v>
      </c>
      <c r="K702" s="10">
        <v>0.96</v>
      </c>
      <c r="L702" s="9">
        <v>0.68</v>
      </c>
      <c r="M702" s="10">
        <v>1.43</v>
      </c>
      <c r="N702" s="10">
        <v>1.63</v>
      </c>
      <c r="O702" s="10">
        <v>1.81</v>
      </c>
    </row>
    <row r="703" spans="1:15" ht="15" thickBot="1" x14ac:dyDescent="0.4">
      <c r="A703" t="str">
        <f t="shared" si="291"/>
        <v>FC297</v>
      </c>
      <c r="B703" t="str">
        <f t="shared" si="289"/>
        <v>CPAC North</v>
      </c>
      <c r="C703" s="19"/>
      <c r="D703" s="19"/>
      <c r="E703" s="19"/>
      <c r="F703" s="19"/>
      <c r="G703" s="19"/>
      <c r="H703" s="29"/>
      <c r="I703" s="3" t="s">
        <v>22</v>
      </c>
      <c r="J703" s="11"/>
      <c r="K703" s="11"/>
      <c r="L703" s="11"/>
      <c r="M703" s="11"/>
      <c r="N703" s="10" t="s">
        <v>24</v>
      </c>
      <c r="O703" s="11"/>
    </row>
    <row r="704" spans="1:15" ht="15" thickBot="1" x14ac:dyDescent="0.4">
      <c r="B704" t="str">
        <f t="shared" si="289"/>
        <v>CPAC North</v>
      </c>
      <c r="C704" s="16"/>
      <c r="D704" s="16"/>
      <c r="E704" s="16"/>
      <c r="F704" s="16"/>
      <c r="G704" s="16" t="s">
        <v>186</v>
      </c>
      <c r="H704" s="20" t="s">
        <v>17</v>
      </c>
      <c r="I704" s="1"/>
      <c r="J704" s="1"/>
      <c r="K704" s="1"/>
      <c r="L704" s="1"/>
      <c r="M704" s="1"/>
      <c r="N704" s="1"/>
      <c r="O704" s="1"/>
    </row>
    <row r="705" spans="1:15" ht="15" thickBot="1" x14ac:dyDescent="0.4">
      <c r="A705" t="str">
        <f t="shared" ref="A705:A768" si="292">IF(LEFT(G704,2)="FC",LEFT(G704,5),LEFT(G704,4))</f>
        <v>FC393</v>
      </c>
      <c r="B705" t="str">
        <f t="shared" si="289"/>
        <v>CPAC North</v>
      </c>
      <c r="C705" s="18"/>
      <c r="D705" s="18"/>
      <c r="E705" s="18"/>
      <c r="F705" s="18"/>
      <c r="G705" s="18"/>
      <c r="H705" s="22"/>
      <c r="I705" s="3" t="s">
        <v>18</v>
      </c>
      <c r="J705" s="11"/>
      <c r="K705" s="8">
        <v>15</v>
      </c>
      <c r="L705" s="4">
        <v>30</v>
      </c>
      <c r="M705" s="4">
        <v>30</v>
      </c>
      <c r="N705" s="8">
        <v>18</v>
      </c>
      <c r="O705" s="11"/>
    </row>
    <row r="706" spans="1:15" ht="15" thickBot="1" x14ac:dyDescent="0.4">
      <c r="A706" t="str">
        <f t="shared" si="287"/>
        <v>FC393</v>
      </c>
      <c r="B706" t="str">
        <f t="shared" si="289"/>
        <v>CPAC North</v>
      </c>
      <c r="C706" s="18"/>
      <c r="D706" s="18"/>
      <c r="E706" s="18"/>
      <c r="F706" s="18"/>
      <c r="G706" s="18"/>
      <c r="H706" s="22"/>
      <c r="I706" s="5" t="s">
        <v>19</v>
      </c>
      <c r="J706" s="11"/>
      <c r="K706" s="7">
        <v>70</v>
      </c>
      <c r="L706" s="6">
        <v>50</v>
      </c>
      <c r="M706" s="6">
        <v>52</v>
      </c>
      <c r="N706" s="6">
        <v>54</v>
      </c>
      <c r="O706" s="11"/>
    </row>
    <row r="707" spans="1:15" ht="15" thickBot="1" x14ac:dyDescent="0.4">
      <c r="A707" t="str">
        <f t="shared" si="288"/>
        <v>FC393</v>
      </c>
      <c r="B707" t="str">
        <f t="shared" si="289"/>
        <v>CPAC North</v>
      </c>
      <c r="C707" s="18"/>
      <c r="D707" s="18"/>
      <c r="E707" s="18"/>
      <c r="F707" s="18"/>
      <c r="G707" s="18"/>
      <c r="H707" s="22"/>
      <c r="I707" s="3" t="s">
        <v>20</v>
      </c>
      <c r="J707" s="11"/>
      <c r="K707" s="10">
        <v>15.3</v>
      </c>
      <c r="L707" s="10">
        <v>22.3</v>
      </c>
      <c r="M707" s="10">
        <v>18.399999999999999</v>
      </c>
      <c r="N707" s="10">
        <v>16.100000000000001</v>
      </c>
      <c r="O707" s="11"/>
    </row>
    <row r="708" spans="1:15" ht="15" thickBot="1" x14ac:dyDescent="0.4">
      <c r="A708" t="str">
        <f t="shared" si="290"/>
        <v>FC393</v>
      </c>
      <c r="B708" t="str">
        <f t="shared" si="289"/>
        <v>CPAC North</v>
      </c>
      <c r="C708" s="18"/>
      <c r="D708" s="18"/>
      <c r="E708" s="18"/>
      <c r="F708" s="18"/>
      <c r="G708" s="18"/>
      <c r="H708" s="22"/>
      <c r="I708" s="5" t="s">
        <v>21</v>
      </c>
      <c r="J708" s="11"/>
      <c r="K708" s="10">
        <v>1.53</v>
      </c>
      <c r="L708" s="9">
        <v>0.75</v>
      </c>
      <c r="M708" s="10">
        <v>0.94</v>
      </c>
      <c r="N708" s="10">
        <v>1.1100000000000001</v>
      </c>
      <c r="O708" s="11"/>
    </row>
    <row r="709" spans="1:15" ht="15" thickBot="1" x14ac:dyDescent="0.4">
      <c r="A709" t="str">
        <f t="shared" si="291"/>
        <v>FC393</v>
      </c>
      <c r="B709" t="str">
        <f t="shared" si="289"/>
        <v>CPAC North</v>
      </c>
      <c r="C709" s="19"/>
      <c r="D709" s="19"/>
      <c r="E709" s="19"/>
      <c r="F709" s="19"/>
      <c r="G709" s="19"/>
      <c r="H709" s="23"/>
      <c r="I709" s="3" t="s">
        <v>22</v>
      </c>
      <c r="J709" s="11" t="s">
        <v>27</v>
      </c>
      <c r="K709" s="10" t="s">
        <v>24</v>
      </c>
      <c r="L709" s="9" t="s">
        <v>25</v>
      </c>
      <c r="M709" s="10" t="s">
        <v>24</v>
      </c>
      <c r="N709" s="10" t="s">
        <v>24</v>
      </c>
      <c r="O709" s="11" t="s">
        <v>46</v>
      </c>
    </row>
    <row r="710" spans="1:15" ht="15" thickBot="1" x14ac:dyDescent="0.4">
      <c r="B710" t="str">
        <f t="shared" si="289"/>
        <v>CPAC North</v>
      </c>
      <c r="C710" s="16"/>
      <c r="D710" s="16"/>
      <c r="E710" s="16"/>
      <c r="F710" s="16"/>
      <c r="G710" s="16" t="s">
        <v>187</v>
      </c>
      <c r="H710" s="20" t="s">
        <v>17</v>
      </c>
      <c r="I710" s="1"/>
      <c r="J710" s="1"/>
      <c r="K710" s="1"/>
      <c r="L710" s="1"/>
      <c r="M710" s="1"/>
      <c r="N710" s="1"/>
      <c r="O710" s="1"/>
    </row>
    <row r="711" spans="1:15" ht="15" thickBot="1" x14ac:dyDescent="0.4">
      <c r="A711" t="str">
        <f t="shared" si="292"/>
        <v>FC007</v>
      </c>
      <c r="B711" t="str">
        <f t="shared" ref="B711:B774" si="293">$D$518</f>
        <v>CPAC North</v>
      </c>
      <c r="C711" s="18"/>
      <c r="D711" s="18"/>
      <c r="E711" s="18"/>
      <c r="F711" s="18"/>
      <c r="G711" s="18"/>
      <c r="H711" s="22"/>
      <c r="I711" s="3" t="s">
        <v>18</v>
      </c>
      <c r="J711" s="11"/>
      <c r="K711" s="11"/>
      <c r="L711" s="11"/>
      <c r="M711" s="11"/>
      <c r="N711" s="11"/>
      <c r="O711" s="8">
        <v>15</v>
      </c>
    </row>
    <row r="712" spans="1:15" ht="15" thickBot="1" x14ac:dyDescent="0.4">
      <c r="A712" t="str">
        <f t="shared" ref="A712:A772" si="294">IF(LEFT(G710,2)="FC",LEFT(G710,5),LEFT(G710,4))</f>
        <v>FC007</v>
      </c>
      <c r="B712" t="str">
        <f t="shared" si="293"/>
        <v>CPAC North</v>
      </c>
      <c r="C712" s="18"/>
      <c r="D712" s="18"/>
      <c r="E712" s="18"/>
      <c r="F712" s="18"/>
      <c r="G712" s="18"/>
      <c r="H712" s="22"/>
      <c r="I712" s="5" t="s">
        <v>19</v>
      </c>
      <c r="J712" s="11"/>
      <c r="K712" s="11"/>
      <c r="L712" s="11"/>
      <c r="M712" s="11"/>
      <c r="N712" s="11"/>
      <c r="O712" s="6">
        <v>68</v>
      </c>
    </row>
    <row r="713" spans="1:15" ht="15" thickBot="1" x14ac:dyDescent="0.4">
      <c r="A713" t="str">
        <f t="shared" ref="A713:A773" si="295">IF(LEFT(G710,2)="FC",LEFT(G710,5),LEFT(G710,4))</f>
        <v>FC007</v>
      </c>
      <c r="B713" t="str">
        <f t="shared" si="293"/>
        <v>CPAC North</v>
      </c>
      <c r="C713" s="18"/>
      <c r="D713" s="18"/>
      <c r="E713" s="18"/>
      <c r="F713" s="18"/>
      <c r="G713" s="18"/>
      <c r="H713" s="22"/>
      <c r="I713" s="3" t="s">
        <v>20</v>
      </c>
      <c r="J713" s="11"/>
      <c r="K713" s="11"/>
      <c r="L713" s="11"/>
      <c r="M713" s="11"/>
      <c r="N713" s="11"/>
      <c r="O713" s="10">
        <v>3.5</v>
      </c>
    </row>
    <row r="714" spans="1:15" ht="15" thickBot="1" x14ac:dyDescent="0.4">
      <c r="A714" t="str">
        <f t="shared" ref="A714:A774" si="296">IF(LEFT(G710,2)="FC",LEFT(G710,5),LEFT(G710,4))</f>
        <v>FC007</v>
      </c>
      <c r="B714" t="str">
        <f t="shared" si="293"/>
        <v>CPAC North</v>
      </c>
      <c r="C714" s="18"/>
      <c r="D714" s="18"/>
      <c r="E714" s="18"/>
      <c r="F714" s="18"/>
      <c r="G714" s="18"/>
      <c r="H714" s="22"/>
      <c r="I714" s="5" t="s">
        <v>21</v>
      </c>
      <c r="J714" s="11"/>
      <c r="K714" s="11"/>
      <c r="L714" s="11"/>
      <c r="M714" s="11"/>
      <c r="N714" s="11"/>
      <c r="O714" s="10">
        <v>6.44</v>
      </c>
    </row>
    <row r="715" spans="1:15" ht="15" thickBot="1" x14ac:dyDescent="0.4">
      <c r="A715" t="str">
        <f t="shared" ref="A715:A775" si="297">IF(LEFT(G710,2)="FC",LEFT(G710,5),LEFT(G710,4))</f>
        <v>FC007</v>
      </c>
      <c r="B715" t="str">
        <f t="shared" si="293"/>
        <v>CPAC North</v>
      </c>
      <c r="C715" s="19"/>
      <c r="D715" s="19"/>
      <c r="E715" s="19"/>
      <c r="F715" s="19"/>
      <c r="G715" s="19"/>
      <c r="H715" s="23"/>
      <c r="I715" s="3" t="s">
        <v>22</v>
      </c>
      <c r="J715" s="11" t="s">
        <v>27</v>
      </c>
      <c r="K715" s="11" t="s">
        <v>45</v>
      </c>
      <c r="L715" s="11" t="s">
        <v>31</v>
      </c>
      <c r="M715" s="11" t="s">
        <v>31</v>
      </c>
      <c r="N715" s="11" t="s">
        <v>31</v>
      </c>
      <c r="O715" s="10" t="s">
        <v>24</v>
      </c>
    </row>
    <row r="716" spans="1:15" ht="15" thickBot="1" x14ac:dyDescent="0.4">
      <c r="B716" t="str">
        <f t="shared" si="293"/>
        <v>CPAC North</v>
      </c>
      <c r="C716" s="16"/>
      <c r="D716" s="16"/>
      <c r="E716" s="16"/>
      <c r="F716" s="16" t="s">
        <v>188</v>
      </c>
      <c r="G716" s="16" t="s">
        <v>189</v>
      </c>
      <c r="H716" s="20" t="s">
        <v>17</v>
      </c>
      <c r="I716" s="1"/>
      <c r="J716" s="1"/>
      <c r="K716" s="1"/>
      <c r="L716" s="1"/>
      <c r="M716" s="1"/>
      <c r="N716" s="1"/>
      <c r="O716" s="1"/>
    </row>
    <row r="717" spans="1:15" ht="15" thickBot="1" x14ac:dyDescent="0.4">
      <c r="A717" t="str">
        <f t="shared" si="292"/>
        <v>FC357</v>
      </c>
      <c r="B717" t="str">
        <f t="shared" si="293"/>
        <v>CPAC North</v>
      </c>
      <c r="C717" s="18"/>
      <c r="D717" s="18"/>
      <c r="E717" s="18"/>
      <c r="F717" s="18"/>
      <c r="G717" s="18"/>
      <c r="H717" s="22"/>
      <c r="I717" s="3" t="s">
        <v>18</v>
      </c>
      <c r="J717" s="11"/>
      <c r="K717" s="11"/>
      <c r="L717" s="8">
        <v>15</v>
      </c>
      <c r="M717" s="8">
        <v>15</v>
      </c>
      <c r="N717" s="4">
        <v>33</v>
      </c>
      <c r="O717" s="4">
        <v>33</v>
      </c>
    </row>
    <row r="718" spans="1:15" ht="15" thickBot="1" x14ac:dyDescent="0.4">
      <c r="A718" t="str">
        <f t="shared" si="294"/>
        <v>FC357</v>
      </c>
      <c r="B718" t="str">
        <f t="shared" si="293"/>
        <v>CPAC North</v>
      </c>
      <c r="C718" s="18"/>
      <c r="D718" s="18"/>
      <c r="E718" s="18"/>
      <c r="F718" s="18"/>
      <c r="G718" s="18"/>
      <c r="H718" s="22"/>
      <c r="I718" s="5" t="s">
        <v>19</v>
      </c>
      <c r="J718" s="11"/>
      <c r="K718" s="11"/>
      <c r="L718" s="7">
        <v>81</v>
      </c>
      <c r="M718" s="8">
        <v>32</v>
      </c>
      <c r="N718" s="9">
        <v>115</v>
      </c>
      <c r="O718" s="6">
        <v>64</v>
      </c>
    </row>
    <row r="719" spans="1:15" ht="15" thickBot="1" x14ac:dyDescent="0.4">
      <c r="A719" t="str">
        <f t="shared" si="295"/>
        <v>FC357</v>
      </c>
      <c r="B719" t="str">
        <f t="shared" si="293"/>
        <v>CPAC North</v>
      </c>
      <c r="C719" s="18"/>
      <c r="D719" s="18"/>
      <c r="E719" s="18"/>
      <c r="F719" s="18"/>
      <c r="G719" s="18"/>
      <c r="H719" s="22"/>
      <c r="I719" s="3" t="s">
        <v>20</v>
      </c>
      <c r="J719" s="11"/>
      <c r="K719" s="11"/>
      <c r="L719" s="7">
        <v>36.299999999999997</v>
      </c>
      <c r="M719" s="10">
        <v>25.2</v>
      </c>
      <c r="N719" s="8">
        <v>68.5</v>
      </c>
      <c r="O719" s="7">
        <v>40.299999999999997</v>
      </c>
    </row>
    <row r="720" spans="1:15" ht="15" thickBot="1" x14ac:dyDescent="0.4">
      <c r="A720" t="str">
        <f t="shared" si="296"/>
        <v>FC357</v>
      </c>
      <c r="B720" t="str">
        <f t="shared" si="293"/>
        <v>CPAC North</v>
      </c>
      <c r="C720" s="18"/>
      <c r="D720" s="18"/>
      <c r="E720" s="18"/>
      <c r="F720" s="18"/>
      <c r="G720" s="18"/>
      <c r="H720" s="22"/>
      <c r="I720" s="5" t="s">
        <v>21</v>
      </c>
      <c r="J720" s="11"/>
      <c r="K720" s="11"/>
      <c r="L720" s="9">
        <v>0.75</v>
      </c>
      <c r="M720" s="8">
        <v>0.42</v>
      </c>
      <c r="N720" s="9">
        <v>0.56000000000000005</v>
      </c>
      <c r="O720" s="8">
        <v>0.53</v>
      </c>
    </row>
    <row r="721" spans="1:15" ht="15" thickBot="1" x14ac:dyDescent="0.4">
      <c r="A721" t="str">
        <f t="shared" si="297"/>
        <v>FC357</v>
      </c>
      <c r="B721" t="str">
        <f t="shared" si="293"/>
        <v>CPAC North</v>
      </c>
      <c r="C721" s="19"/>
      <c r="D721" s="19"/>
      <c r="E721" s="19"/>
      <c r="F721" s="19"/>
      <c r="G721" s="19"/>
      <c r="H721" s="23"/>
      <c r="I721" s="3" t="s">
        <v>22</v>
      </c>
      <c r="J721" s="11" t="s">
        <v>27</v>
      </c>
      <c r="K721" s="11" t="s">
        <v>27</v>
      </c>
      <c r="L721" s="10" t="s">
        <v>24</v>
      </c>
      <c r="M721" s="8" t="s">
        <v>23</v>
      </c>
      <c r="N721" s="11"/>
      <c r="O721" s="11"/>
    </row>
    <row r="722" spans="1:15" ht="15" thickBot="1" x14ac:dyDescent="0.4">
      <c r="B722" t="str">
        <f t="shared" si="293"/>
        <v>CPAC North</v>
      </c>
      <c r="C722" s="16"/>
      <c r="D722" s="16"/>
      <c r="E722" s="16"/>
      <c r="F722" s="16"/>
      <c r="G722" s="16" t="s">
        <v>190</v>
      </c>
      <c r="H722" s="27" t="s">
        <v>34</v>
      </c>
      <c r="I722" s="1"/>
      <c r="J722" s="1"/>
      <c r="K722" s="1"/>
      <c r="L722" s="1"/>
      <c r="M722" s="1"/>
      <c r="N722" s="1"/>
      <c r="O722" s="1"/>
    </row>
    <row r="723" spans="1:15" ht="15" thickBot="1" x14ac:dyDescent="0.4">
      <c r="A723" t="str">
        <f t="shared" si="292"/>
        <v>FC057</v>
      </c>
      <c r="B723" t="str">
        <f t="shared" si="293"/>
        <v>CPAC North</v>
      </c>
      <c r="C723" s="18"/>
      <c r="D723" s="18"/>
      <c r="E723" s="18"/>
      <c r="F723" s="18"/>
      <c r="G723" s="18"/>
      <c r="H723" s="28"/>
      <c r="I723" s="3" t="s">
        <v>18</v>
      </c>
      <c r="J723" s="11"/>
      <c r="K723" s="11"/>
      <c r="L723" s="11"/>
      <c r="M723" s="8">
        <v>24</v>
      </c>
      <c r="N723" s="4">
        <v>30</v>
      </c>
      <c r="O723" s="4">
        <v>30</v>
      </c>
    </row>
    <row r="724" spans="1:15" ht="15" thickBot="1" x14ac:dyDescent="0.4">
      <c r="A724" t="str">
        <f t="shared" si="294"/>
        <v>FC057</v>
      </c>
      <c r="B724" t="str">
        <f t="shared" si="293"/>
        <v>CPAC North</v>
      </c>
      <c r="C724" s="18"/>
      <c r="D724" s="18"/>
      <c r="E724" s="18"/>
      <c r="F724" s="18"/>
      <c r="G724" s="18"/>
      <c r="H724" s="28"/>
      <c r="I724" s="5" t="s">
        <v>19</v>
      </c>
      <c r="J724" s="11"/>
      <c r="K724" s="11"/>
      <c r="L724" s="11"/>
      <c r="M724" s="9">
        <v>102</v>
      </c>
      <c r="N724" s="7">
        <v>88</v>
      </c>
      <c r="O724" s="6">
        <v>61</v>
      </c>
    </row>
    <row r="725" spans="1:15" ht="15" thickBot="1" x14ac:dyDescent="0.4">
      <c r="A725" t="str">
        <f t="shared" si="295"/>
        <v>FC057</v>
      </c>
      <c r="B725" t="str">
        <f t="shared" si="293"/>
        <v>CPAC North</v>
      </c>
      <c r="C725" s="18"/>
      <c r="D725" s="18"/>
      <c r="E725" s="18"/>
      <c r="F725" s="18"/>
      <c r="G725" s="18"/>
      <c r="H725" s="28"/>
      <c r="I725" s="3" t="s">
        <v>20</v>
      </c>
      <c r="J725" s="11"/>
      <c r="K725" s="11"/>
      <c r="L725" s="11"/>
      <c r="M725" s="7">
        <v>36</v>
      </c>
      <c r="N725" s="6">
        <v>43.9</v>
      </c>
      <c r="O725" s="10">
        <v>24.3</v>
      </c>
    </row>
    <row r="726" spans="1:15" ht="15" thickBot="1" x14ac:dyDescent="0.4">
      <c r="A726" t="str">
        <f t="shared" si="296"/>
        <v>FC057</v>
      </c>
      <c r="B726" t="str">
        <f t="shared" si="293"/>
        <v>CPAC North</v>
      </c>
      <c r="C726" s="18"/>
      <c r="D726" s="18"/>
      <c r="E726" s="18"/>
      <c r="F726" s="18"/>
      <c r="G726" s="18"/>
      <c r="H726" s="28"/>
      <c r="I726" s="5" t="s">
        <v>21</v>
      </c>
      <c r="J726" s="11"/>
      <c r="K726" s="11"/>
      <c r="L726" s="11"/>
      <c r="M726" s="10">
        <v>0.94</v>
      </c>
      <c r="N726" s="9">
        <v>0.67</v>
      </c>
      <c r="O726" s="10">
        <v>0.83</v>
      </c>
    </row>
    <row r="727" spans="1:15" ht="15" thickBot="1" x14ac:dyDescent="0.4">
      <c r="A727" t="str">
        <f t="shared" si="297"/>
        <v>FC057</v>
      </c>
      <c r="B727" t="str">
        <f t="shared" si="293"/>
        <v>CPAC North</v>
      </c>
      <c r="C727" s="19"/>
      <c r="D727" s="19"/>
      <c r="E727" s="19"/>
      <c r="F727" s="19"/>
      <c r="G727" s="19"/>
      <c r="H727" s="29"/>
      <c r="I727" s="3" t="s">
        <v>22</v>
      </c>
      <c r="J727" s="11" t="s">
        <v>46</v>
      </c>
      <c r="K727" s="11" t="s">
        <v>45</v>
      </c>
      <c r="L727" s="11" t="s">
        <v>31</v>
      </c>
      <c r="M727" s="10" t="s">
        <v>24</v>
      </c>
      <c r="N727" s="11"/>
      <c r="O727" s="11"/>
    </row>
    <row r="728" spans="1:15" ht="15" thickBot="1" x14ac:dyDescent="0.4">
      <c r="B728" t="str">
        <f t="shared" si="293"/>
        <v>CPAC North</v>
      </c>
      <c r="C728" s="16"/>
      <c r="D728" s="16"/>
      <c r="E728" s="16"/>
      <c r="F728" s="16"/>
      <c r="G728" s="16" t="s">
        <v>191</v>
      </c>
      <c r="H728" s="30" t="s">
        <v>39</v>
      </c>
      <c r="I728" s="1"/>
      <c r="J728" s="1"/>
      <c r="K728" s="1"/>
      <c r="L728" s="1"/>
      <c r="M728" s="1"/>
      <c r="N728" s="1"/>
      <c r="O728" s="1"/>
    </row>
    <row r="729" spans="1:15" ht="15" thickBot="1" x14ac:dyDescent="0.4">
      <c r="A729" t="str">
        <f t="shared" si="292"/>
        <v>FC219</v>
      </c>
      <c r="B729" t="str">
        <f t="shared" si="293"/>
        <v>CPAC North</v>
      </c>
      <c r="C729" s="18"/>
      <c r="D729" s="18"/>
      <c r="E729" s="18"/>
      <c r="F729" s="18"/>
      <c r="G729" s="18"/>
      <c r="H729" s="31"/>
      <c r="I729" s="3" t="s">
        <v>18</v>
      </c>
      <c r="J729" s="4">
        <v>30</v>
      </c>
      <c r="K729" s="4">
        <v>30</v>
      </c>
      <c r="L729" s="4">
        <v>33</v>
      </c>
      <c r="M729" s="8">
        <v>23</v>
      </c>
      <c r="N729" s="4">
        <v>33</v>
      </c>
      <c r="O729" s="4">
        <v>33</v>
      </c>
    </row>
    <row r="730" spans="1:15" ht="15" thickBot="1" x14ac:dyDescent="0.4">
      <c r="A730" t="str">
        <f t="shared" si="294"/>
        <v>FC219</v>
      </c>
      <c r="B730" t="str">
        <f t="shared" si="293"/>
        <v>CPAC North</v>
      </c>
      <c r="C730" s="18"/>
      <c r="D730" s="18"/>
      <c r="E730" s="18"/>
      <c r="F730" s="18"/>
      <c r="G730" s="18"/>
      <c r="H730" s="31"/>
      <c r="I730" s="5" t="s">
        <v>19</v>
      </c>
      <c r="J730" s="7">
        <v>70</v>
      </c>
      <c r="K730" s="6">
        <v>65</v>
      </c>
      <c r="L730" s="6">
        <v>69</v>
      </c>
      <c r="M730" s="6">
        <v>65</v>
      </c>
      <c r="N730" s="7">
        <v>70</v>
      </c>
      <c r="O730" s="6">
        <v>66</v>
      </c>
    </row>
    <row r="731" spans="1:15" ht="15" thickBot="1" x14ac:dyDescent="0.4">
      <c r="A731" t="str">
        <f t="shared" si="295"/>
        <v>FC219</v>
      </c>
      <c r="B731" t="str">
        <f t="shared" si="293"/>
        <v>CPAC North</v>
      </c>
      <c r="C731" s="18"/>
      <c r="D731" s="18"/>
      <c r="E731" s="18"/>
      <c r="F731" s="18"/>
      <c r="G731" s="18"/>
      <c r="H731" s="31"/>
      <c r="I731" s="3" t="s">
        <v>20</v>
      </c>
      <c r="J731" s="10">
        <v>5.2</v>
      </c>
      <c r="K731" s="10">
        <v>4.9000000000000004</v>
      </c>
      <c r="L731" s="10">
        <v>5.2</v>
      </c>
      <c r="M731" s="10">
        <v>1.8</v>
      </c>
      <c r="N731" s="10">
        <v>8.1999999999999993</v>
      </c>
      <c r="O731" s="10">
        <v>3</v>
      </c>
    </row>
    <row r="732" spans="1:15" ht="15" thickBot="1" x14ac:dyDescent="0.4">
      <c r="A732" t="str">
        <f t="shared" si="296"/>
        <v>FC219</v>
      </c>
      <c r="B732" t="str">
        <f t="shared" si="293"/>
        <v>CPAC North</v>
      </c>
      <c r="C732" s="18"/>
      <c r="D732" s="18"/>
      <c r="E732" s="18"/>
      <c r="F732" s="18"/>
      <c r="G732" s="18"/>
      <c r="H732" s="31"/>
      <c r="I732" s="5" t="s">
        <v>21</v>
      </c>
      <c r="J732" s="10">
        <v>4.49</v>
      </c>
      <c r="K732" s="10">
        <v>4.4800000000000004</v>
      </c>
      <c r="L732" s="10">
        <v>4.45</v>
      </c>
      <c r="M732" s="10">
        <v>11.65</v>
      </c>
      <c r="N732" s="10">
        <v>2.84</v>
      </c>
      <c r="O732" s="10">
        <v>7.33</v>
      </c>
    </row>
    <row r="733" spans="1:15" ht="15" thickBot="1" x14ac:dyDescent="0.4">
      <c r="A733" t="str">
        <f t="shared" si="297"/>
        <v>FC219</v>
      </c>
      <c r="B733" t="str">
        <f t="shared" si="293"/>
        <v>CPAC North</v>
      </c>
      <c r="C733" s="19"/>
      <c r="D733" s="19"/>
      <c r="E733" s="19"/>
      <c r="F733" s="19"/>
      <c r="G733" s="19"/>
      <c r="H733" s="32"/>
      <c r="I733" s="3" t="s">
        <v>22</v>
      </c>
      <c r="J733" s="10" t="s">
        <v>24</v>
      </c>
      <c r="K733" s="10" t="s">
        <v>24</v>
      </c>
      <c r="L733" s="10" t="s">
        <v>24</v>
      </c>
      <c r="M733" s="10" t="s">
        <v>24</v>
      </c>
      <c r="N733" s="10" t="s">
        <v>24</v>
      </c>
      <c r="O733" s="10" t="s">
        <v>24</v>
      </c>
    </row>
    <row r="734" spans="1:15" ht="15" thickBot="1" x14ac:dyDescent="0.4">
      <c r="B734" t="str">
        <f t="shared" si="293"/>
        <v>CPAC North</v>
      </c>
      <c r="C734" s="16"/>
      <c r="D734" s="16"/>
      <c r="E734" s="16"/>
      <c r="F734" s="16"/>
      <c r="G734" s="16" t="s">
        <v>192</v>
      </c>
      <c r="H734" s="27" t="s">
        <v>34</v>
      </c>
      <c r="I734" s="1"/>
      <c r="J734" s="1"/>
      <c r="K734" s="1"/>
      <c r="L734" s="1"/>
      <c r="M734" s="1"/>
      <c r="N734" s="1"/>
      <c r="O734" s="1"/>
    </row>
    <row r="735" spans="1:15" ht="15" thickBot="1" x14ac:dyDescent="0.4">
      <c r="A735" t="str">
        <f t="shared" si="292"/>
        <v>FC362</v>
      </c>
      <c r="B735" t="str">
        <f t="shared" si="293"/>
        <v>CPAC North</v>
      </c>
      <c r="C735" s="18"/>
      <c r="D735" s="18"/>
      <c r="E735" s="18"/>
      <c r="F735" s="18"/>
      <c r="G735" s="18"/>
      <c r="H735" s="28"/>
      <c r="I735" s="3" t="s">
        <v>18</v>
      </c>
      <c r="J735" s="4">
        <v>35</v>
      </c>
      <c r="K735" s="4">
        <v>30</v>
      </c>
      <c r="L735" s="4">
        <v>36</v>
      </c>
      <c r="M735" s="4">
        <v>33</v>
      </c>
      <c r="N735" s="4">
        <v>36</v>
      </c>
      <c r="O735" s="4">
        <v>31</v>
      </c>
    </row>
    <row r="736" spans="1:15" ht="15" thickBot="1" x14ac:dyDescent="0.4">
      <c r="A736" t="str">
        <f t="shared" si="294"/>
        <v>FC362</v>
      </c>
      <c r="B736" t="str">
        <f t="shared" si="293"/>
        <v>CPAC North</v>
      </c>
      <c r="C736" s="18"/>
      <c r="D736" s="18"/>
      <c r="E736" s="18"/>
      <c r="F736" s="18"/>
      <c r="G736" s="18"/>
      <c r="H736" s="28"/>
      <c r="I736" s="5" t="s">
        <v>19</v>
      </c>
      <c r="J736" s="9">
        <v>149</v>
      </c>
      <c r="K736" s="9">
        <v>143</v>
      </c>
      <c r="L736" s="9">
        <v>201</v>
      </c>
      <c r="M736" s="9">
        <v>148</v>
      </c>
      <c r="N736" s="9">
        <v>137</v>
      </c>
      <c r="O736" s="9">
        <v>99</v>
      </c>
    </row>
    <row r="737" spans="1:15" ht="15" thickBot="1" x14ac:dyDescent="0.4">
      <c r="A737" t="str">
        <f t="shared" si="295"/>
        <v>FC362</v>
      </c>
      <c r="B737" t="str">
        <f t="shared" si="293"/>
        <v>CPAC North</v>
      </c>
      <c r="C737" s="18"/>
      <c r="D737" s="18"/>
      <c r="E737" s="18"/>
      <c r="F737" s="18"/>
      <c r="G737" s="18"/>
      <c r="H737" s="28"/>
      <c r="I737" s="3" t="s">
        <v>20</v>
      </c>
      <c r="J737" s="8">
        <v>55.6</v>
      </c>
      <c r="K737" s="6">
        <v>43.9</v>
      </c>
      <c r="L737" s="8">
        <v>76.7</v>
      </c>
      <c r="M737" s="7">
        <v>40.1</v>
      </c>
      <c r="N737" s="7">
        <v>36.5</v>
      </c>
      <c r="O737" s="8">
        <v>54</v>
      </c>
    </row>
    <row r="738" spans="1:15" ht="15" thickBot="1" x14ac:dyDescent="0.4">
      <c r="A738" t="str">
        <f t="shared" si="296"/>
        <v>FC362</v>
      </c>
      <c r="B738" t="str">
        <f t="shared" si="293"/>
        <v>CPAC North</v>
      </c>
      <c r="C738" s="18"/>
      <c r="D738" s="18"/>
      <c r="E738" s="18"/>
      <c r="F738" s="18"/>
      <c r="G738" s="18"/>
      <c r="H738" s="28"/>
      <c r="I738" s="5" t="s">
        <v>21</v>
      </c>
      <c r="J738" s="10">
        <v>0.89</v>
      </c>
      <c r="K738" s="10">
        <v>1.08</v>
      </c>
      <c r="L738" s="10">
        <v>0.88</v>
      </c>
      <c r="M738" s="10">
        <v>1.23</v>
      </c>
      <c r="N738" s="10">
        <v>1.25</v>
      </c>
      <c r="O738" s="9">
        <v>0.61</v>
      </c>
    </row>
    <row r="739" spans="1:15" ht="15" thickBot="1" x14ac:dyDescent="0.4">
      <c r="A739" t="str">
        <f t="shared" si="297"/>
        <v>FC362</v>
      </c>
      <c r="B739" t="str">
        <f t="shared" si="293"/>
        <v>CPAC North</v>
      </c>
      <c r="C739" s="19"/>
      <c r="D739" s="19"/>
      <c r="E739" s="19"/>
      <c r="F739" s="19"/>
      <c r="G739" s="19"/>
      <c r="H739" s="29"/>
      <c r="I739" s="3" t="s">
        <v>22</v>
      </c>
      <c r="J739" s="11"/>
      <c r="K739" s="11"/>
      <c r="L739" s="11"/>
      <c r="M739" s="11"/>
      <c r="N739" s="11"/>
      <c r="O739" s="11"/>
    </row>
    <row r="740" spans="1:15" ht="15" thickBot="1" x14ac:dyDescent="0.4">
      <c r="B740" t="str">
        <f t="shared" si="293"/>
        <v>CPAC North</v>
      </c>
      <c r="C740" s="16"/>
      <c r="D740" s="16"/>
      <c r="E740" s="16"/>
      <c r="F740" s="16"/>
      <c r="G740" s="16" t="s">
        <v>193</v>
      </c>
      <c r="H740" s="20" t="s">
        <v>17</v>
      </c>
      <c r="I740" s="1"/>
      <c r="J740" s="1"/>
      <c r="K740" s="1"/>
      <c r="L740" s="1"/>
      <c r="M740" s="1"/>
      <c r="N740" s="1"/>
      <c r="O740" s="1"/>
    </row>
    <row r="741" spans="1:15" ht="15" thickBot="1" x14ac:dyDescent="0.4">
      <c r="A741" t="str">
        <f t="shared" si="292"/>
        <v>FC403</v>
      </c>
      <c r="B741" t="str">
        <f t="shared" si="293"/>
        <v>CPAC North</v>
      </c>
      <c r="C741" s="18"/>
      <c r="D741" s="18"/>
      <c r="E741" s="18"/>
      <c r="F741" s="18"/>
      <c r="G741" s="18"/>
      <c r="H741" s="22"/>
      <c r="I741" s="3" t="s">
        <v>18</v>
      </c>
      <c r="J741" s="4">
        <v>31</v>
      </c>
      <c r="K741" s="4">
        <v>30</v>
      </c>
      <c r="L741" s="4">
        <v>30</v>
      </c>
      <c r="M741" s="8">
        <v>27</v>
      </c>
      <c r="N741" s="4">
        <v>30</v>
      </c>
      <c r="O741" s="4">
        <v>30</v>
      </c>
    </row>
    <row r="742" spans="1:15" ht="15" thickBot="1" x14ac:dyDescent="0.4">
      <c r="A742" t="str">
        <f t="shared" si="294"/>
        <v>FC403</v>
      </c>
      <c r="B742" t="str">
        <f t="shared" si="293"/>
        <v>CPAC North</v>
      </c>
      <c r="C742" s="18"/>
      <c r="D742" s="18"/>
      <c r="E742" s="18"/>
      <c r="F742" s="18"/>
      <c r="G742" s="18"/>
      <c r="H742" s="22"/>
      <c r="I742" s="5" t="s">
        <v>19</v>
      </c>
      <c r="J742" s="9">
        <v>115</v>
      </c>
      <c r="K742" s="9">
        <v>99</v>
      </c>
      <c r="L742" s="9">
        <v>125</v>
      </c>
      <c r="M742" s="6">
        <v>51</v>
      </c>
      <c r="N742" s="6">
        <v>66</v>
      </c>
      <c r="O742" s="6">
        <v>60</v>
      </c>
    </row>
    <row r="743" spans="1:15" ht="15" thickBot="1" x14ac:dyDescent="0.4">
      <c r="A743" t="str">
        <f t="shared" si="295"/>
        <v>FC403</v>
      </c>
      <c r="B743" t="str">
        <f t="shared" si="293"/>
        <v>CPAC North</v>
      </c>
      <c r="C743" s="18"/>
      <c r="D743" s="18"/>
      <c r="E743" s="18"/>
      <c r="F743" s="18"/>
      <c r="G743" s="18"/>
      <c r="H743" s="22"/>
      <c r="I743" s="3" t="s">
        <v>20</v>
      </c>
      <c r="J743" s="10">
        <v>25.6</v>
      </c>
      <c r="K743" s="10">
        <v>23.4</v>
      </c>
      <c r="L743" s="6">
        <v>44</v>
      </c>
      <c r="M743" s="7">
        <v>35.200000000000003</v>
      </c>
      <c r="N743" s="9">
        <v>33.299999999999997</v>
      </c>
      <c r="O743" s="6">
        <v>46.2</v>
      </c>
    </row>
    <row r="744" spans="1:15" ht="15" thickBot="1" x14ac:dyDescent="0.4">
      <c r="A744" t="str">
        <f t="shared" si="296"/>
        <v>FC403</v>
      </c>
      <c r="B744" t="str">
        <f t="shared" si="293"/>
        <v>CPAC North</v>
      </c>
      <c r="C744" s="18"/>
      <c r="D744" s="18"/>
      <c r="E744" s="18"/>
      <c r="F744" s="18"/>
      <c r="G744" s="18"/>
      <c r="H744" s="22"/>
      <c r="I744" s="5" t="s">
        <v>21</v>
      </c>
      <c r="J744" s="10">
        <v>1.5</v>
      </c>
      <c r="K744" s="10">
        <v>1.41</v>
      </c>
      <c r="L744" s="10">
        <v>0.95</v>
      </c>
      <c r="M744" s="8">
        <v>0.48</v>
      </c>
      <c r="N744" s="9">
        <v>0.66</v>
      </c>
      <c r="O744" s="8">
        <v>0.43</v>
      </c>
    </row>
    <row r="745" spans="1:15" ht="15" thickBot="1" x14ac:dyDescent="0.4">
      <c r="A745" t="str">
        <f t="shared" si="297"/>
        <v>FC403</v>
      </c>
      <c r="B745" t="str">
        <f t="shared" si="293"/>
        <v>CPAC North</v>
      </c>
      <c r="C745" s="19"/>
      <c r="D745" s="19"/>
      <c r="E745" s="19"/>
      <c r="F745" s="19"/>
      <c r="G745" s="19"/>
      <c r="H745" s="23"/>
      <c r="I745" s="3" t="s">
        <v>22</v>
      </c>
      <c r="J745" s="11"/>
      <c r="K745" s="11"/>
      <c r="L745" s="10" t="s">
        <v>24</v>
      </c>
      <c r="M745" s="8" t="s">
        <v>23</v>
      </c>
      <c r="N745" s="9" t="s">
        <v>25</v>
      </c>
      <c r="O745" s="8" t="s">
        <v>23</v>
      </c>
    </row>
    <row r="746" spans="1:15" ht="15" thickBot="1" x14ac:dyDescent="0.4">
      <c r="B746" t="str">
        <f t="shared" si="293"/>
        <v>CPAC North</v>
      </c>
      <c r="C746" s="16"/>
      <c r="D746" s="16"/>
      <c r="E746" s="16"/>
      <c r="F746" s="16"/>
      <c r="G746" s="16" t="s">
        <v>194</v>
      </c>
      <c r="H746" s="24" t="s">
        <v>30</v>
      </c>
      <c r="I746" s="1"/>
      <c r="J746" s="1"/>
      <c r="K746" s="1"/>
      <c r="L746" s="1"/>
      <c r="M746" s="1"/>
      <c r="N746" s="1"/>
      <c r="O746" s="1"/>
    </row>
    <row r="747" spans="1:15" ht="15" thickBot="1" x14ac:dyDescent="0.4">
      <c r="A747" t="str">
        <f t="shared" si="292"/>
        <v>19AP</v>
      </c>
      <c r="B747" t="str">
        <f t="shared" si="293"/>
        <v>CPAC North</v>
      </c>
      <c r="C747" s="18"/>
      <c r="D747" s="18"/>
      <c r="E747" s="18"/>
      <c r="F747" s="18"/>
      <c r="G747" s="18"/>
      <c r="H747" s="25"/>
      <c r="I747" s="3" t="s">
        <v>18</v>
      </c>
      <c r="J747" s="11"/>
      <c r="K747" s="11"/>
      <c r="L747" s="11"/>
      <c r="M747" s="11"/>
      <c r="N747" s="11"/>
      <c r="O747" s="11"/>
    </row>
    <row r="748" spans="1:15" ht="15" thickBot="1" x14ac:dyDescent="0.4">
      <c r="A748" t="str">
        <f t="shared" si="294"/>
        <v>19AP</v>
      </c>
      <c r="B748" t="str">
        <f t="shared" si="293"/>
        <v>CPAC North</v>
      </c>
      <c r="C748" s="18"/>
      <c r="D748" s="18"/>
      <c r="E748" s="18"/>
      <c r="F748" s="18"/>
      <c r="G748" s="18"/>
      <c r="H748" s="25"/>
      <c r="I748" s="5" t="s">
        <v>19</v>
      </c>
      <c r="J748" s="11"/>
      <c r="K748" s="11"/>
      <c r="L748" s="11"/>
      <c r="M748" s="11"/>
      <c r="N748" s="11"/>
      <c r="O748" s="11"/>
    </row>
    <row r="749" spans="1:15" ht="15" thickBot="1" x14ac:dyDescent="0.4">
      <c r="A749" t="str">
        <f t="shared" si="295"/>
        <v>19AP</v>
      </c>
      <c r="B749" t="str">
        <f t="shared" si="293"/>
        <v>CPAC North</v>
      </c>
      <c r="C749" s="18"/>
      <c r="D749" s="18"/>
      <c r="E749" s="18"/>
      <c r="F749" s="18"/>
      <c r="G749" s="18"/>
      <c r="H749" s="25"/>
      <c r="I749" s="3" t="s">
        <v>20</v>
      </c>
      <c r="J749" s="11"/>
      <c r="K749" s="11"/>
      <c r="L749" s="11"/>
      <c r="M749" s="11"/>
      <c r="N749" s="11"/>
      <c r="O749" s="11"/>
    </row>
    <row r="750" spans="1:15" ht="15" thickBot="1" x14ac:dyDescent="0.4">
      <c r="A750" t="str">
        <f t="shared" si="296"/>
        <v>19AP</v>
      </c>
      <c r="B750" t="str">
        <f t="shared" si="293"/>
        <v>CPAC North</v>
      </c>
      <c r="C750" s="18"/>
      <c r="D750" s="18"/>
      <c r="E750" s="18"/>
      <c r="F750" s="18"/>
      <c r="G750" s="18"/>
      <c r="H750" s="25"/>
      <c r="I750" s="5" t="s">
        <v>21</v>
      </c>
      <c r="J750" s="11"/>
      <c r="K750" s="11"/>
      <c r="L750" s="11"/>
      <c r="M750" s="11"/>
      <c r="N750" s="11"/>
      <c r="O750" s="11"/>
    </row>
    <row r="751" spans="1:15" ht="15" thickBot="1" x14ac:dyDescent="0.4">
      <c r="A751" t="str">
        <f t="shared" si="297"/>
        <v>19AP</v>
      </c>
      <c r="B751" t="str">
        <f t="shared" si="293"/>
        <v>CPAC North</v>
      </c>
      <c r="C751" s="19"/>
      <c r="D751" s="19"/>
      <c r="E751" s="19"/>
      <c r="F751" s="19"/>
      <c r="G751" s="19"/>
      <c r="H751" s="26"/>
      <c r="I751" s="3" t="s">
        <v>22</v>
      </c>
      <c r="J751" s="11" t="s">
        <v>31</v>
      </c>
      <c r="K751" s="11" t="s">
        <v>31</v>
      </c>
      <c r="L751" s="11" t="s">
        <v>31</v>
      </c>
      <c r="M751" s="11" t="s">
        <v>31</v>
      </c>
      <c r="N751" s="11" t="s">
        <v>45</v>
      </c>
      <c r="O751" s="11" t="s">
        <v>45</v>
      </c>
    </row>
    <row r="752" spans="1:15" ht="15" thickBot="1" x14ac:dyDescent="0.4">
      <c r="B752" t="str">
        <f t="shared" si="293"/>
        <v>CPAC North</v>
      </c>
      <c r="C752" s="16"/>
      <c r="D752" s="16"/>
      <c r="E752" s="16" t="s">
        <v>195</v>
      </c>
      <c r="F752" s="16" t="s">
        <v>196</v>
      </c>
      <c r="G752" s="16" t="s">
        <v>197</v>
      </c>
      <c r="H752" s="24" t="s">
        <v>30</v>
      </c>
      <c r="I752" s="1"/>
      <c r="J752" s="1"/>
      <c r="K752" s="1"/>
      <c r="L752" s="1"/>
      <c r="M752" s="1"/>
      <c r="N752" s="1"/>
      <c r="O752" s="1"/>
    </row>
    <row r="753" spans="1:15" ht="15" thickBot="1" x14ac:dyDescent="0.4">
      <c r="A753" t="str">
        <f t="shared" si="292"/>
        <v>19FC</v>
      </c>
      <c r="B753" t="str">
        <f t="shared" si="293"/>
        <v>CPAC North</v>
      </c>
      <c r="C753" s="18"/>
      <c r="D753" s="18"/>
      <c r="E753" s="18"/>
      <c r="F753" s="18"/>
      <c r="G753" s="18"/>
      <c r="H753" s="25"/>
      <c r="I753" s="3" t="s">
        <v>18</v>
      </c>
      <c r="J753" s="11"/>
      <c r="K753" s="11"/>
      <c r="L753" s="11"/>
      <c r="M753" s="11"/>
      <c r="N753" s="11"/>
      <c r="O753" s="11"/>
    </row>
    <row r="754" spans="1:15" ht="15" thickBot="1" x14ac:dyDescent="0.4">
      <c r="A754" t="str">
        <f t="shared" si="294"/>
        <v>19FC</v>
      </c>
      <c r="B754" t="str">
        <f t="shared" si="293"/>
        <v>CPAC North</v>
      </c>
      <c r="C754" s="18"/>
      <c r="D754" s="18"/>
      <c r="E754" s="18"/>
      <c r="F754" s="18"/>
      <c r="G754" s="18"/>
      <c r="H754" s="25"/>
      <c r="I754" s="5" t="s">
        <v>19</v>
      </c>
      <c r="J754" s="11"/>
      <c r="K754" s="11"/>
      <c r="L754" s="11"/>
      <c r="M754" s="11"/>
      <c r="N754" s="11"/>
      <c r="O754" s="11"/>
    </row>
    <row r="755" spans="1:15" ht="15" thickBot="1" x14ac:dyDescent="0.4">
      <c r="A755" t="str">
        <f t="shared" si="295"/>
        <v>19FC</v>
      </c>
      <c r="B755" t="str">
        <f t="shared" si="293"/>
        <v>CPAC North</v>
      </c>
      <c r="C755" s="18"/>
      <c r="D755" s="18"/>
      <c r="E755" s="18"/>
      <c r="F755" s="18"/>
      <c r="G755" s="18"/>
      <c r="H755" s="25"/>
      <c r="I755" s="3" t="s">
        <v>20</v>
      </c>
      <c r="J755" s="11"/>
      <c r="K755" s="11"/>
      <c r="L755" s="11"/>
      <c r="M755" s="11"/>
      <c r="N755" s="11"/>
      <c r="O755" s="11"/>
    </row>
    <row r="756" spans="1:15" ht="15" thickBot="1" x14ac:dyDescent="0.4">
      <c r="A756" t="str">
        <f t="shared" si="296"/>
        <v>19FC</v>
      </c>
      <c r="B756" t="str">
        <f t="shared" si="293"/>
        <v>CPAC North</v>
      </c>
      <c r="C756" s="18"/>
      <c r="D756" s="18"/>
      <c r="E756" s="18"/>
      <c r="F756" s="18"/>
      <c r="G756" s="18"/>
      <c r="H756" s="25"/>
      <c r="I756" s="5" t="s">
        <v>21</v>
      </c>
      <c r="J756" s="11"/>
      <c r="K756" s="11"/>
      <c r="L756" s="11"/>
      <c r="M756" s="11"/>
      <c r="N756" s="11"/>
      <c r="O756" s="11"/>
    </row>
    <row r="757" spans="1:15" ht="15" thickBot="1" x14ac:dyDescent="0.4">
      <c r="A757" t="str">
        <f t="shared" si="297"/>
        <v>19FC</v>
      </c>
      <c r="B757" t="str">
        <f t="shared" si="293"/>
        <v>CPAC North</v>
      </c>
      <c r="C757" s="19"/>
      <c r="D757" s="19"/>
      <c r="E757" s="19"/>
      <c r="F757" s="19"/>
      <c r="G757" s="19"/>
      <c r="H757" s="26"/>
      <c r="I757" s="3" t="s">
        <v>22</v>
      </c>
      <c r="J757" s="11" t="s">
        <v>31</v>
      </c>
      <c r="K757" s="11" t="s">
        <v>31</v>
      </c>
      <c r="L757" s="11" t="s">
        <v>31</v>
      </c>
      <c r="M757" s="11" t="s">
        <v>31</v>
      </c>
      <c r="N757" s="11" t="s">
        <v>31</v>
      </c>
      <c r="O757" s="11" t="s">
        <v>31</v>
      </c>
    </row>
    <row r="758" spans="1:15" ht="15" thickBot="1" x14ac:dyDescent="0.4">
      <c r="B758" t="str">
        <f t="shared" si="293"/>
        <v>CPAC North</v>
      </c>
      <c r="C758" s="16"/>
      <c r="D758" s="16"/>
      <c r="E758" s="16"/>
      <c r="F758" s="16"/>
      <c r="G758" s="16" t="s">
        <v>198</v>
      </c>
      <c r="H758" s="27" t="s">
        <v>34</v>
      </c>
      <c r="I758" s="1"/>
      <c r="J758" s="1"/>
      <c r="K758" s="1"/>
      <c r="L758" s="1"/>
      <c r="M758" s="1"/>
      <c r="N758" s="1"/>
      <c r="O758" s="1"/>
    </row>
    <row r="759" spans="1:15" ht="15" thickBot="1" x14ac:dyDescent="0.4">
      <c r="A759" t="str">
        <f t="shared" si="292"/>
        <v>FC045</v>
      </c>
      <c r="B759" t="str">
        <f t="shared" si="293"/>
        <v>CPAC North</v>
      </c>
      <c r="C759" s="18"/>
      <c r="D759" s="18"/>
      <c r="E759" s="18"/>
      <c r="F759" s="18"/>
      <c r="G759" s="18"/>
      <c r="H759" s="28"/>
      <c r="I759" s="3" t="s">
        <v>18</v>
      </c>
      <c r="J759" s="11"/>
      <c r="K759" s="8">
        <v>20</v>
      </c>
      <c r="L759" s="4">
        <v>34</v>
      </c>
      <c r="M759" s="4">
        <v>36</v>
      </c>
      <c r="N759" s="4">
        <v>31</v>
      </c>
      <c r="O759" s="4">
        <v>42</v>
      </c>
    </row>
    <row r="760" spans="1:15" ht="15" thickBot="1" x14ac:dyDescent="0.4">
      <c r="A760" t="str">
        <f t="shared" si="294"/>
        <v>FC045</v>
      </c>
      <c r="B760" t="str">
        <f t="shared" si="293"/>
        <v>CPAC North</v>
      </c>
      <c r="C760" s="18"/>
      <c r="D760" s="18"/>
      <c r="E760" s="18"/>
      <c r="F760" s="18"/>
      <c r="G760" s="18"/>
      <c r="H760" s="28"/>
      <c r="I760" s="5" t="s">
        <v>19</v>
      </c>
      <c r="J760" s="11"/>
      <c r="K760" s="8">
        <v>24</v>
      </c>
      <c r="L760" s="6">
        <v>57</v>
      </c>
      <c r="M760" s="6">
        <v>54</v>
      </c>
      <c r="N760" s="6">
        <v>66</v>
      </c>
      <c r="O760" s="6">
        <v>62</v>
      </c>
    </row>
    <row r="761" spans="1:15" ht="15" thickBot="1" x14ac:dyDescent="0.4">
      <c r="A761" t="str">
        <f t="shared" si="295"/>
        <v>FC045</v>
      </c>
      <c r="B761" t="str">
        <f t="shared" si="293"/>
        <v>CPAC North</v>
      </c>
      <c r="C761" s="18"/>
      <c r="D761" s="18"/>
      <c r="E761" s="18"/>
      <c r="F761" s="18"/>
      <c r="G761" s="18"/>
      <c r="H761" s="28"/>
      <c r="I761" s="3" t="s">
        <v>20</v>
      </c>
      <c r="J761" s="11"/>
      <c r="K761" s="10">
        <v>15.7</v>
      </c>
      <c r="L761" s="10">
        <v>20</v>
      </c>
      <c r="M761" s="10">
        <v>23.6</v>
      </c>
      <c r="N761" s="10">
        <v>18.7</v>
      </c>
      <c r="O761" s="10">
        <v>24.7</v>
      </c>
    </row>
    <row r="762" spans="1:15" ht="15" thickBot="1" x14ac:dyDescent="0.4">
      <c r="A762" t="str">
        <f t="shared" si="296"/>
        <v>FC045</v>
      </c>
      <c r="B762" t="str">
        <f t="shared" si="293"/>
        <v>CPAC North</v>
      </c>
      <c r="C762" s="18"/>
      <c r="D762" s="18"/>
      <c r="E762" s="18"/>
      <c r="F762" s="18"/>
      <c r="G762" s="18"/>
      <c r="H762" s="28"/>
      <c r="I762" s="5" t="s">
        <v>21</v>
      </c>
      <c r="J762" s="11"/>
      <c r="K762" s="8">
        <v>0.52</v>
      </c>
      <c r="L762" s="10">
        <v>0.96</v>
      </c>
      <c r="M762" s="9">
        <v>0.76</v>
      </c>
      <c r="N762" s="10">
        <v>1.17</v>
      </c>
      <c r="O762" s="10">
        <v>0.83</v>
      </c>
    </row>
    <row r="763" spans="1:15" ht="15" thickBot="1" x14ac:dyDescent="0.4">
      <c r="A763" t="str">
        <f t="shared" si="297"/>
        <v>FC045</v>
      </c>
      <c r="B763" t="str">
        <f t="shared" si="293"/>
        <v>CPAC North</v>
      </c>
      <c r="C763" s="19"/>
      <c r="D763" s="19"/>
      <c r="E763" s="19"/>
      <c r="F763" s="19"/>
      <c r="G763" s="19"/>
      <c r="H763" s="29"/>
      <c r="I763" s="3" t="s">
        <v>22</v>
      </c>
      <c r="J763" s="11" t="s">
        <v>45</v>
      </c>
      <c r="K763" s="8" t="s">
        <v>23</v>
      </c>
      <c r="L763" s="10" t="s">
        <v>24</v>
      </c>
      <c r="M763" s="11"/>
      <c r="N763" s="11"/>
      <c r="O763" s="11"/>
    </row>
    <row r="764" spans="1:15" ht="15" thickBot="1" x14ac:dyDescent="0.4">
      <c r="B764" t="str">
        <f t="shared" si="293"/>
        <v>CPAC North</v>
      </c>
      <c r="C764" s="16"/>
      <c r="D764" s="16"/>
      <c r="E764" s="16"/>
      <c r="F764" s="16"/>
      <c r="G764" s="16" t="s">
        <v>199</v>
      </c>
      <c r="H764" s="24" t="s">
        <v>30</v>
      </c>
      <c r="I764" s="1"/>
      <c r="J764" s="1"/>
      <c r="K764" s="1"/>
      <c r="L764" s="1"/>
      <c r="M764" s="1"/>
      <c r="N764" s="1"/>
      <c r="O764" s="1"/>
    </row>
    <row r="765" spans="1:15" ht="15" thickBot="1" x14ac:dyDescent="0.4">
      <c r="A765" t="str">
        <f t="shared" si="292"/>
        <v>FC023</v>
      </c>
      <c r="B765" t="str">
        <f t="shared" si="293"/>
        <v>CPAC North</v>
      </c>
      <c r="C765" s="18"/>
      <c r="D765" s="18"/>
      <c r="E765" s="18"/>
      <c r="F765" s="18"/>
      <c r="G765" s="18"/>
      <c r="H765" s="25"/>
      <c r="I765" s="3" t="s">
        <v>18</v>
      </c>
      <c r="J765" s="11"/>
      <c r="K765" s="11"/>
      <c r="L765" s="11"/>
      <c r="M765" s="11"/>
      <c r="N765" s="11"/>
      <c r="O765" s="11"/>
    </row>
    <row r="766" spans="1:15" ht="15" thickBot="1" x14ac:dyDescent="0.4">
      <c r="A766" t="str">
        <f t="shared" si="294"/>
        <v>FC023</v>
      </c>
      <c r="B766" t="str">
        <f t="shared" si="293"/>
        <v>CPAC North</v>
      </c>
      <c r="C766" s="18"/>
      <c r="D766" s="18"/>
      <c r="E766" s="18"/>
      <c r="F766" s="18"/>
      <c r="G766" s="18"/>
      <c r="H766" s="25"/>
      <c r="I766" s="5" t="s">
        <v>19</v>
      </c>
      <c r="J766" s="11"/>
      <c r="K766" s="11"/>
      <c r="L766" s="11"/>
      <c r="M766" s="11"/>
      <c r="N766" s="11"/>
      <c r="O766" s="11"/>
    </row>
    <row r="767" spans="1:15" ht="15" thickBot="1" x14ac:dyDescent="0.4">
      <c r="A767" t="str">
        <f t="shared" si="295"/>
        <v>FC023</v>
      </c>
      <c r="B767" t="str">
        <f t="shared" si="293"/>
        <v>CPAC North</v>
      </c>
      <c r="C767" s="18"/>
      <c r="D767" s="18"/>
      <c r="E767" s="18"/>
      <c r="F767" s="18"/>
      <c r="G767" s="18"/>
      <c r="H767" s="25"/>
      <c r="I767" s="3" t="s">
        <v>20</v>
      </c>
      <c r="J767" s="11"/>
      <c r="K767" s="11"/>
      <c r="L767" s="11"/>
      <c r="M767" s="11"/>
      <c r="N767" s="11"/>
      <c r="O767" s="11"/>
    </row>
    <row r="768" spans="1:15" ht="15" thickBot="1" x14ac:dyDescent="0.4">
      <c r="A768" t="str">
        <f t="shared" si="296"/>
        <v>FC023</v>
      </c>
      <c r="B768" t="str">
        <f t="shared" si="293"/>
        <v>CPAC North</v>
      </c>
      <c r="C768" s="18"/>
      <c r="D768" s="18"/>
      <c r="E768" s="18"/>
      <c r="F768" s="18"/>
      <c r="G768" s="18"/>
      <c r="H768" s="25"/>
      <c r="I768" s="5" t="s">
        <v>21</v>
      </c>
      <c r="J768" s="11"/>
      <c r="K768" s="11"/>
      <c r="L768" s="11"/>
      <c r="M768" s="11"/>
      <c r="N768" s="11"/>
      <c r="O768" s="11"/>
    </row>
    <row r="769" spans="1:15" ht="15" thickBot="1" x14ac:dyDescent="0.4">
      <c r="A769" t="str">
        <f t="shared" si="297"/>
        <v>FC023</v>
      </c>
      <c r="B769" t="str">
        <f t="shared" si="293"/>
        <v>CPAC North</v>
      </c>
      <c r="C769" s="19"/>
      <c r="D769" s="19"/>
      <c r="E769" s="19"/>
      <c r="F769" s="19"/>
      <c r="G769" s="19"/>
      <c r="H769" s="26"/>
      <c r="I769" s="3" t="s">
        <v>22</v>
      </c>
      <c r="J769" s="11" t="s">
        <v>46</v>
      </c>
      <c r="K769" s="11" t="s">
        <v>46</v>
      </c>
      <c r="L769" s="11" t="s">
        <v>46</v>
      </c>
      <c r="M769" s="11" t="s">
        <v>46</v>
      </c>
      <c r="N769" s="11" t="s">
        <v>46</v>
      </c>
      <c r="O769" s="11" t="s">
        <v>46</v>
      </c>
    </row>
    <row r="770" spans="1:15" ht="15" thickBot="1" x14ac:dyDescent="0.4">
      <c r="B770" t="str">
        <f t="shared" si="293"/>
        <v>CPAC North</v>
      </c>
      <c r="C770" s="16"/>
      <c r="D770" s="16"/>
      <c r="E770" s="16"/>
      <c r="F770" s="16"/>
      <c r="G770" s="16" t="s">
        <v>200</v>
      </c>
      <c r="H770" s="27" t="s">
        <v>34</v>
      </c>
      <c r="I770" s="1"/>
      <c r="J770" s="1"/>
      <c r="K770" s="1"/>
      <c r="L770" s="1"/>
      <c r="M770" s="1"/>
      <c r="N770" s="1"/>
      <c r="O770" s="1"/>
    </row>
    <row r="771" spans="1:15" ht="15" thickBot="1" x14ac:dyDescent="0.4">
      <c r="A771" t="str">
        <f t="shared" ref="A771:A834" si="298">IF(LEFT(G770,2)="FC",LEFT(G770,5),LEFT(G770,4))</f>
        <v>FC289</v>
      </c>
      <c r="B771" t="str">
        <f t="shared" si="293"/>
        <v>CPAC North</v>
      </c>
      <c r="C771" s="18"/>
      <c r="D771" s="18"/>
      <c r="E771" s="18"/>
      <c r="F771" s="18"/>
      <c r="G771" s="18"/>
      <c r="H771" s="28"/>
      <c r="I771" s="3" t="s">
        <v>18</v>
      </c>
      <c r="J771" s="4">
        <v>38</v>
      </c>
      <c r="K771" s="4">
        <v>46</v>
      </c>
      <c r="L771" s="4">
        <v>38</v>
      </c>
      <c r="M771" s="4">
        <v>32</v>
      </c>
      <c r="N771" s="4">
        <v>32</v>
      </c>
      <c r="O771" s="4">
        <v>72</v>
      </c>
    </row>
    <row r="772" spans="1:15" ht="15" thickBot="1" x14ac:dyDescent="0.4">
      <c r="A772" t="str">
        <f t="shared" si="294"/>
        <v>FC289</v>
      </c>
      <c r="B772" t="str">
        <f t="shared" si="293"/>
        <v>CPAC North</v>
      </c>
      <c r="C772" s="18"/>
      <c r="D772" s="18"/>
      <c r="E772" s="18"/>
      <c r="F772" s="18"/>
      <c r="G772" s="18"/>
      <c r="H772" s="28"/>
      <c r="I772" s="5" t="s">
        <v>19</v>
      </c>
      <c r="J772" s="6">
        <v>60</v>
      </c>
      <c r="K772" s="6">
        <v>68</v>
      </c>
      <c r="L772" s="7">
        <v>77</v>
      </c>
      <c r="M772" s="6">
        <v>50</v>
      </c>
      <c r="N772" s="8">
        <v>49</v>
      </c>
      <c r="O772" s="8">
        <v>45</v>
      </c>
    </row>
    <row r="773" spans="1:15" ht="15" thickBot="1" x14ac:dyDescent="0.4">
      <c r="A773" t="str">
        <f t="shared" si="295"/>
        <v>FC289</v>
      </c>
      <c r="B773" t="str">
        <f t="shared" si="293"/>
        <v>CPAC North</v>
      </c>
      <c r="C773" s="18"/>
      <c r="D773" s="18"/>
      <c r="E773" s="18"/>
      <c r="F773" s="18"/>
      <c r="G773" s="18"/>
      <c r="H773" s="28"/>
      <c r="I773" s="3" t="s">
        <v>20</v>
      </c>
      <c r="J773" s="10">
        <v>24.9</v>
      </c>
      <c r="K773" s="9">
        <v>30</v>
      </c>
      <c r="L773" s="10">
        <v>22.5</v>
      </c>
      <c r="M773" s="10">
        <v>18.8</v>
      </c>
      <c r="N773" s="10">
        <v>21.5</v>
      </c>
      <c r="O773" s="10">
        <v>18.5</v>
      </c>
    </row>
    <row r="774" spans="1:15" ht="15" thickBot="1" x14ac:dyDescent="0.4">
      <c r="A774" t="str">
        <f t="shared" si="296"/>
        <v>FC289</v>
      </c>
      <c r="B774" t="str">
        <f t="shared" si="293"/>
        <v>CPAC North</v>
      </c>
      <c r="C774" s="18"/>
      <c r="D774" s="18"/>
      <c r="E774" s="18"/>
      <c r="F774" s="18"/>
      <c r="G774" s="18"/>
      <c r="H774" s="28"/>
      <c r="I774" s="5" t="s">
        <v>21</v>
      </c>
      <c r="J774" s="10">
        <v>0.8</v>
      </c>
      <c r="K774" s="9">
        <v>0.76</v>
      </c>
      <c r="L774" s="10">
        <v>1.1399999999999999</v>
      </c>
      <c r="M774" s="10">
        <v>0.89</v>
      </c>
      <c r="N774" s="9">
        <v>0.75</v>
      </c>
      <c r="O774" s="10">
        <v>0.82</v>
      </c>
    </row>
    <row r="775" spans="1:15" ht="15" thickBot="1" x14ac:dyDescent="0.4">
      <c r="A775" t="str">
        <f t="shared" si="297"/>
        <v>FC289</v>
      </c>
      <c r="B775" t="str">
        <f t="shared" ref="B775:B838" si="299">$D$518</f>
        <v>CPAC North</v>
      </c>
      <c r="C775" s="19"/>
      <c r="D775" s="19"/>
      <c r="E775" s="19"/>
      <c r="F775" s="19"/>
      <c r="G775" s="19"/>
      <c r="H775" s="29"/>
      <c r="I775" s="3" t="s">
        <v>22</v>
      </c>
      <c r="J775" s="9" t="s">
        <v>25</v>
      </c>
      <c r="K775" s="11"/>
      <c r="L775" s="10" t="s">
        <v>24</v>
      </c>
      <c r="M775" s="11"/>
      <c r="N775" s="9" t="s">
        <v>25</v>
      </c>
      <c r="O775" s="9" t="s">
        <v>25</v>
      </c>
    </row>
    <row r="776" spans="1:15" ht="15" thickBot="1" x14ac:dyDescent="0.4">
      <c r="B776" t="str">
        <f t="shared" si="299"/>
        <v>CPAC North</v>
      </c>
      <c r="C776" s="16"/>
      <c r="D776" s="16"/>
      <c r="E776" s="16"/>
      <c r="F776" s="16"/>
      <c r="G776" s="16" t="s">
        <v>201</v>
      </c>
      <c r="H776" s="27" t="s">
        <v>34</v>
      </c>
      <c r="I776" s="1"/>
      <c r="J776" s="1"/>
      <c r="K776" s="1"/>
      <c r="L776" s="1"/>
      <c r="M776" s="1"/>
      <c r="N776" s="1"/>
      <c r="O776" s="1"/>
    </row>
    <row r="777" spans="1:15" ht="15" thickBot="1" x14ac:dyDescent="0.4">
      <c r="A777" t="str">
        <f t="shared" si="298"/>
        <v>FC121</v>
      </c>
      <c r="B777" t="str">
        <f t="shared" si="299"/>
        <v>CPAC North</v>
      </c>
      <c r="C777" s="18"/>
      <c r="D777" s="18"/>
      <c r="E777" s="18"/>
      <c r="F777" s="18"/>
      <c r="G777" s="18"/>
      <c r="H777" s="28"/>
      <c r="I777" s="3" t="s">
        <v>18</v>
      </c>
      <c r="J777" s="8">
        <v>24</v>
      </c>
      <c r="K777" s="4">
        <v>35</v>
      </c>
      <c r="L777" s="8">
        <v>16</v>
      </c>
      <c r="M777" s="8">
        <v>15</v>
      </c>
      <c r="N777" s="8">
        <v>27</v>
      </c>
      <c r="O777" s="4">
        <v>32</v>
      </c>
    </row>
    <row r="778" spans="1:15" ht="15" thickBot="1" x14ac:dyDescent="0.4">
      <c r="A778" t="str">
        <f t="shared" ref="A778:A838" si="300">IF(LEFT(G776,2)="FC",LEFT(G776,5),LEFT(G776,4))</f>
        <v>FC121</v>
      </c>
      <c r="B778" t="str">
        <f t="shared" si="299"/>
        <v>CPAC North</v>
      </c>
      <c r="C778" s="18"/>
      <c r="D778" s="18"/>
      <c r="E778" s="18"/>
      <c r="F778" s="18"/>
      <c r="G778" s="18"/>
      <c r="H778" s="28"/>
      <c r="I778" s="5" t="s">
        <v>19</v>
      </c>
      <c r="J778" s="8">
        <v>49</v>
      </c>
      <c r="K778" s="8">
        <v>48</v>
      </c>
      <c r="L778" s="8">
        <v>47</v>
      </c>
      <c r="M778" s="8">
        <v>42</v>
      </c>
      <c r="N778" s="6">
        <v>63</v>
      </c>
      <c r="O778" s="8">
        <v>35</v>
      </c>
    </row>
    <row r="779" spans="1:15" ht="15" thickBot="1" x14ac:dyDescent="0.4">
      <c r="A779" t="str">
        <f t="shared" ref="A779:A839" si="301">IF(LEFT(G776,2)="FC",LEFT(G776,5),LEFT(G776,4))</f>
        <v>FC121</v>
      </c>
      <c r="B779" t="str">
        <f t="shared" si="299"/>
        <v>CPAC North</v>
      </c>
      <c r="C779" s="18"/>
      <c r="D779" s="18"/>
      <c r="E779" s="18"/>
      <c r="F779" s="18"/>
      <c r="G779" s="18"/>
      <c r="H779" s="28"/>
      <c r="I779" s="3" t="s">
        <v>20</v>
      </c>
      <c r="J779" s="10">
        <v>12</v>
      </c>
      <c r="K779" s="10">
        <v>25.9</v>
      </c>
      <c r="L779" s="10">
        <v>19.100000000000001</v>
      </c>
      <c r="M779" s="10">
        <v>18.899999999999999</v>
      </c>
      <c r="N779" s="10">
        <v>19.2</v>
      </c>
      <c r="O779" s="10">
        <v>18.8</v>
      </c>
    </row>
    <row r="780" spans="1:15" ht="15" thickBot="1" x14ac:dyDescent="0.4">
      <c r="A780" t="str">
        <f t="shared" ref="A780:A840" si="302">IF(LEFT(G776,2)="FC",LEFT(G776,5),LEFT(G776,4))</f>
        <v>FC121</v>
      </c>
      <c r="B780" t="str">
        <f t="shared" si="299"/>
        <v>CPAC North</v>
      </c>
      <c r="C780" s="18"/>
      <c r="D780" s="18"/>
      <c r="E780" s="18"/>
      <c r="F780" s="18"/>
      <c r="G780" s="18"/>
      <c r="H780" s="28"/>
      <c r="I780" s="5" t="s">
        <v>21</v>
      </c>
      <c r="J780" s="10">
        <v>1.35</v>
      </c>
      <c r="K780" s="9">
        <v>0.62</v>
      </c>
      <c r="L780" s="10">
        <v>0.82</v>
      </c>
      <c r="M780" s="9">
        <v>0.74</v>
      </c>
      <c r="N780" s="10">
        <v>1.0900000000000001</v>
      </c>
      <c r="O780" s="9">
        <v>0.62</v>
      </c>
    </row>
    <row r="781" spans="1:15" ht="15" thickBot="1" x14ac:dyDescent="0.4">
      <c r="A781" t="str">
        <f t="shared" ref="A781:A841" si="303">IF(LEFT(G776,2)="FC",LEFT(G776,5),LEFT(G776,4))</f>
        <v>FC121</v>
      </c>
      <c r="B781" t="str">
        <f t="shared" si="299"/>
        <v>CPAC North</v>
      </c>
      <c r="C781" s="19"/>
      <c r="D781" s="19"/>
      <c r="E781" s="19"/>
      <c r="F781" s="19"/>
      <c r="G781" s="19"/>
      <c r="H781" s="29"/>
      <c r="I781" s="3" t="s">
        <v>22</v>
      </c>
      <c r="J781" s="10" t="s">
        <v>24</v>
      </c>
      <c r="K781" s="11"/>
      <c r="L781" s="9" t="s">
        <v>25</v>
      </c>
      <c r="M781" s="9" t="s">
        <v>25</v>
      </c>
      <c r="N781" s="10" t="s">
        <v>24</v>
      </c>
      <c r="O781" s="11"/>
    </row>
    <row r="782" spans="1:15" ht="15" thickBot="1" x14ac:dyDescent="0.4">
      <c r="B782" t="str">
        <f t="shared" si="299"/>
        <v>CPAC North</v>
      </c>
      <c r="C782" s="16"/>
      <c r="D782" s="16"/>
      <c r="E782" s="16"/>
      <c r="F782" s="16"/>
      <c r="G782" s="16" t="s">
        <v>202</v>
      </c>
      <c r="H782" s="30" t="s">
        <v>39</v>
      </c>
      <c r="I782" s="1"/>
      <c r="J782" s="1"/>
      <c r="K782" s="1"/>
      <c r="L782" s="1"/>
      <c r="M782" s="1"/>
      <c r="N782" s="1"/>
      <c r="O782" s="1"/>
    </row>
    <row r="783" spans="1:15" ht="15" thickBot="1" x14ac:dyDescent="0.4">
      <c r="A783" t="str">
        <f t="shared" si="298"/>
        <v>FC303</v>
      </c>
      <c r="B783" t="str">
        <f t="shared" si="299"/>
        <v>CPAC North</v>
      </c>
      <c r="C783" s="18"/>
      <c r="D783" s="18"/>
      <c r="E783" s="18"/>
      <c r="F783" s="18"/>
      <c r="G783" s="18"/>
      <c r="H783" s="31"/>
      <c r="I783" s="3" t="s">
        <v>18</v>
      </c>
      <c r="J783" s="4">
        <v>45</v>
      </c>
      <c r="K783" s="4">
        <v>45</v>
      </c>
      <c r="L783" s="4">
        <v>36</v>
      </c>
      <c r="M783" s="4">
        <v>30</v>
      </c>
      <c r="N783" s="4">
        <v>42</v>
      </c>
      <c r="O783" s="4">
        <v>45</v>
      </c>
    </row>
    <row r="784" spans="1:15" ht="15" thickBot="1" x14ac:dyDescent="0.4">
      <c r="A784" t="str">
        <f t="shared" si="300"/>
        <v>FC303</v>
      </c>
      <c r="B784" t="str">
        <f t="shared" si="299"/>
        <v>CPAC North</v>
      </c>
      <c r="C784" s="18"/>
      <c r="D784" s="18"/>
      <c r="E784" s="18"/>
      <c r="F784" s="18"/>
      <c r="G784" s="18"/>
      <c r="H784" s="31"/>
      <c r="I784" s="5" t="s">
        <v>19</v>
      </c>
      <c r="J784" s="6">
        <v>54</v>
      </c>
      <c r="K784" s="6">
        <v>61</v>
      </c>
      <c r="L784" s="6">
        <v>59</v>
      </c>
      <c r="M784" s="6">
        <v>60</v>
      </c>
      <c r="N784" s="6">
        <v>60</v>
      </c>
      <c r="O784" s="6">
        <v>55</v>
      </c>
    </row>
    <row r="785" spans="1:15" ht="15" thickBot="1" x14ac:dyDescent="0.4">
      <c r="A785" t="str">
        <f t="shared" si="301"/>
        <v>FC303</v>
      </c>
      <c r="B785" t="str">
        <f t="shared" si="299"/>
        <v>CPAC North</v>
      </c>
      <c r="C785" s="18"/>
      <c r="D785" s="18"/>
      <c r="E785" s="18"/>
      <c r="F785" s="18"/>
      <c r="G785" s="18"/>
      <c r="H785" s="31"/>
      <c r="I785" s="3" t="s">
        <v>20</v>
      </c>
      <c r="J785" s="10">
        <v>13.3</v>
      </c>
      <c r="K785" s="10">
        <v>13.8</v>
      </c>
      <c r="L785" s="10">
        <v>12.4</v>
      </c>
      <c r="M785" s="10">
        <v>14.6</v>
      </c>
      <c r="N785" s="10">
        <v>11.7</v>
      </c>
      <c r="O785" s="10">
        <v>14.3</v>
      </c>
    </row>
    <row r="786" spans="1:15" ht="15" thickBot="1" x14ac:dyDescent="0.4">
      <c r="A786" t="str">
        <f t="shared" si="302"/>
        <v>FC303</v>
      </c>
      <c r="B786" t="str">
        <f t="shared" si="299"/>
        <v>CPAC North</v>
      </c>
      <c r="C786" s="18"/>
      <c r="D786" s="18"/>
      <c r="E786" s="18"/>
      <c r="F786" s="18"/>
      <c r="G786" s="18"/>
      <c r="H786" s="31"/>
      <c r="I786" s="5" t="s">
        <v>21</v>
      </c>
      <c r="J786" s="10">
        <v>1.37</v>
      </c>
      <c r="K786" s="10">
        <v>1.48</v>
      </c>
      <c r="L786" s="10">
        <v>1.59</v>
      </c>
      <c r="M786" s="10">
        <v>1.38</v>
      </c>
      <c r="N786" s="10">
        <v>1.69</v>
      </c>
      <c r="O786" s="10">
        <v>1.29</v>
      </c>
    </row>
    <row r="787" spans="1:15" ht="15" thickBot="1" x14ac:dyDescent="0.4">
      <c r="A787" t="str">
        <f t="shared" si="303"/>
        <v>FC303</v>
      </c>
      <c r="B787" t="str">
        <f t="shared" si="299"/>
        <v>CPAC North</v>
      </c>
      <c r="C787" s="19"/>
      <c r="D787" s="19"/>
      <c r="E787" s="19"/>
      <c r="F787" s="19"/>
      <c r="G787" s="19"/>
      <c r="H787" s="32"/>
      <c r="I787" s="3" t="s">
        <v>22</v>
      </c>
      <c r="J787" s="10" t="s">
        <v>24</v>
      </c>
      <c r="K787" s="10" t="s">
        <v>24</v>
      </c>
      <c r="L787" s="10" t="s">
        <v>24</v>
      </c>
      <c r="M787" s="10" t="s">
        <v>24</v>
      </c>
      <c r="N787" s="10" t="s">
        <v>24</v>
      </c>
      <c r="O787" s="10" t="s">
        <v>24</v>
      </c>
    </row>
    <row r="788" spans="1:15" ht="15" thickBot="1" x14ac:dyDescent="0.4">
      <c r="B788" t="str">
        <f t="shared" si="299"/>
        <v>CPAC North</v>
      </c>
      <c r="C788" s="16"/>
      <c r="D788" s="16"/>
      <c r="E788" s="16"/>
      <c r="F788" s="16"/>
      <c r="G788" s="16" t="s">
        <v>203</v>
      </c>
      <c r="H788" s="20" t="s">
        <v>17</v>
      </c>
      <c r="I788" s="1"/>
      <c r="J788" s="1"/>
      <c r="K788" s="1"/>
      <c r="L788" s="1"/>
      <c r="M788" s="1"/>
      <c r="N788" s="1"/>
      <c r="O788" s="1"/>
    </row>
    <row r="789" spans="1:15" ht="15" thickBot="1" x14ac:dyDescent="0.4">
      <c r="A789" t="str">
        <f t="shared" si="298"/>
        <v>FC067</v>
      </c>
      <c r="B789" t="str">
        <f t="shared" si="299"/>
        <v>CPAC North</v>
      </c>
      <c r="C789" s="18"/>
      <c r="D789" s="18"/>
      <c r="E789" s="18"/>
      <c r="F789" s="18"/>
      <c r="G789" s="18"/>
      <c r="H789" s="22"/>
      <c r="I789" s="3" t="s">
        <v>18</v>
      </c>
      <c r="J789" s="4">
        <v>32</v>
      </c>
      <c r="K789" s="4">
        <v>33</v>
      </c>
      <c r="L789" s="4">
        <v>69</v>
      </c>
      <c r="M789" s="4">
        <v>36</v>
      </c>
      <c r="N789" s="4">
        <v>40</v>
      </c>
      <c r="O789" s="11"/>
    </row>
    <row r="790" spans="1:15" ht="15" thickBot="1" x14ac:dyDescent="0.4">
      <c r="A790" t="str">
        <f t="shared" si="300"/>
        <v>FC067</v>
      </c>
      <c r="B790" t="str">
        <f t="shared" si="299"/>
        <v>CPAC North</v>
      </c>
      <c r="C790" s="18"/>
      <c r="D790" s="18"/>
      <c r="E790" s="18"/>
      <c r="F790" s="18"/>
      <c r="G790" s="18"/>
      <c r="H790" s="22"/>
      <c r="I790" s="5" t="s">
        <v>19</v>
      </c>
      <c r="J790" s="6">
        <v>60</v>
      </c>
      <c r="K790" s="6">
        <v>58</v>
      </c>
      <c r="L790" s="9">
        <v>110</v>
      </c>
      <c r="M790" s="9">
        <v>145</v>
      </c>
      <c r="N790" s="9">
        <v>103</v>
      </c>
      <c r="O790" s="11"/>
    </row>
    <row r="791" spans="1:15" ht="15" thickBot="1" x14ac:dyDescent="0.4">
      <c r="A791" t="str">
        <f t="shared" si="301"/>
        <v>FC067</v>
      </c>
      <c r="B791" t="str">
        <f t="shared" si="299"/>
        <v>CPAC North</v>
      </c>
      <c r="C791" s="18"/>
      <c r="D791" s="18"/>
      <c r="E791" s="18"/>
      <c r="F791" s="18"/>
      <c r="G791" s="18"/>
      <c r="H791" s="22"/>
      <c r="I791" s="3" t="s">
        <v>20</v>
      </c>
      <c r="J791" s="9">
        <v>29.2</v>
      </c>
      <c r="K791" s="10">
        <v>25.7</v>
      </c>
      <c r="L791" s="9">
        <v>29.8</v>
      </c>
      <c r="M791" s="7">
        <v>40</v>
      </c>
      <c r="N791" s="6">
        <v>42.6</v>
      </c>
      <c r="O791" s="11"/>
    </row>
    <row r="792" spans="1:15" ht="15" thickBot="1" x14ac:dyDescent="0.4">
      <c r="A792" t="str">
        <f t="shared" si="302"/>
        <v>FC067</v>
      </c>
      <c r="B792" t="str">
        <f t="shared" si="299"/>
        <v>CPAC North</v>
      </c>
      <c r="C792" s="18"/>
      <c r="D792" s="18"/>
      <c r="E792" s="18"/>
      <c r="F792" s="18"/>
      <c r="G792" s="18"/>
      <c r="H792" s="22"/>
      <c r="I792" s="5" t="s">
        <v>21</v>
      </c>
      <c r="J792" s="9">
        <v>0.68</v>
      </c>
      <c r="K792" s="9">
        <v>0.75</v>
      </c>
      <c r="L792" s="10">
        <v>1.23</v>
      </c>
      <c r="M792" s="10">
        <v>1.21</v>
      </c>
      <c r="N792" s="10">
        <v>0.81</v>
      </c>
      <c r="O792" s="11"/>
    </row>
    <row r="793" spans="1:15" ht="15" thickBot="1" x14ac:dyDescent="0.4">
      <c r="A793" t="str">
        <f t="shared" si="303"/>
        <v>FC067</v>
      </c>
      <c r="B793" t="str">
        <f t="shared" si="299"/>
        <v>CPAC North</v>
      </c>
      <c r="C793" s="19"/>
      <c r="D793" s="19"/>
      <c r="E793" s="19"/>
      <c r="F793" s="19"/>
      <c r="G793" s="19"/>
      <c r="H793" s="23"/>
      <c r="I793" s="3" t="s">
        <v>22</v>
      </c>
      <c r="J793" s="11"/>
      <c r="K793" s="9" t="s">
        <v>25</v>
      </c>
      <c r="L793" s="10" t="s">
        <v>24</v>
      </c>
      <c r="M793" s="10" t="s">
        <v>24</v>
      </c>
      <c r="N793" s="10" t="s">
        <v>24</v>
      </c>
      <c r="O793" s="11" t="s">
        <v>46</v>
      </c>
    </row>
    <row r="794" spans="1:15" ht="15" thickBot="1" x14ac:dyDescent="0.4">
      <c r="B794" t="str">
        <f t="shared" si="299"/>
        <v>CPAC North</v>
      </c>
      <c r="C794" s="16"/>
      <c r="D794" s="16"/>
      <c r="E794" s="16"/>
      <c r="F794" s="16"/>
      <c r="G794" s="16" t="s">
        <v>204</v>
      </c>
      <c r="H794" s="27" t="s">
        <v>34</v>
      </c>
      <c r="I794" s="1"/>
      <c r="J794" s="1"/>
      <c r="K794" s="1"/>
      <c r="L794" s="1"/>
      <c r="M794" s="1"/>
      <c r="N794" s="1"/>
      <c r="O794" s="1"/>
    </row>
    <row r="795" spans="1:15" ht="15" thickBot="1" x14ac:dyDescent="0.4">
      <c r="A795" t="str">
        <f t="shared" si="298"/>
        <v>FC333</v>
      </c>
      <c r="B795" t="str">
        <f t="shared" si="299"/>
        <v>CPAC North</v>
      </c>
      <c r="C795" s="18"/>
      <c r="D795" s="18"/>
      <c r="E795" s="18"/>
      <c r="F795" s="18"/>
      <c r="G795" s="18"/>
      <c r="H795" s="28"/>
      <c r="I795" s="3" t="s">
        <v>18</v>
      </c>
      <c r="J795" s="4">
        <v>30</v>
      </c>
      <c r="K795" s="4">
        <v>39</v>
      </c>
      <c r="L795" s="4">
        <v>30</v>
      </c>
      <c r="M795" s="4">
        <v>33</v>
      </c>
      <c r="N795" s="4">
        <v>33</v>
      </c>
      <c r="O795" s="8">
        <v>24</v>
      </c>
    </row>
    <row r="796" spans="1:15" ht="15" thickBot="1" x14ac:dyDescent="0.4">
      <c r="A796" t="str">
        <f t="shared" si="300"/>
        <v>FC333</v>
      </c>
      <c r="B796" t="str">
        <f t="shared" si="299"/>
        <v>CPAC North</v>
      </c>
      <c r="C796" s="18"/>
      <c r="D796" s="18"/>
      <c r="E796" s="18"/>
      <c r="F796" s="18"/>
      <c r="G796" s="18"/>
      <c r="H796" s="28"/>
      <c r="I796" s="5" t="s">
        <v>19</v>
      </c>
      <c r="J796" s="6">
        <v>59</v>
      </c>
      <c r="K796" s="6">
        <v>60</v>
      </c>
      <c r="L796" s="6">
        <v>56</v>
      </c>
      <c r="M796" s="6">
        <v>55</v>
      </c>
      <c r="N796" s="6">
        <v>53</v>
      </c>
      <c r="O796" s="9">
        <v>105</v>
      </c>
    </row>
    <row r="797" spans="1:15" ht="15" thickBot="1" x14ac:dyDescent="0.4">
      <c r="A797" t="str">
        <f t="shared" si="301"/>
        <v>FC333</v>
      </c>
      <c r="B797" t="str">
        <f t="shared" si="299"/>
        <v>CPAC North</v>
      </c>
      <c r="C797" s="18"/>
      <c r="D797" s="18"/>
      <c r="E797" s="18"/>
      <c r="F797" s="18"/>
      <c r="G797" s="18"/>
      <c r="H797" s="28"/>
      <c r="I797" s="3" t="s">
        <v>20</v>
      </c>
      <c r="J797" s="10">
        <v>12.8</v>
      </c>
      <c r="K797" s="10">
        <v>12.5</v>
      </c>
      <c r="L797" s="10">
        <v>14.9</v>
      </c>
      <c r="M797" s="10">
        <v>12.7</v>
      </c>
      <c r="N797" s="10">
        <v>9.9</v>
      </c>
      <c r="O797" s="9">
        <v>34.5</v>
      </c>
    </row>
    <row r="798" spans="1:15" ht="15" thickBot="1" x14ac:dyDescent="0.4">
      <c r="A798" t="str">
        <f t="shared" si="302"/>
        <v>FC333</v>
      </c>
      <c r="B798" t="str">
        <f t="shared" si="299"/>
        <v>CPAC North</v>
      </c>
      <c r="C798" s="18"/>
      <c r="D798" s="18"/>
      <c r="E798" s="18"/>
      <c r="F798" s="18"/>
      <c r="G798" s="18"/>
      <c r="H798" s="28"/>
      <c r="I798" s="5" t="s">
        <v>21</v>
      </c>
      <c r="J798" s="10">
        <v>1.55</v>
      </c>
      <c r="K798" s="10">
        <v>1.6</v>
      </c>
      <c r="L798" s="10">
        <v>1.25</v>
      </c>
      <c r="M798" s="10">
        <v>1.45</v>
      </c>
      <c r="N798" s="10">
        <v>1.78</v>
      </c>
      <c r="O798" s="10">
        <v>1.01</v>
      </c>
    </row>
    <row r="799" spans="1:15" ht="15" thickBot="1" x14ac:dyDescent="0.4">
      <c r="A799" t="str">
        <f t="shared" si="303"/>
        <v>FC333</v>
      </c>
      <c r="B799" t="str">
        <f t="shared" si="299"/>
        <v>CPAC North</v>
      </c>
      <c r="C799" s="19"/>
      <c r="D799" s="19"/>
      <c r="E799" s="19"/>
      <c r="F799" s="19"/>
      <c r="G799" s="19"/>
      <c r="H799" s="29"/>
      <c r="I799" s="3" t="s">
        <v>22</v>
      </c>
      <c r="J799" s="11"/>
      <c r="K799" s="10" t="s">
        <v>24</v>
      </c>
      <c r="L799" s="10" t="s">
        <v>24</v>
      </c>
      <c r="M799" s="11"/>
      <c r="N799" s="11"/>
      <c r="O799" s="10" t="s">
        <v>24</v>
      </c>
    </row>
    <row r="800" spans="1:15" ht="15" thickBot="1" x14ac:dyDescent="0.4">
      <c r="B800" t="str">
        <f t="shared" si="299"/>
        <v>CPAC North</v>
      </c>
      <c r="C800" s="16"/>
      <c r="D800" s="16"/>
      <c r="E800" s="16"/>
      <c r="F800" s="16"/>
      <c r="G800" s="16" t="s">
        <v>205</v>
      </c>
      <c r="H800" s="30" t="s">
        <v>39</v>
      </c>
      <c r="I800" s="1"/>
      <c r="J800" s="1"/>
      <c r="K800" s="1"/>
      <c r="L800" s="1"/>
      <c r="M800" s="1"/>
      <c r="N800" s="1"/>
      <c r="O800" s="1"/>
    </row>
    <row r="801" spans="1:15" ht="15" thickBot="1" x14ac:dyDescent="0.4">
      <c r="A801" t="str">
        <f t="shared" si="298"/>
        <v>FC293</v>
      </c>
      <c r="B801" t="str">
        <f t="shared" si="299"/>
        <v>CPAC North</v>
      </c>
      <c r="C801" s="18"/>
      <c r="D801" s="18"/>
      <c r="E801" s="18"/>
      <c r="F801" s="18"/>
      <c r="G801" s="18"/>
      <c r="H801" s="31"/>
      <c r="I801" s="3" t="s">
        <v>18</v>
      </c>
      <c r="J801" s="4">
        <v>33</v>
      </c>
      <c r="K801" s="4">
        <v>33</v>
      </c>
      <c r="L801" s="4">
        <v>36</v>
      </c>
      <c r="M801" s="4">
        <v>30</v>
      </c>
      <c r="N801" s="8">
        <v>25</v>
      </c>
      <c r="O801" s="8">
        <v>26</v>
      </c>
    </row>
    <row r="802" spans="1:15" ht="15" thickBot="1" x14ac:dyDescent="0.4">
      <c r="A802" t="str">
        <f t="shared" si="300"/>
        <v>FC293</v>
      </c>
      <c r="B802" t="str">
        <f t="shared" si="299"/>
        <v>CPAC North</v>
      </c>
      <c r="C802" s="18"/>
      <c r="D802" s="18"/>
      <c r="E802" s="18"/>
      <c r="F802" s="18"/>
      <c r="G802" s="18"/>
      <c r="H802" s="31"/>
      <c r="I802" s="5" t="s">
        <v>19</v>
      </c>
      <c r="J802" s="9">
        <v>97</v>
      </c>
      <c r="K802" s="7">
        <v>89</v>
      </c>
      <c r="L802" s="9">
        <v>101</v>
      </c>
      <c r="M802" s="6">
        <v>68</v>
      </c>
      <c r="N802" s="6">
        <v>59</v>
      </c>
      <c r="O802" s="6">
        <v>59</v>
      </c>
    </row>
    <row r="803" spans="1:15" ht="15" thickBot="1" x14ac:dyDescent="0.4">
      <c r="A803" t="str">
        <f t="shared" si="301"/>
        <v>FC293</v>
      </c>
      <c r="B803" t="str">
        <f t="shared" si="299"/>
        <v>CPAC North</v>
      </c>
      <c r="C803" s="18"/>
      <c r="D803" s="18"/>
      <c r="E803" s="18"/>
      <c r="F803" s="18"/>
      <c r="G803" s="18"/>
      <c r="H803" s="31"/>
      <c r="I803" s="3" t="s">
        <v>20</v>
      </c>
      <c r="J803" s="7">
        <v>36.799999999999997</v>
      </c>
      <c r="K803" s="9">
        <v>31.7</v>
      </c>
      <c r="L803" s="10">
        <v>25.5</v>
      </c>
      <c r="M803" s="10">
        <v>19.600000000000001</v>
      </c>
      <c r="N803" s="10">
        <v>21.1</v>
      </c>
      <c r="O803" s="10">
        <v>18.3</v>
      </c>
    </row>
    <row r="804" spans="1:15" ht="15" thickBot="1" x14ac:dyDescent="0.4">
      <c r="A804" t="str">
        <f t="shared" si="302"/>
        <v>FC293</v>
      </c>
      <c r="B804" t="str">
        <f t="shared" si="299"/>
        <v>CPAC North</v>
      </c>
      <c r="C804" s="18"/>
      <c r="D804" s="18"/>
      <c r="E804" s="18"/>
      <c r="F804" s="18"/>
      <c r="G804" s="18"/>
      <c r="H804" s="31"/>
      <c r="I804" s="5" t="s">
        <v>21</v>
      </c>
      <c r="J804" s="10">
        <v>0.87</v>
      </c>
      <c r="K804" s="10">
        <v>0.93</v>
      </c>
      <c r="L804" s="10">
        <v>1.32</v>
      </c>
      <c r="M804" s="10">
        <v>1.1599999999999999</v>
      </c>
      <c r="N804" s="10">
        <v>0.93</v>
      </c>
      <c r="O804" s="10">
        <v>1.08</v>
      </c>
    </row>
    <row r="805" spans="1:15" ht="15" thickBot="1" x14ac:dyDescent="0.4">
      <c r="A805" t="str">
        <f t="shared" si="303"/>
        <v>FC293</v>
      </c>
      <c r="B805" t="str">
        <f t="shared" si="299"/>
        <v>CPAC North</v>
      </c>
      <c r="C805" s="19"/>
      <c r="D805" s="19"/>
      <c r="E805" s="19"/>
      <c r="F805" s="19"/>
      <c r="G805" s="19"/>
      <c r="H805" s="32"/>
      <c r="I805" s="3" t="s">
        <v>22</v>
      </c>
      <c r="J805" s="10" t="s">
        <v>24</v>
      </c>
      <c r="K805" s="10" t="s">
        <v>24</v>
      </c>
      <c r="L805" s="10" t="s">
        <v>24</v>
      </c>
      <c r="M805" s="10" t="s">
        <v>24</v>
      </c>
      <c r="N805" s="10" t="s">
        <v>24</v>
      </c>
      <c r="O805" s="10" t="s">
        <v>24</v>
      </c>
    </row>
    <row r="806" spans="1:15" ht="15" thickBot="1" x14ac:dyDescent="0.4">
      <c r="B806" t="str">
        <f t="shared" si="299"/>
        <v>CPAC North</v>
      </c>
      <c r="C806" s="16"/>
      <c r="D806" s="16"/>
      <c r="E806" s="16"/>
      <c r="F806" s="16"/>
      <c r="G806" s="16" t="s">
        <v>206</v>
      </c>
      <c r="H806" s="30" t="s">
        <v>39</v>
      </c>
      <c r="I806" s="1"/>
      <c r="J806" s="1"/>
      <c r="K806" s="1"/>
      <c r="L806" s="1"/>
      <c r="M806" s="1"/>
      <c r="N806" s="1"/>
      <c r="O806" s="1"/>
    </row>
    <row r="807" spans="1:15" ht="15" thickBot="1" x14ac:dyDescent="0.4">
      <c r="A807" t="str">
        <f t="shared" si="298"/>
        <v>FC261</v>
      </c>
      <c r="B807" t="str">
        <f t="shared" si="299"/>
        <v>CPAC North</v>
      </c>
      <c r="C807" s="18"/>
      <c r="D807" s="18"/>
      <c r="E807" s="18"/>
      <c r="F807" s="18"/>
      <c r="G807" s="18"/>
      <c r="H807" s="31"/>
      <c r="I807" s="3" t="s">
        <v>18</v>
      </c>
      <c r="J807" s="4">
        <v>30</v>
      </c>
      <c r="K807" s="4">
        <v>33</v>
      </c>
      <c r="L807" s="4">
        <v>45</v>
      </c>
      <c r="M807" s="4">
        <v>30</v>
      </c>
      <c r="N807" s="4">
        <v>33</v>
      </c>
      <c r="O807" s="4">
        <v>38</v>
      </c>
    </row>
    <row r="808" spans="1:15" ht="15" thickBot="1" x14ac:dyDescent="0.4">
      <c r="A808" t="str">
        <f t="shared" si="300"/>
        <v>FC261</v>
      </c>
      <c r="B808" t="str">
        <f t="shared" si="299"/>
        <v>CPAC North</v>
      </c>
      <c r="C808" s="18"/>
      <c r="D808" s="18"/>
      <c r="E808" s="18"/>
      <c r="F808" s="18"/>
      <c r="G808" s="18"/>
      <c r="H808" s="31"/>
      <c r="I808" s="5" t="s">
        <v>19</v>
      </c>
      <c r="J808" s="6">
        <v>64</v>
      </c>
      <c r="K808" s="7">
        <v>81</v>
      </c>
      <c r="L808" s="7">
        <v>76</v>
      </c>
      <c r="M808" s="7">
        <v>86</v>
      </c>
      <c r="N808" s="7">
        <v>77</v>
      </c>
      <c r="O808" s="6">
        <v>65</v>
      </c>
    </row>
    <row r="809" spans="1:15" ht="15" thickBot="1" x14ac:dyDescent="0.4">
      <c r="A809" t="str">
        <f t="shared" si="301"/>
        <v>FC261</v>
      </c>
      <c r="B809" t="str">
        <f t="shared" si="299"/>
        <v>CPAC North</v>
      </c>
      <c r="C809" s="18"/>
      <c r="D809" s="18"/>
      <c r="E809" s="18"/>
      <c r="F809" s="18"/>
      <c r="G809" s="18"/>
      <c r="H809" s="31"/>
      <c r="I809" s="3" t="s">
        <v>20</v>
      </c>
      <c r="J809" s="10">
        <v>19.7</v>
      </c>
      <c r="K809" s="10">
        <v>25.3</v>
      </c>
      <c r="L809" s="9">
        <v>28.9</v>
      </c>
      <c r="M809" s="10">
        <v>24.3</v>
      </c>
      <c r="N809" s="10">
        <v>27</v>
      </c>
      <c r="O809" s="10">
        <v>23.4</v>
      </c>
    </row>
    <row r="810" spans="1:15" ht="15" thickBot="1" x14ac:dyDescent="0.4">
      <c r="A810" t="str">
        <f t="shared" si="302"/>
        <v>FC261</v>
      </c>
      <c r="B810" t="str">
        <f t="shared" si="299"/>
        <v>CPAC North</v>
      </c>
      <c r="C810" s="18"/>
      <c r="D810" s="18"/>
      <c r="E810" s="18"/>
      <c r="F810" s="18"/>
      <c r="G810" s="18"/>
      <c r="H810" s="31"/>
      <c r="I810" s="5" t="s">
        <v>21</v>
      </c>
      <c r="J810" s="10">
        <v>1.08</v>
      </c>
      <c r="K810" s="10">
        <v>1.06</v>
      </c>
      <c r="L810" s="10">
        <v>0.88</v>
      </c>
      <c r="M810" s="10">
        <v>1.19</v>
      </c>
      <c r="N810" s="10">
        <v>0.95</v>
      </c>
      <c r="O810" s="10">
        <v>0.92</v>
      </c>
    </row>
    <row r="811" spans="1:15" ht="15" thickBot="1" x14ac:dyDescent="0.4">
      <c r="A811" t="str">
        <f t="shared" si="303"/>
        <v>FC261</v>
      </c>
      <c r="B811" t="str">
        <f t="shared" si="299"/>
        <v>CPAC North</v>
      </c>
      <c r="C811" s="19"/>
      <c r="D811" s="19"/>
      <c r="E811" s="19"/>
      <c r="F811" s="19"/>
      <c r="G811" s="19"/>
      <c r="H811" s="32"/>
      <c r="I811" s="3" t="s">
        <v>22</v>
      </c>
      <c r="J811" s="10" t="s">
        <v>24</v>
      </c>
      <c r="K811" s="10" t="s">
        <v>24</v>
      </c>
      <c r="L811" s="10" t="s">
        <v>24</v>
      </c>
      <c r="M811" s="10" t="s">
        <v>24</v>
      </c>
      <c r="N811" s="10" t="s">
        <v>24</v>
      </c>
      <c r="O811" s="10" t="s">
        <v>24</v>
      </c>
    </row>
    <row r="812" spans="1:15" ht="15" thickBot="1" x14ac:dyDescent="0.4">
      <c r="B812" t="str">
        <f t="shared" si="299"/>
        <v>CPAC North</v>
      </c>
      <c r="C812" s="16"/>
      <c r="D812" s="16"/>
      <c r="E812" s="16"/>
      <c r="F812" s="16"/>
      <c r="G812" s="16" t="s">
        <v>207</v>
      </c>
      <c r="H812" s="24" t="s">
        <v>30</v>
      </c>
      <c r="I812" s="1"/>
      <c r="J812" s="1"/>
      <c r="K812" s="1"/>
      <c r="L812" s="1"/>
      <c r="M812" s="1"/>
      <c r="N812" s="1"/>
      <c r="O812" s="1"/>
    </row>
    <row r="813" spans="1:15" ht="15" thickBot="1" x14ac:dyDescent="0.4">
      <c r="A813" t="str">
        <f t="shared" si="298"/>
        <v>FC255</v>
      </c>
      <c r="B813" t="str">
        <f t="shared" si="299"/>
        <v>CPAC North</v>
      </c>
      <c r="C813" s="18"/>
      <c r="D813" s="18"/>
      <c r="E813" s="18"/>
      <c r="F813" s="18"/>
      <c r="G813" s="18"/>
      <c r="H813" s="25"/>
      <c r="I813" s="3" t="s">
        <v>18</v>
      </c>
      <c r="J813" s="11"/>
      <c r="K813" s="11"/>
      <c r="L813" s="11"/>
      <c r="M813" s="11"/>
      <c r="N813" s="11"/>
      <c r="O813" s="11"/>
    </row>
    <row r="814" spans="1:15" ht="15" thickBot="1" x14ac:dyDescent="0.4">
      <c r="A814" t="str">
        <f t="shared" si="300"/>
        <v>FC255</v>
      </c>
      <c r="B814" t="str">
        <f t="shared" si="299"/>
        <v>CPAC North</v>
      </c>
      <c r="C814" s="18"/>
      <c r="D814" s="18"/>
      <c r="E814" s="18"/>
      <c r="F814" s="18"/>
      <c r="G814" s="18"/>
      <c r="H814" s="25"/>
      <c r="I814" s="5" t="s">
        <v>19</v>
      </c>
      <c r="J814" s="11"/>
      <c r="K814" s="11"/>
      <c r="L814" s="11"/>
      <c r="M814" s="11"/>
      <c r="N814" s="11"/>
      <c r="O814" s="11"/>
    </row>
    <row r="815" spans="1:15" ht="15" thickBot="1" x14ac:dyDescent="0.4">
      <c r="A815" t="str">
        <f t="shared" si="301"/>
        <v>FC255</v>
      </c>
      <c r="B815" t="str">
        <f t="shared" si="299"/>
        <v>CPAC North</v>
      </c>
      <c r="C815" s="18"/>
      <c r="D815" s="18"/>
      <c r="E815" s="18"/>
      <c r="F815" s="18"/>
      <c r="G815" s="18"/>
      <c r="H815" s="25"/>
      <c r="I815" s="3" t="s">
        <v>20</v>
      </c>
      <c r="J815" s="11"/>
      <c r="K815" s="11"/>
      <c r="L815" s="11"/>
      <c r="M815" s="11"/>
      <c r="N815" s="11"/>
      <c r="O815" s="11"/>
    </row>
    <row r="816" spans="1:15" ht="15" thickBot="1" x14ac:dyDescent="0.4">
      <c r="A816" t="str">
        <f t="shared" si="302"/>
        <v>FC255</v>
      </c>
      <c r="B816" t="str">
        <f t="shared" si="299"/>
        <v>CPAC North</v>
      </c>
      <c r="C816" s="18"/>
      <c r="D816" s="18"/>
      <c r="E816" s="18"/>
      <c r="F816" s="18"/>
      <c r="G816" s="18"/>
      <c r="H816" s="25"/>
      <c r="I816" s="5" t="s">
        <v>21</v>
      </c>
      <c r="J816" s="11"/>
      <c r="K816" s="11"/>
      <c r="L816" s="11"/>
      <c r="M816" s="11"/>
      <c r="N816" s="11"/>
      <c r="O816" s="11"/>
    </row>
    <row r="817" spans="1:15" ht="15" thickBot="1" x14ac:dyDescent="0.4">
      <c r="A817" t="str">
        <f t="shared" si="303"/>
        <v>FC255</v>
      </c>
      <c r="B817" t="str">
        <f t="shared" si="299"/>
        <v>CPAC North</v>
      </c>
      <c r="C817" s="19"/>
      <c r="D817" s="19"/>
      <c r="E817" s="19"/>
      <c r="F817" s="19"/>
      <c r="G817" s="19"/>
      <c r="H817" s="26"/>
      <c r="I817" s="3" t="s">
        <v>22</v>
      </c>
      <c r="J817" s="11" t="s">
        <v>46</v>
      </c>
      <c r="K817" s="11" t="s">
        <v>46</v>
      </c>
      <c r="L817" s="11" t="s">
        <v>46</v>
      </c>
      <c r="M817" s="11" t="s">
        <v>46</v>
      </c>
      <c r="N817" s="11" t="s">
        <v>46</v>
      </c>
      <c r="O817" s="11" t="s">
        <v>46</v>
      </c>
    </row>
    <row r="818" spans="1:15" ht="15" thickBot="1" x14ac:dyDescent="0.4">
      <c r="B818" t="str">
        <f t="shared" si="299"/>
        <v>CPAC North</v>
      </c>
      <c r="C818" s="16"/>
      <c r="D818" s="16"/>
      <c r="E818" s="16"/>
      <c r="F818" s="16"/>
      <c r="G818" s="16" t="s">
        <v>208</v>
      </c>
      <c r="H818" s="27" t="s">
        <v>34</v>
      </c>
      <c r="I818" s="1"/>
      <c r="J818" s="1"/>
      <c r="K818" s="1"/>
      <c r="L818" s="1"/>
      <c r="M818" s="1"/>
      <c r="N818" s="1"/>
      <c r="O818" s="1"/>
    </row>
    <row r="819" spans="1:15" ht="15" thickBot="1" x14ac:dyDescent="0.4">
      <c r="A819" t="str">
        <f t="shared" si="298"/>
        <v>FC382</v>
      </c>
      <c r="B819" t="str">
        <f t="shared" si="299"/>
        <v>CPAC North</v>
      </c>
      <c r="C819" s="18"/>
      <c r="D819" s="18"/>
      <c r="E819" s="18"/>
      <c r="F819" s="18"/>
      <c r="G819" s="18"/>
      <c r="H819" s="28"/>
      <c r="I819" s="3" t="s">
        <v>18</v>
      </c>
      <c r="J819" s="4">
        <v>36</v>
      </c>
      <c r="K819" s="4">
        <v>31</v>
      </c>
      <c r="L819" s="4">
        <v>38</v>
      </c>
      <c r="M819" s="4">
        <v>38</v>
      </c>
      <c r="N819" s="4">
        <v>41</v>
      </c>
      <c r="O819" s="4">
        <v>43</v>
      </c>
    </row>
    <row r="820" spans="1:15" ht="15" thickBot="1" x14ac:dyDescent="0.4">
      <c r="A820" t="str">
        <f t="shared" si="300"/>
        <v>FC382</v>
      </c>
      <c r="B820" t="str">
        <f t="shared" si="299"/>
        <v>CPAC North</v>
      </c>
      <c r="C820" s="18"/>
      <c r="D820" s="18"/>
      <c r="E820" s="18"/>
      <c r="F820" s="18"/>
      <c r="G820" s="18"/>
      <c r="H820" s="28"/>
      <c r="I820" s="5" t="s">
        <v>19</v>
      </c>
      <c r="J820" s="6">
        <v>65</v>
      </c>
      <c r="K820" s="7">
        <v>75</v>
      </c>
      <c r="L820" s="6">
        <v>65</v>
      </c>
      <c r="M820" s="9">
        <v>94</v>
      </c>
      <c r="N820" s="7">
        <v>86</v>
      </c>
      <c r="O820" s="7">
        <v>86</v>
      </c>
    </row>
    <row r="821" spans="1:15" ht="15" thickBot="1" x14ac:dyDescent="0.4">
      <c r="A821" t="str">
        <f t="shared" si="301"/>
        <v>FC382</v>
      </c>
      <c r="B821" t="str">
        <f t="shared" si="299"/>
        <v>CPAC North</v>
      </c>
      <c r="C821" s="18"/>
      <c r="D821" s="18"/>
      <c r="E821" s="18"/>
      <c r="F821" s="18"/>
      <c r="G821" s="18"/>
      <c r="H821" s="28"/>
      <c r="I821" s="3" t="s">
        <v>20</v>
      </c>
      <c r="J821" s="10">
        <v>24.7</v>
      </c>
      <c r="K821" s="10">
        <v>20.399999999999999</v>
      </c>
      <c r="L821" s="10">
        <v>12.4</v>
      </c>
      <c r="M821" s="10">
        <v>27.2</v>
      </c>
      <c r="N821" s="7">
        <v>37.1</v>
      </c>
      <c r="O821" s="7">
        <v>41.7</v>
      </c>
    </row>
    <row r="822" spans="1:15" ht="15" thickBot="1" x14ac:dyDescent="0.4">
      <c r="A822" t="str">
        <f t="shared" si="302"/>
        <v>FC382</v>
      </c>
      <c r="B822" t="str">
        <f t="shared" si="299"/>
        <v>CPAC North</v>
      </c>
      <c r="C822" s="18"/>
      <c r="D822" s="18"/>
      <c r="E822" s="18"/>
      <c r="F822" s="18"/>
      <c r="G822" s="18"/>
      <c r="H822" s="28"/>
      <c r="I822" s="5" t="s">
        <v>21</v>
      </c>
      <c r="J822" s="10">
        <v>0.88</v>
      </c>
      <c r="K822" s="10">
        <v>1.22</v>
      </c>
      <c r="L822" s="10">
        <v>1.75</v>
      </c>
      <c r="M822" s="10">
        <v>1.1499999999999999</v>
      </c>
      <c r="N822" s="9">
        <v>0.77</v>
      </c>
      <c r="O822" s="9">
        <v>0.69</v>
      </c>
    </row>
    <row r="823" spans="1:15" ht="15" thickBot="1" x14ac:dyDescent="0.4">
      <c r="A823" t="str">
        <f t="shared" si="303"/>
        <v>FC382</v>
      </c>
      <c r="B823" t="str">
        <f t="shared" si="299"/>
        <v>CPAC North</v>
      </c>
      <c r="C823" s="19"/>
      <c r="D823" s="19"/>
      <c r="E823" s="19"/>
      <c r="F823" s="19"/>
      <c r="G823" s="19"/>
      <c r="H823" s="29"/>
      <c r="I823" s="3" t="s">
        <v>22</v>
      </c>
      <c r="J823" s="11"/>
      <c r="K823" s="11"/>
      <c r="L823" s="11"/>
      <c r="M823" s="11"/>
      <c r="N823" s="11"/>
      <c r="O823" s="11"/>
    </row>
    <row r="824" spans="1:15" ht="15" thickBot="1" x14ac:dyDescent="0.4">
      <c r="B824" t="str">
        <f t="shared" si="299"/>
        <v>CPAC North</v>
      </c>
      <c r="C824" s="16"/>
      <c r="D824" s="16"/>
      <c r="E824" s="16"/>
      <c r="F824" s="16" t="s">
        <v>209</v>
      </c>
      <c r="G824" s="16" t="s">
        <v>210</v>
      </c>
      <c r="H824" s="27" t="s">
        <v>34</v>
      </c>
      <c r="I824" s="1"/>
      <c r="J824" s="1"/>
      <c r="K824" s="1"/>
      <c r="L824" s="1"/>
      <c r="M824" s="1"/>
      <c r="N824" s="1"/>
      <c r="O824" s="1"/>
    </row>
    <row r="825" spans="1:15" ht="15" thickBot="1" x14ac:dyDescent="0.4">
      <c r="A825" t="str">
        <f t="shared" si="298"/>
        <v>FC118</v>
      </c>
      <c r="B825" t="str">
        <f t="shared" si="299"/>
        <v>CPAC North</v>
      </c>
      <c r="C825" s="18"/>
      <c r="D825" s="18"/>
      <c r="E825" s="18"/>
      <c r="F825" s="18"/>
      <c r="G825" s="18"/>
      <c r="H825" s="28"/>
      <c r="I825" s="3" t="s">
        <v>18</v>
      </c>
      <c r="J825" s="8">
        <v>23</v>
      </c>
      <c r="K825" s="4">
        <v>30</v>
      </c>
      <c r="L825" s="4">
        <v>30</v>
      </c>
      <c r="M825" s="4">
        <v>30</v>
      </c>
      <c r="N825" s="4">
        <v>30</v>
      </c>
      <c r="O825" s="4">
        <v>30</v>
      </c>
    </row>
    <row r="826" spans="1:15" ht="15" thickBot="1" x14ac:dyDescent="0.4">
      <c r="A826" t="str">
        <f t="shared" si="300"/>
        <v>FC118</v>
      </c>
      <c r="B826" t="str">
        <f t="shared" si="299"/>
        <v>CPAC North</v>
      </c>
      <c r="C826" s="18"/>
      <c r="D826" s="18"/>
      <c r="E826" s="18"/>
      <c r="F826" s="18"/>
      <c r="G826" s="18"/>
      <c r="H826" s="28"/>
      <c r="I826" s="5" t="s">
        <v>19</v>
      </c>
      <c r="J826" s="6">
        <v>56</v>
      </c>
      <c r="K826" s="6">
        <v>50</v>
      </c>
      <c r="L826" s="6">
        <v>50</v>
      </c>
      <c r="M826" s="6">
        <v>51</v>
      </c>
      <c r="N826" s="6">
        <v>64</v>
      </c>
      <c r="O826" s="6">
        <v>63</v>
      </c>
    </row>
    <row r="827" spans="1:15" ht="15" thickBot="1" x14ac:dyDescent="0.4">
      <c r="A827" t="str">
        <f t="shared" si="301"/>
        <v>FC118</v>
      </c>
      <c r="B827" t="str">
        <f t="shared" si="299"/>
        <v>CPAC North</v>
      </c>
      <c r="C827" s="18"/>
      <c r="D827" s="18"/>
      <c r="E827" s="18"/>
      <c r="F827" s="18"/>
      <c r="G827" s="18"/>
      <c r="H827" s="28"/>
      <c r="I827" s="3" t="s">
        <v>20</v>
      </c>
      <c r="J827" s="10">
        <v>7.3</v>
      </c>
      <c r="K827" s="10">
        <v>2.2999999999999998</v>
      </c>
      <c r="L827" s="10">
        <v>15.5</v>
      </c>
      <c r="M827" s="10">
        <v>7.9</v>
      </c>
      <c r="N827" s="10">
        <v>10.9</v>
      </c>
      <c r="O827" s="10">
        <v>15.3</v>
      </c>
    </row>
    <row r="828" spans="1:15" ht="15" thickBot="1" x14ac:dyDescent="0.4">
      <c r="A828" t="str">
        <f t="shared" si="302"/>
        <v>FC118</v>
      </c>
      <c r="B828" t="str">
        <f t="shared" si="299"/>
        <v>CPAC North</v>
      </c>
      <c r="C828" s="18"/>
      <c r="D828" s="18"/>
      <c r="E828" s="18"/>
      <c r="F828" s="18"/>
      <c r="G828" s="18"/>
      <c r="H828" s="28"/>
      <c r="I828" s="5" t="s">
        <v>21</v>
      </c>
      <c r="J828" s="10">
        <v>2.5499999999999998</v>
      </c>
      <c r="K828" s="10">
        <v>7.43</v>
      </c>
      <c r="L828" s="10">
        <v>1.06</v>
      </c>
      <c r="M828" s="10">
        <v>2.14</v>
      </c>
      <c r="N828" s="10">
        <v>1.96</v>
      </c>
      <c r="O828" s="10">
        <v>1.37</v>
      </c>
    </row>
    <row r="829" spans="1:15" ht="15" thickBot="1" x14ac:dyDescent="0.4">
      <c r="A829" t="str">
        <f t="shared" si="303"/>
        <v>FC118</v>
      </c>
      <c r="B829" t="str">
        <f t="shared" si="299"/>
        <v>CPAC North</v>
      </c>
      <c r="C829" s="19"/>
      <c r="D829" s="19"/>
      <c r="E829" s="19"/>
      <c r="F829" s="19"/>
      <c r="G829" s="19"/>
      <c r="H829" s="29"/>
      <c r="I829" s="3" t="s">
        <v>22</v>
      </c>
      <c r="J829" s="10" t="s">
        <v>24</v>
      </c>
      <c r="K829" s="11"/>
      <c r="L829" s="11"/>
      <c r="M829" s="11"/>
      <c r="N829" s="11"/>
      <c r="O829" s="11"/>
    </row>
    <row r="830" spans="1:15" ht="15" thickBot="1" x14ac:dyDescent="0.4">
      <c r="B830" t="str">
        <f t="shared" si="299"/>
        <v>CPAC North</v>
      </c>
      <c r="C830" s="16"/>
      <c r="D830" s="16"/>
      <c r="E830" s="16"/>
      <c r="F830" s="16"/>
      <c r="G830" s="16" t="s">
        <v>211</v>
      </c>
      <c r="H830" s="30" t="s">
        <v>39</v>
      </c>
      <c r="I830" s="1"/>
      <c r="J830" s="1"/>
      <c r="K830" s="1"/>
      <c r="L830" s="1"/>
      <c r="M830" s="1"/>
      <c r="N830" s="1"/>
      <c r="O830" s="1"/>
    </row>
    <row r="831" spans="1:15" ht="15" thickBot="1" x14ac:dyDescent="0.4">
      <c r="A831" t="str">
        <f t="shared" si="298"/>
        <v>FC178</v>
      </c>
      <c r="B831" t="str">
        <f t="shared" si="299"/>
        <v>CPAC North</v>
      </c>
      <c r="C831" s="18"/>
      <c r="D831" s="18"/>
      <c r="E831" s="18"/>
      <c r="F831" s="18"/>
      <c r="G831" s="18"/>
      <c r="H831" s="31"/>
      <c r="I831" s="3" t="s">
        <v>18</v>
      </c>
      <c r="J831" s="4">
        <v>30</v>
      </c>
      <c r="K831" s="8">
        <v>24</v>
      </c>
      <c r="L831" s="11"/>
      <c r="M831" s="8">
        <v>25</v>
      </c>
      <c r="N831" s="4">
        <v>30</v>
      </c>
      <c r="O831" s="8">
        <v>19</v>
      </c>
    </row>
    <row r="832" spans="1:15" ht="15" thickBot="1" x14ac:dyDescent="0.4">
      <c r="A832" t="str">
        <f t="shared" si="300"/>
        <v>FC178</v>
      </c>
      <c r="B832" t="str">
        <f t="shared" si="299"/>
        <v>CPAC North</v>
      </c>
      <c r="C832" s="18"/>
      <c r="D832" s="18"/>
      <c r="E832" s="18"/>
      <c r="F832" s="18"/>
      <c r="G832" s="18"/>
      <c r="H832" s="31"/>
      <c r="I832" s="5" t="s">
        <v>19</v>
      </c>
      <c r="J832" s="9">
        <v>112</v>
      </c>
      <c r="K832" s="9">
        <v>101</v>
      </c>
      <c r="L832" s="11"/>
      <c r="M832" s="7">
        <v>77</v>
      </c>
      <c r="N832" s="9">
        <v>113</v>
      </c>
      <c r="O832" s="7">
        <v>72</v>
      </c>
    </row>
    <row r="833" spans="1:15" ht="15" thickBot="1" x14ac:dyDescent="0.4">
      <c r="A833" t="str">
        <f t="shared" si="301"/>
        <v>FC178</v>
      </c>
      <c r="B833" t="str">
        <f t="shared" si="299"/>
        <v>CPAC North</v>
      </c>
      <c r="C833" s="18"/>
      <c r="D833" s="18"/>
      <c r="E833" s="18"/>
      <c r="F833" s="18"/>
      <c r="G833" s="18"/>
      <c r="H833" s="31"/>
      <c r="I833" s="3" t="s">
        <v>20</v>
      </c>
      <c r="J833" s="6">
        <v>46.3</v>
      </c>
      <c r="K833" s="10">
        <v>19.600000000000001</v>
      </c>
      <c r="L833" s="11"/>
      <c r="M833" s="10">
        <v>22.1</v>
      </c>
      <c r="N833" s="10">
        <v>18.7</v>
      </c>
      <c r="O833" s="10">
        <v>10.8</v>
      </c>
    </row>
    <row r="834" spans="1:15" ht="15" thickBot="1" x14ac:dyDescent="0.4">
      <c r="A834" t="str">
        <f t="shared" si="302"/>
        <v>FC178</v>
      </c>
      <c r="B834" t="str">
        <f t="shared" si="299"/>
        <v>CPAC North</v>
      </c>
      <c r="C834" s="18"/>
      <c r="D834" s="18"/>
      <c r="E834" s="18"/>
      <c r="F834" s="18"/>
      <c r="G834" s="18"/>
      <c r="H834" s="31"/>
      <c r="I834" s="5" t="s">
        <v>21</v>
      </c>
      <c r="J834" s="10">
        <v>0.81</v>
      </c>
      <c r="K834" s="10">
        <v>1.71</v>
      </c>
      <c r="L834" s="11"/>
      <c r="M834" s="10">
        <v>1.1599999999999999</v>
      </c>
      <c r="N834" s="10">
        <v>2.0099999999999998</v>
      </c>
      <c r="O834" s="10">
        <v>2.23</v>
      </c>
    </row>
    <row r="835" spans="1:15" ht="15" thickBot="1" x14ac:dyDescent="0.4">
      <c r="A835" t="str">
        <f t="shared" si="303"/>
        <v>FC178</v>
      </c>
      <c r="B835" t="str">
        <f t="shared" si="299"/>
        <v>CPAC North</v>
      </c>
      <c r="C835" s="19"/>
      <c r="D835" s="19"/>
      <c r="E835" s="19"/>
      <c r="F835" s="19"/>
      <c r="G835" s="19"/>
      <c r="H835" s="32"/>
      <c r="I835" s="3" t="s">
        <v>22</v>
      </c>
      <c r="J835" s="10" t="s">
        <v>24</v>
      </c>
      <c r="K835" s="10" t="s">
        <v>24</v>
      </c>
      <c r="L835" s="11" t="s">
        <v>45</v>
      </c>
      <c r="M835" s="10" t="s">
        <v>24</v>
      </c>
      <c r="N835" s="10" t="s">
        <v>24</v>
      </c>
      <c r="O835" s="10" t="s">
        <v>24</v>
      </c>
    </row>
    <row r="836" spans="1:15" ht="15" thickBot="1" x14ac:dyDescent="0.4">
      <c r="B836" t="str">
        <f t="shared" si="299"/>
        <v>CPAC North</v>
      </c>
      <c r="C836" s="16"/>
      <c r="D836" s="16"/>
      <c r="E836" s="16"/>
      <c r="F836" s="16" t="s">
        <v>212</v>
      </c>
      <c r="G836" s="16" t="s">
        <v>213</v>
      </c>
      <c r="H836" s="24" t="s">
        <v>30</v>
      </c>
      <c r="I836" s="1"/>
      <c r="J836" s="1"/>
      <c r="K836" s="1"/>
      <c r="L836" s="1"/>
      <c r="M836" s="1"/>
      <c r="N836" s="1"/>
      <c r="O836" s="1"/>
    </row>
    <row r="837" spans="1:15" ht="15" thickBot="1" x14ac:dyDescent="0.4">
      <c r="A837" t="str">
        <f t="shared" ref="A837:A900" si="304">IF(LEFT(G836,2)="FC",LEFT(G836,5),LEFT(G836,4))</f>
        <v>19FL</v>
      </c>
      <c r="B837" t="str">
        <f t="shared" si="299"/>
        <v>CPAC North</v>
      </c>
      <c r="C837" s="18"/>
      <c r="D837" s="18"/>
      <c r="E837" s="18"/>
      <c r="F837" s="18"/>
      <c r="G837" s="18"/>
      <c r="H837" s="25"/>
      <c r="I837" s="3" t="s">
        <v>18</v>
      </c>
      <c r="J837" s="11"/>
      <c r="K837" s="11"/>
      <c r="L837" s="11"/>
      <c r="M837" s="11"/>
      <c r="N837" s="11"/>
      <c r="O837" s="11"/>
    </row>
    <row r="838" spans="1:15" ht="15" thickBot="1" x14ac:dyDescent="0.4">
      <c r="A838" t="str">
        <f t="shared" si="300"/>
        <v>19FL</v>
      </c>
      <c r="B838" t="str">
        <f t="shared" si="299"/>
        <v>CPAC North</v>
      </c>
      <c r="C838" s="18"/>
      <c r="D838" s="18"/>
      <c r="E838" s="18"/>
      <c r="F838" s="18"/>
      <c r="G838" s="18"/>
      <c r="H838" s="25"/>
      <c r="I838" s="5" t="s">
        <v>19</v>
      </c>
      <c r="J838" s="11"/>
      <c r="K838" s="11"/>
      <c r="L838" s="11"/>
      <c r="M838" s="11"/>
      <c r="N838" s="11"/>
      <c r="O838" s="11"/>
    </row>
    <row r="839" spans="1:15" ht="15" thickBot="1" x14ac:dyDescent="0.4">
      <c r="A839" t="str">
        <f t="shared" si="301"/>
        <v>19FL</v>
      </c>
      <c r="B839" t="str">
        <f t="shared" ref="B839:B902" si="305">$D$518</f>
        <v>CPAC North</v>
      </c>
      <c r="C839" s="18"/>
      <c r="D839" s="18"/>
      <c r="E839" s="18"/>
      <c r="F839" s="18"/>
      <c r="G839" s="18"/>
      <c r="H839" s="25"/>
      <c r="I839" s="3" t="s">
        <v>20</v>
      </c>
      <c r="J839" s="11"/>
      <c r="K839" s="11"/>
      <c r="L839" s="11"/>
      <c r="M839" s="11"/>
      <c r="N839" s="11"/>
      <c r="O839" s="11"/>
    </row>
    <row r="840" spans="1:15" ht="15" thickBot="1" x14ac:dyDescent="0.4">
      <c r="A840" t="str">
        <f t="shared" si="302"/>
        <v>19FL</v>
      </c>
      <c r="B840" t="str">
        <f t="shared" si="305"/>
        <v>CPAC North</v>
      </c>
      <c r="C840" s="18"/>
      <c r="D840" s="18"/>
      <c r="E840" s="18"/>
      <c r="F840" s="18"/>
      <c r="G840" s="18"/>
      <c r="H840" s="25"/>
      <c r="I840" s="5" t="s">
        <v>21</v>
      </c>
      <c r="J840" s="11"/>
      <c r="K840" s="11"/>
      <c r="L840" s="11"/>
      <c r="M840" s="11"/>
      <c r="N840" s="11"/>
      <c r="O840" s="11"/>
    </row>
    <row r="841" spans="1:15" ht="15" thickBot="1" x14ac:dyDescent="0.4">
      <c r="A841" t="str">
        <f t="shared" si="303"/>
        <v>19FL</v>
      </c>
      <c r="B841" t="str">
        <f t="shared" si="305"/>
        <v>CPAC North</v>
      </c>
      <c r="C841" s="19"/>
      <c r="D841" s="19"/>
      <c r="E841" s="19"/>
      <c r="F841" s="19"/>
      <c r="G841" s="19"/>
      <c r="H841" s="26"/>
      <c r="I841" s="3" t="s">
        <v>22</v>
      </c>
      <c r="J841" s="11" t="s">
        <v>46</v>
      </c>
      <c r="K841" s="11" t="s">
        <v>46</v>
      </c>
      <c r="L841" s="11" t="s">
        <v>46</v>
      </c>
      <c r="M841" s="11" t="s">
        <v>46</v>
      </c>
      <c r="N841" s="11" t="s">
        <v>46</v>
      </c>
      <c r="O841" s="11" t="s">
        <v>46</v>
      </c>
    </row>
    <row r="842" spans="1:15" ht="15" thickBot="1" x14ac:dyDescent="0.4">
      <c r="B842" t="str">
        <f t="shared" si="305"/>
        <v>CPAC North</v>
      </c>
      <c r="C842" s="16"/>
      <c r="D842" s="16"/>
      <c r="E842" s="16"/>
      <c r="F842" s="16"/>
      <c r="G842" s="16" t="s">
        <v>214</v>
      </c>
      <c r="H842" s="27" t="s">
        <v>34</v>
      </c>
      <c r="I842" s="1"/>
      <c r="J842" s="1"/>
      <c r="K842" s="1"/>
      <c r="L842" s="1"/>
      <c r="M842" s="1"/>
      <c r="N842" s="1"/>
      <c r="O842" s="1"/>
    </row>
    <row r="843" spans="1:15" ht="15" thickBot="1" x14ac:dyDescent="0.4">
      <c r="A843" t="str">
        <f t="shared" si="304"/>
        <v>FC207</v>
      </c>
      <c r="B843" t="str">
        <f t="shared" si="305"/>
        <v>CPAC North</v>
      </c>
      <c r="C843" s="18"/>
      <c r="D843" s="18"/>
      <c r="E843" s="18"/>
      <c r="F843" s="18"/>
      <c r="G843" s="18"/>
      <c r="H843" s="28"/>
      <c r="I843" s="3" t="s">
        <v>18</v>
      </c>
      <c r="J843" s="4">
        <v>30</v>
      </c>
      <c r="K843" s="4">
        <v>30</v>
      </c>
      <c r="L843" s="4">
        <v>36</v>
      </c>
      <c r="M843" s="4">
        <v>51</v>
      </c>
      <c r="N843" s="4">
        <v>39</v>
      </c>
      <c r="O843" s="4">
        <v>42</v>
      </c>
    </row>
    <row r="844" spans="1:15" ht="15" thickBot="1" x14ac:dyDescent="0.4">
      <c r="A844" t="str">
        <f t="shared" ref="A844:A904" si="306">IF(LEFT(G842,2)="FC",LEFT(G842,5),LEFT(G842,4))</f>
        <v>FC207</v>
      </c>
      <c r="B844" t="str">
        <f t="shared" si="305"/>
        <v>CPAC North</v>
      </c>
      <c r="C844" s="18"/>
      <c r="D844" s="18"/>
      <c r="E844" s="18"/>
      <c r="F844" s="18"/>
      <c r="G844" s="18"/>
      <c r="H844" s="28"/>
      <c r="I844" s="5" t="s">
        <v>19</v>
      </c>
      <c r="J844" s="8">
        <v>32</v>
      </c>
      <c r="K844" s="8">
        <v>37</v>
      </c>
      <c r="L844" s="6">
        <v>62</v>
      </c>
      <c r="M844" s="7">
        <v>77</v>
      </c>
      <c r="N844" s="6">
        <v>68</v>
      </c>
      <c r="O844" s="8">
        <v>49</v>
      </c>
    </row>
    <row r="845" spans="1:15" ht="15" thickBot="1" x14ac:dyDescent="0.4">
      <c r="A845" t="str">
        <f t="shared" ref="A845:A905" si="307">IF(LEFT(G842,2)="FC",LEFT(G842,5),LEFT(G842,4))</f>
        <v>FC207</v>
      </c>
      <c r="B845" t="str">
        <f t="shared" si="305"/>
        <v>CPAC North</v>
      </c>
      <c r="C845" s="18"/>
      <c r="D845" s="18"/>
      <c r="E845" s="18"/>
      <c r="F845" s="18"/>
      <c r="G845" s="18"/>
      <c r="H845" s="28"/>
      <c r="I845" s="3" t="s">
        <v>20</v>
      </c>
      <c r="J845" s="10">
        <v>15.2</v>
      </c>
      <c r="K845" s="10">
        <v>13.5</v>
      </c>
      <c r="L845" s="10">
        <v>27</v>
      </c>
      <c r="M845" s="10">
        <v>18</v>
      </c>
      <c r="N845" s="10">
        <v>20.100000000000001</v>
      </c>
      <c r="O845" s="10">
        <v>17.399999999999999</v>
      </c>
    </row>
    <row r="846" spans="1:15" ht="15" thickBot="1" x14ac:dyDescent="0.4">
      <c r="A846" t="str">
        <f t="shared" ref="A846:A906" si="308">IF(LEFT(G842,2)="FC",LEFT(G842,5),LEFT(G842,4))</f>
        <v>FC207</v>
      </c>
      <c r="B846" t="str">
        <f t="shared" si="305"/>
        <v>CPAC North</v>
      </c>
      <c r="C846" s="18"/>
      <c r="D846" s="18"/>
      <c r="E846" s="18"/>
      <c r="F846" s="18"/>
      <c r="G846" s="18"/>
      <c r="H846" s="28"/>
      <c r="I846" s="5" t="s">
        <v>21</v>
      </c>
      <c r="J846" s="9">
        <v>0.71</v>
      </c>
      <c r="K846" s="10">
        <v>0.91</v>
      </c>
      <c r="L846" s="9">
        <v>0.76</v>
      </c>
      <c r="M846" s="10">
        <v>1.42</v>
      </c>
      <c r="N846" s="10">
        <v>1.1200000000000001</v>
      </c>
      <c r="O846" s="10">
        <v>0.95</v>
      </c>
    </row>
    <row r="847" spans="1:15" ht="15" thickBot="1" x14ac:dyDescent="0.4">
      <c r="A847" t="str">
        <f t="shared" ref="A847:A907" si="309">IF(LEFT(G842,2)="FC",LEFT(G842,5),LEFT(G842,4))</f>
        <v>FC207</v>
      </c>
      <c r="B847" t="str">
        <f t="shared" si="305"/>
        <v>CPAC North</v>
      </c>
      <c r="C847" s="19"/>
      <c r="D847" s="19"/>
      <c r="E847" s="19"/>
      <c r="F847" s="19"/>
      <c r="G847" s="19"/>
      <c r="H847" s="29"/>
      <c r="I847" s="3" t="s">
        <v>22</v>
      </c>
      <c r="J847" s="9" t="s">
        <v>25</v>
      </c>
      <c r="K847" s="11"/>
      <c r="L847" s="9" t="s">
        <v>25</v>
      </c>
      <c r="M847" s="10" t="s">
        <v>24</v>
      </c>
      <c r="N847" s="10" t="s">
        <v>24</v>
      </c>
      <c r="O847" s="9" t="s">
        <v>25</v>
      </c>
    </row>
    <row r="848" spans="1:15" ht="15" thickBot="1" x14ac:dyDescent="0.4">
      <c r="B848" t="str">
        <f t="shared" si="305"/>
        <v>CPAC North</v>
      </c>
      <c r="C848" s="16"/>
      <c r="D848" s="16"/>
      <c r="E848" s="16"/>
      <c r="F848" s="16"/>
      <c r="G848" s="16" t="s">
        <v>215</v>
      </c>
      <c r="H848" s="24" t="s">
        <v>30</v>
      </c>
      <c r="I848" s="1"/>
      <c r="J848" s="1"/>
      <c r="K848" s="1"/>
      <c r="L848" s="1"/>
      <c r="M848" s="1"/>
      <c r="N848" s="1"/>
      <c r="O848" s="1"/>
    </row>
    <row r="849" spans="1:15" ht="15" thickBot="1" x14ac:dyDescent="0.4">
      <c r="A849" t="str">
        <f t="shared" si="304"/>
        <v>FC347</v>
      </c>
      <c r="B849" t="str">
        <f t="shared" si="305"/>
        <v>CPAC North</v>
      </c>
      <c r="C849" s="18"/>
      <c r="D849" s="18"/>
      <c r="E849" s="18"/>
      <c r="F849" s="18"/>
      <c r="G849" s="18"/>
      <c r="H849" s="25"/>
      <c r="I849" s="3" t="s">
        <v>18</v>
      </c>
      <c r="J849" s="11"/>
      <c r="K849" s="11"/>
      <c r="L849" s="11"/>
      <c r="M849" s="11"/>
      <c r="N849" s="11"/>
      <c r="O849" s="11"/>
    </row>
    <row r="850" spans="1:15" ht="15" thickBot="1" x14ac:dyDescent="0.4">
      <c r="A850" t="str">
        <f t="shared" si="306"/>
        <v>FC347</v>
      </c>
      <c r="B850" t="str">
        <f t="shared" si="305"/>
        <v>CPAC North</v>
      </c>
      <c r="C850" s="18"/>
      <c r="D850" s="18"/>
      <c r="E850" s="18"/>
      <c r="F850" s="18"/>
      <c r="G850" s="18"/>
      <c r="H850" s="25"/>
      <c r="I850" s="5" t="s">
        <v>19</v>
      </c>
      <c r="J850" s="11"/>
      <c r="K850" s="11"/>
      <c r="L850" s="11"/>
      <c r="M850" s="11"/>
      <c r="N850" s="11"/>
      <c r="O850" s="11"/>
    </row>
    <row r="851" spans="1:15" ht="15" thickBot="1" x14ac:dyDescent="0.4">
      <c r="A851" t="str">
        <f t="shared" si="307"/>
        <v>FC347</v>
      </c>
      <c r="B851" t="str">
        <f t="shared" si="305"/>
        <v>CPAC North</v>
      </c>
      <c r="C851" s="18"/>
      <c r="D851" s="18"/>
      <c r="E851" s="18"/>
      <c r="F851" s="18"/>
      <c r="G851" s="18"/>
      <c r="H851" s="25"/>
      <c r="I851" s="3" t="s">
        <v>20</v>
      </c>
      <c r="J851" s="11"/>
      <c r="K851" s="11"/>
      <c r="L851" s="11"/>
      <c r="M851" s="11"/>
      <c r="N851" s="11"/>
      <c r="O851" s="11"/>
    </row>
    <row r="852" spans="1:15" ht="15" thickBot="1" x14ac:dyDescent="0.4">
      <c r="A852" t="str">
        <f t="shared" si="308"/>
        <v>FC347</v>
      </c>
      <c r="B852" t="str">
        <f t="shared" si="305"/>
        <v>CPAC North</v>
      </c>
      <c r="C852" s="18"/>
      <c r="D852" s="18"/>
      <c r="E852" s="18"/>
      <c r="F852" s="18"/>
      <c r="G852" s="18"/>
      <c r="H852" s="25"/>
      <c r="I852" s="5" t="s">
        <v>21</v>
      </c>
      <c r="J852" s="11"/>
      <c r="K852" s="11"/>
      <c r="L852" s="11"/>
      <c r="M852" s="11"/>
      <c r="N852" s="11"/>
      <c r="O852" s="11"/>
    </row>
    <row r="853" spans="1:15" ht="15" thickBot="1" x14ac:dyDescent="0.4">
      <c r="A853" t="str">
        <f t="shared" si="309"/>
        <v>FC347</v>
      </c>
      <c r="B853" t="str">
        <f t="shared" si="305"/>
        <v>CPAC North</v>
      </c>
      <c r="C853" s="19"/>
      <c r="D853" s="19"/>
      <c r="E853" s="19"/>
      <c r="F853" s="19"/>
      <c r="G853" s="19"/>
      <c r="H853" s="26"/>
      <c r="I853" s="3" t="s">
        <v>22</v>
      </c>
      <c r="J853" s="11" t="s">
        <v>31</v>
      </c>
      <c r="K853" s="11" t="s">
        <v>31</v>
      </c>
      <c r="L853" s="11" t="s">
        <v>31</v>
      </c>
      <c r="M853" s="11" t="s">
        <v>31</v>
      </c>
      <c r="N853" s="11" t="s">
        <v>31</v>
      </c>
      <c r="O853" s="11" t="s">
        <v>31</v>
      </c>
    </row>
    <row r="854" spans="1:15" ht="15" thickBot="1" x14ac:dyDescent="0.4">
      <c r="B854" t="str">
        <f t="shared" si="305"/>
        <v>CPAC North</v>
      </c>
      <c r="C854" s="16"/>
      <c r="D854" s="16"/>
      <c r="E854" s="16"/>
      <c r="F854" s="16"/>
      <c r="G854" s="16" t="s">
        <v>216</v>
      </c>
      <c r="H854" s="27" t="s">
        <v>34</v>
      </c>
      <c r="I854" s="1"/>
      <c r="J854" s="1"/>
      <c r="K854" s="1"/>
      <c r="L854" s="1"/>
      <c r="M854" s="1"/>
      <c r="N854" s="1"/>
      <c r="O854" s="1"/>
    </row>
    <row r="855" spans="1:15" ht="15" thickBot="1" x14ac:dyDescent="0.4">
      <c r="A855" t="str">
        <f t="shared" si="304"/>
        <v>FC240</v>
      </c>
      <c r="B855" t="str">
        <f t="shared" si="305"/>
        <v>CPAC North</v>
      </c>
      <c r="C855" s="18"/>
      <c r="D855" s="18"/>
      <c r="E855" s="18"/>
      <c r="F855" s="18"/>
      <c r="G855" s="18"/>
      <c r="H855" s="28"/>
      <c r="I855" s="3" t="s">
        <v>18</v>
      </c>
      <c r="J855" s="8">
        <v>19</v>
      </c>
      <c r="K855" s="4">
        <v>30</v>
      </c>
      <c r="L855" s="8">
        <v>18</v>
      </c>
      <c r="M855" s="4">
        <v>30</v>
      </c>
      <c r="N855" s="8">
        <v>27</v>
      </c>
      <c r="O855" s="8">
        <v>27</v>
      </c>
    </row>
    <row r="856" spans="1:15" ht="15" thickBot="1" x14ac:dyDescent="0.4">
      <c r="A856" t="str">
        <f t="shared" si="306"/>
        <v>FC240</v>
      </c>
      <c r="B856" t="str">
        <f t="shared" si="305"/>
        <v>CPAC North</v>
      </c>
      <c r="C856" s="18"/>
      <c r="D856" s="18"/>
      <c r="E856" s="18"/>
      <c r="F856" s="18"/>
      <c r="G856" s="18"/>
      <c r="H856" s="28"/>
      <c r="I856" s="5" t="s">
        <v>19</v>
      </c>
      <c r="J856" s="8">
        <v>45</v>
      </c>
      <c r="K856" s="9">
        <v>100</v>
      </c>
      <c r="L856" s="6">
        <v>68</v>
      </c>
      <c r="M856" s="7">
        <v>87</v>
      </c>
      <c r="N856" s="6">
        <v>53</v>
      </c>
      <c r="O856" s="6">
        <v>53</v>
      </c>
    </row>
    <row r="857" spans="1:15" ht="15" thickBot="1" x14ac:dyDescent="0.4">
      <c r="A857" t="str">
        <f t="shared" si="307"/>
        <v>FC240</v>
      </c>
      <c r="B857" t="str">
        <f t="shared" si="305"/>
        <v>CPAC North</v>
      </c>
      <c r="C857" s="18"/>
      <c r="D857" s="18"/>
      <c r="E857" s="18"/>
      <c r="F857" s="18"/>
      <c r="G857" s="18"/>
      <c r="H857" s="28"/>
      <c r="I857" s="3" t="s">
        <v>20</v>
      </c>
      <c r="J857" s="10">
        <v>5.0999999999999996</v>
      </c>
      <c r="K857" s="10">
        <v>11.5</v>
      </c>
      <c r="L857" s="10">
        <v>26</v>
      </c>
      <c r="M857" s="10">
        <v>24</v>
      </c>
      <c r="N857" s="10">
        <v>20.6</v>
      </c>
      <c r="O857" s="10">
        <v>18.600000000000001</v>
      </c>
    </row>
    <row r="858" spans="1:15" ht="15" thickBot="1" x14ac:dyDescent="0.4">
      <c r="A858" t="str">
        <f t="shared" si="308"/>
        <v>FC240</v>
      </c>
      <c r="B858" t="str">
        <f t="shared" si="305"/>
        <v>CPAC North</v>
      </c>
      <c r="C858" s="18"/>
      <c r="D858" s="18"/>
      <c r="E858" s="18"/>
      <c r="F858" s="18"/>
      <c r="G858" s="18"/>
      <c r="H858" s="28"/>
      <c r="I858" s="5" t="s">
        <v>21</v>
      </c>
      <c r="J858" s="10">
        <v>2.94</v>
      </c>
      <c r="K858" s="10">
        <v>2.91</v>
      </c>
      <c r="L858" s="10">
        <v>0.88</v>
      </c>
      <c r="M858" s="10">
        <v>1.21</v>
      </c>
      <c r="N858" s="10">
        <v>0.87</v>
      </c>
      <c r="O858" s="10">
        <v>0.96</v>
      </c>
    </row>
    <row r="859" spans="1:15" ht="15" thickBot="1" x14ac:dyDescent="0.4">
      <c r="A859" t="str">
        <f t="shared" si="309"/>
        <v>FC240</v>
      </c>
      <c r="B859" t="str">
        <f t="shared" si="305"/>
        <v>CPAC North</v>
      </c>
      <c r="C859" s="19"/>
      <c r="D859" s="19"/>
      <c r="E859" s="19"/>
      <c r="F859" s="19"/>
      <c r="G859" s="19"/>
      <c r="H859" s="29"/>
      <c r="I859" s="3" t="s">
        <v>22</v>
      </c>
      <c r="J859" s="10" t="s">
        <v>24</v>
      </c>
      <c r="K859" s="10" t="s">
        <v>24</v>
      </c>
      <c r="L859" s="10" t="s">
        <v>24</v>
      </c>
      <c r="M859" s="11"/>
      <c r="N859" s="9" t="s">
        <v>25</v>
      </c>
      <c r="O859" s="10" t="s">
        <v>24</v>
      </c>
    </row>
    <row r="860" spans="1:15" ht="15" thickBot="1" x14ac:dyDescent="0.4">
      <c r="B860" t="str">
        <f t="shared" si="305"/>
        <v>CPAC North</v>
      </c>
      <c r="C860" s="16"/>
      <c r="D860" s="16"/>
      <c r="E860" s="16"/>
      <c r="F860" s="16"/>
      <c r="G860" s="16" t="s">
        <v>217</v>
      </c>
      <c r="H860" s="27" t="s">
        <v>34</v>
      </c>
      <c r="I860" s="1"/>
      <c r="J860" s="1"/>
      <c r="K860" s="1"/>
      <c r="L860" s="1"/>
      <c r="M860" s="1"/>
      <c r="N860" s="1"/>
      <c r="O860" s="1"/>
    </row>
    <row r="861" spans="1:15" ht="15" thickBot="1" x14ac:dyDescent="0.4">
      <c r="A861" t="str">
        <f t="shared" si="304"/>
        <v>FC187</v>
      </c>
      <c r="B861" t="str">
        <f t="shared" si="305"/>
        <v>CPAC North</v>
      </c>
      <c r="C861" s="18"/>
      <c r="D861" s="18"/>
      <c r="E861" s="18"/>
      <c r="F861" s="18"/>
      <c r="G861" s="18"/>
      <c r="H861" s="28"/>
      <c r="I861" s="3" t="s">
        <v>18</v>
      </c>
      <c r="J861" s="4">
        <v>30</v>
      </c>
      <c r="K861" s="8">
        <v>29</v>
      </c>
      <c r="L861" s="4">
        <v>33</v>
      </c>
      <c r="M861" s="4">
        <v>30</v>
      </c>
      <c r="N861" s="4">
        <v>31</v>
      </c>
      <c r="O861" s="4">
        <v>31</v>
      </c>
    </row>
    <row r="862" spans="1:15" ht="15" thickBot="1" x14ac:dyDescent="0.4">
      <c r="A862" t="str">
        <f t="shared" si="306"/>
        <v>FC187</v>
      </c>
      <c r="B862" t="str">
        <f t="shared" si="305"/>
        <v>CPAC North</v>
      </c>
      <c r="C862" s="18"/>
      <c r="D862" s="18"/>
      <c r="E862" s="18"/>
      <c r="F862" s="18"/>
      <c r="G862" s="18"/>
      <c r="H862" s="28"/>
      <c r="I862" s="5" t="s">
        <v>19</v>
      </c>
      <c r="J862" s="6">
        <v>68</v>
      </c>
      <c r="K862" s="9">
        <v>107</v>
      </c>
      <c r="L862" s="9">
        <v>117</v>
      </c>
      <c r="M862" s="9">
        <v>107</v>
      </c>
      <c r="N862" s="9">
        <v>98</v>
      </c>
      <c r="O862" s="9">
        <v>106</v>
      </c>
    </row>
    <row r="863" spans="1:15" ht="15" thickBot="1" x14ac:dyDescent="0.4">
      <c r="A863" t="str">
        <f t="shared" si="307"/>
        <v>FC187</v>
      </c>
      <c r="B863" t="str">
        <f t="shared" si="305"/>
        <v>CPAC North</v>
      </c>
      <c r="C863" s="18"/>
      <c r="D863" s="18"/>
      <c r="E863" s="18"/>
      <c r="F863" s="18"/>
      <c r="G863" s="18"/>
      <c r="H863" s="28"/>
      <c r="I863" s="3" t="s">
        <v>20</v>
      </c>
      <c r="J863" s="9">
        <v>31.5</v>
      </c>
      <c r="K863" s="7">
        <v>35.200000000000003</v>
      </c>
      <c r="L863" s="10">
        <v>24.1</v>
      </c>
      <c r="M863" s="10">
        <v>20.3</v>
      </c>
      <c r="N863" s="10">
        <v>25.4</v>
      </c>
      <c r="O863" s="7">
        <v>36.1</v>
      </c>
    </row>
    <row r="864" spans="1:15" ht="15" thickBot="1" x14ac:dyDescent="0.4">
      <c r="A864" t="str">
        <f t="shared" si="308"/>
        <v>FC187</v>
      </c>
      <c r="B864" t="str">
        <f t="shared" si="305"/>
        <v>CPAC North</v>
      </c>
      <c r="C864" s="18"/>
      <c r="D864" s="18"/>
      <c r="E864" s="18"/>
      <c r="F864" s="18"/>
      <c r="G864" s="18"/>
      <c r="H864" s="28"/>
      <c r="I864" s="5" t="s">
        <v>21</v>
      </c>
      <c r="J864" s="9">
        <v>0.72</v>
      </c>
      <c r="K864" s="10">
        <v>1.02</v>
      </c>
      <c r="L864" s="10">
        <v>1.63</v>
      </c>
      <c r="M864" s="10">
        <v>1.75</v>
      </c>
      <c r="N864" s="10">
        <v>1.28</v>
      </c>
      <c r="O864" s="10">
        <v>0.98</v>
      </c>
    </row>
    <row r="865" spans="1:15" ht="15" thickBot="1" x14ac:dyDescent="0.4">
      <c r="A865" t="str">
        <f t="shared" si="309"/>
        <v>FC187</v>
      </c>
      <c r="B865" t="str">
        <f t="shared" si="305"/>
        <v>CPAC North</v>
      </c>
      <c r="C865" s="19"/>
      <c r="D865" s="19"/>
      <c r="E865" s="19"/>
      <c r="F865" s="19"/>
      <c r="G865" s="19"/>
      <c r="H865" s="29"/>
      <c r="I865" s="3" t="s">
        <v>22</v>
      </c>
      <c r="J865" s="9" t="s">
        <v>25</v>
      </c>
      <c r="K865" s="10" t="s">
        <v>24</v>
      </c>
      <c r="L865" s="10" t="s">
        <v>24</v>
      </c>
      <c r="M865" s="11"/>
      <c r="N865" s="10" t="s">
        <v>24</v>
      </c>
      <c r="O865" s="10" t="s">
        <v>24</v>
      </c>
    </row>
    <row r="866" spans="1:15" ht="15" thickBot="1" x14ac:dyDescent="0.4">
      <c r="B866" t="str">
        <f t="shared" si="305"/>
        <v>CPAC North</v>
      </c>
      <c r="C866" s="16"/>
      <c r="D866" s="16"/>
      <c r="E866" s="16"/>
      <c r="F866" s="16"/>
      <c r="G866" s="16" t="s">
        <v>218</v>
      </c>
      <c r="H866" s="30" t="s">
        <v>39</v>
      </c>
      <c r="I866" s="1"/>
      <c r="J866" s="1"/>
      <c r="K866" s="1"/>
      <c r="L866" s="1"/>
      <c r="M866" s="1"/>
      <c r="N866" s="1"/>
      <c r="O866" s="1"/>
    </row>
    <row r="867" spans="1:15" ht="15" thickBot="1" x14ac:dyDescent="0.4">
      <c r="A867" t="str">
        <f t="shared" si="304"/>
        <v>FC208</v>
      </c>
      <c r="B867" t="str">
        <f t="shared" si="305"/>
        <v>CPAC North</v>
      </c>
      <c r="C867" s="18"/>
      <c r="D867" s="18"/>
      <c r="E867" s="18"/>
      <c r="F867" s="18"/>
      <c r="G867" s="18"/>
      <c r="H867" s="31"/>
      <c r="I867" s="3" t="s">
        <v>18</v>
      </c>
      <c r="J867" s="11"/>
      <c r="K867" s="8">
        <v>16</v>
      </c>
      <c r="L867" s="4">
        <v>32</v>
      </c>
      <c r="M867" s="4">
        <v>32</v>
      </c>
      <c r="N867" s="8">
        <v>24</v>
      </c>
      <c r="O867" s="4">
        <v>40</v>
      </c>
    </row>
    <row r="868" spans="1:15" ht="15" thickBot="1" x14ac:dyDescent="0.4">
      <c r="A868" t="str">
        <f t="shared" si="306"/>
        <v>FC208</v>
      </c>
      <c r="B868" t="str">
        <f t="shared" si="305"/>
        <v>CPAC North</v>
      </c>
      <c r="C868" s="18"/>
      <c r="D868" s="18"/>
      <c r="E868" s="18"/>
      <c r="F868" s="18"/>
      <c r="G868" s="18"/>
      <c r="H868" s="31"/>
      <c r="I868" s="5" t="s">
        <v>19</v>
      </c>
      <c r="J868" s="11"/>
      <c r="K868" s="8">
        <v>30</v>
      </c>
      <c r="L868" s="6">
        <v>61</v>
      </c>
      <c r="M868" s="7">
        <v>85</v>
      </c>
      <c r="N868" s="9">
        <v>105</v>
      </c>
      <c r="O868" s="9">
        <v>109</v>
      </c>
    </row>
    <row r="869" spans="1:15" ht="15" thickBot="1" x14ac:dyDescent="0.4">
      <c r="A869" t="str">
        <f t="shared" si="307"/>
        <v>FC208</v>
      </c>
      <c r="B869" t="str">
        <f t="shared" si="305"/>
        <v>CPAC North</v>
      </c>
      <c r="C869" s="18"/>
      <c r="D869" s="18"/>
      <c r="E869" s="18"/>
      <c r="F869" s="18"/>
      <c r="G869" s="18"/>
      <c r="H869" s="31"/>
      <c r="I869" s="3" t="s">
        <v>20</v>
      </c>
      <c r="J869" s="11"/>
      <c r="K869" s="10">
        <v>10.9</v>
      </c>
      <c r="L869" s="10">
        <v>21.2</v>
      </c>
      <c r="M869" s="10">
        <v>26.6</v>
      </c>
      <c r="N869" s="10">
        <v>16.2</v>
      </c>
      <c r="O869" s="10">
        <v>20.8</v>
      </c>
    </row>
    <row r="870" spans="1:15" ht="15" thickBot="1" x14ac:dyDescent="0.4">
      <c r="A870" t="str">
        <f t="shared" si="308"/>
        <v>FC208</v>
      </c>
      <c r="B870" t="str">
        <f t="shared" si="305"/>
        <v>CPAC North</v>
      </c>
      <c r="C870" s="18"/>
      <c r="D870" s="18"/>
      <c r="E870" s="18"/>
      <c r="F870" s="18"/>
      <c r="G870" s="18"/>
      <c r="H870" s="31"/>
      <c r="I870" s="5" t="s">
        <v>21</v>
      </c>
      <c r="J870" s="11"/>
      <c r="K870" s="10">
        <v>0.93</v>
      </c>
      <c r="L870" s="10">
        <v>0.96</v>
      </c>
      <c r="M870" s="10">
        <v>1.06</v>
      </c>
      <c r="N870" s="10">
        <v>2.16</v>
      </c>
      <c r="O870" s="10">
        <v>1.75</v>
      </c>
    </row>
    <row r="871" spans="1:15" ht="15" thickBot="1" x14ac:dyDescent="0.4">
      <c r="A871" t="str">
        <f t="shared" si="309"/>
        <v>FC208</v>
      </c>
      <c r="B871" t="str">
        <f t="shared" si="305"/>
        <v>CPAC North</v>
      </c>
      <c r="C871" s="19"/>
      <c r="D871" s="19"/>
      <c r="E871" s="19"/>
      <c r="F871" s="19"/>
      <c r="G871" s="19"/>
      <c r="H871" s="32"/>
      <c r="I871" s="3" t="s">
        <v>22</v>
      </c>
      <c r="J871" s="11" t="s">
        <v>31</v>
      </c>
      <c r="K871" s="9" t="s">
        <v>25</v>
      </c>
      <c r="L871" s="10" t="s">
        <v>24</v>
      </c>
      <c r="M871" s="10" t="s">
        <v>24</v>
      </c>
      <c r="N871" s="10" t="s">
        <v>24</v>
      </c>
      <c r="O871" s="10" t="s">
        <v>24</v>
      </c>
    </row>
    <row r="872" spans="1:15" ht="15" thickBot="1" x14ac:dyDescent="0.4">
      <c r="B872" t="str">
        <f t="shared" si="305"/>
        <v>CPAC North</v>
      </c>
      <c r="C872" s="16"/>
      <c r="D872" s="16"/>
      <c r="E872" s="16"/>
      <c r="F872" s="16"/>
      <c r="G872" s="16" t="s">
        <v>219</v>
      </c>
      <c r="H872" s="27" t="s">
        <v>34</v>
      </c>
      <c r="I872" s="1"/>
      <c r="J872" s="1"/>
      <c r="K872" s="1"/>
      <c r="L872" s="1"/>
      <c r="M872" s="1"/>
      <c r="N872" s="1"/>
      <c r="O872" s="1"/>
    </row>
    <row r="873" spans="1:15" ht="15" thickBot="1" x14ac:dyDescent="0.4">
      <c r="A873" t="str">
        <f t="shared" si="304"/>
        <v>FC373</v>
      </c>
      <c r="B873" t="str">
        <f t="shared" si="305"/>
        <v>CPAC North</v>
      </c>
      <c r="C873" s="18"/>
      <c r="D873" s="18"/>
      <c r="E873" s="18"/>
      <c r="F873" s="18"/>
      <c r="G873" s="18"/>
      <c r="H873" s="28"/>
      <c r="I873" s="3" t="s">
        <v>18</v>
      </c>
      <c r="J873" s="4">
        <v>32</v>
      </c>
      <c r="K873" s="4">
        <v>32</v>
      </c>
      <c r="L873" s="4">
        <v>30</v>
      </c>
      <c r="M873" s="4">
        <v>30</v>
      </c>
      <c r="N873" s="8">
        <v>22</v>
      </c>
      <c r="O873" s="4">
        <v>30</v>
      </c>
    </row>
    <row r="874" spans="1:15" ht="15" thickBot="1" x14ac:dyDescent="0.4">
      <c r="A874" t="str">
        <f t="shared" si="306"/>
        <v>FC373</v>
      </c>
      <c r="B874" t="str">
        <f t="shared" si="305"/>
        <v>CPAC North</v>
      </c>
      <c r="C874" s="18"/>
      <c r="D874" s="18"/>
      <c r="E874" s="18"/>
      <c r="F874" s="18"/>
      <c r="G874" s="18"/>
      <c r="H874" s="28"/>
      <c r="I874" s="5" t="s">
        <v>19</v>
      </c>
      <c r="J874" s="8">
        <v>28</v>
      </c>
      <c r="K874" s="8">
        <v>41</v>
      </c>
      <c r="L874" s="7">
        <v>84</v>
      </c>
      <c r="M874" s="9">
        <v>106</v>
      </c>
      <c r="N874" s="9">
        <v>93</v>
      </c>
      <c r="O874" s="8">
        <v>47</v>
      </c>
    </row>
    <row r="875" spans="1:15" ht="15" thickBot="1" x14ac:dyDescent="0.4">
      <c r="A875" t="str">
        <f t="shared" si="307"/>
        <v>FC373</v>
      </c>
      <c r="B875" t="str">
        <f t="shared" si="305"/>
        <v>CPAC North</v>
      </c>
      <c r="C875" s="18"/>
      <c r="D875" s="18"/>
      <c r="E875" s="18"/>
      <c r="F875" s="18"/>
      <c r="G875" s="18"/>
      <c r="H875" s="28"/>
      <c r="I875" s="3" t="s">
        <v>20</v>
      </c>
      <c r="J875" s="10">
        <v>19.8</v>
      </c>
      <c r="K875" s="10">
        <v>9.6999999999999993</v>
      </c>
      <c r="L875" s="10">
        <v>11.2</v>
      </c>
      <c r="M875" s="10">
        <v>26.5</v>
      </c>
      <c r="N875" s="10">
        <v>27.1</v>
      </c>
      <c r="O875" s="10">
        <v>10.7</v>
      </c>
    </row>
    <row r="876" spans="1:15" ht="15" thickBot="1" x14ac:dyDescent="0.4">
      <c r="A876" t="str">
        <f t="shared" si="308"/>
        <v>FC373</v>
      </c>
      <c r="B876" t="str">
        <f t="shared" si="305"/>
        <v>CPAC North</v>
      </c>
      <c r="C876" s="18"/>
      <c r="D876" s="18"/>
      <c r="E876" s="18"/>
      <c r="F876" s="18"/>
      <c r="G876" s="18"/>
      <c r="H876" s="28"/>
      <c r="I876" s="5" t="s">
        <v>21</v>
      </c>
      <c r="J876" s="8">
        <v>0.47</v>
      </c>
      <c r="K876" s="10">
        <v>1.42</v>
      </c>
      <c r="L876" s="10">
        <v>2.5</v>
      </c>
      <c r="M876" s="10">
        <v>1.34</v>
      </c>
      <c r="N876" s="10">
        <v>1.1499999999999999</v>
      </c>
      <c r="O876" s="10">
        <v>1.47</v>
      </c>
    </row>
    <row r="877" spans="1:15" ht="15" thickBot="1" x14ac:dyDescent="0.4">
      <c r="A877" t="str">
        <f t="shared" si="309"/>
        <v>FC373</v>
      </c>
      <c r="B877" t="str">
        <f t="shared" si="305"/>
        <v>CPAC North</v>
      </c>
      <c r="C877" s="19"/>
      <c r="D877" s="19"/>
      <c r="E877" s="19"/>
      <c r="F877" s="19"/>
      <c r="G877" s="19"/>
      <c r="H877" s="29"/>
      <c r="I877" s="3" t="s">
        <v>22</v>
      </c>
      <c r="J877" s="11"/>
      <c r="K877" s="11"/>
      <c r="L877" s="10" t="s">
        <v>24</v>
      </c>
      <c r="M877" s="10" t="s">
        <v>24</v>
      </c>
      <c r="N877" s="10" t="s">
        <v>24</v>
      </c>
      <c r="O877" s="11"/>
    </row>
    <row r="878" spans="1:15" ht="15" thickBot="1" x14ac:dyDescent="0.4">
      <c r="B878" t="str">
        <f t="shared" si="305"/>
        <v>CPAC North</v>
      </c>
      <c r="C878" s="16"/>
      <c r="D878" s="16"/>
      <c r="E878" s="16"/>
      <c r="F878" s="16" t="s">
        <v>220</v>
      </c>
      <c r="G878" s="16" t="s">
        <v>221</v>
      </c>
      <c r="H878" s="30" t="s">
        <v>39</v>
      </c>
      <c r="I878" s="1"/>
      <c r="J878" s="1"/>
      <c r="K878" s="1"/>
      <c r="L878" s="1"/>
      <c r="M878" s="1"/>
      <c r="N878" s="1"/>
      <c r="O878" s="1"/>
    </row>
    <row r="879" spans="1:15" ht="15" thickBot="1" x14ac:dyDescent="0.4">
      <c r="A879" t="str">
        <f t="shared" si="304"/>
        <v>FC094</v>
      </c>
      <c r="B879" t="str">
        <f t="shared" si="305"/>
        <v>CPAC North</v>
      </c>
      <c r="C879" s="18"/>
      <c r="D879" s="18"/>
      <c r="E879" s="18"/>
      <c r="F879" s="18"/>
      <c r="G879" s="18"/>
      <c r="H879" s="31"/>
      <c r="I879" s="3" t="s">
        <v>18</v>
      </c>
      <c r="J879" s="4">
        <v>36</v>
      </c>
      <c r="K879" s="4">
        <v>32</v>
      </c>
      <c r="L879" s="4">
        <v>32</v>
      </c>
      <c r="M879" s="4">
        <v>38</v>
      </c>
      <c r="N879" s="4">
        <v>32</v>
      </c>
      <c r="O879" s="4">
        <v>32</v>
      </c>
    </row>
    <row r="880" spans="1:15" ht="15" thickBot="1" x14ac:dyDescent="0.4">
      <c r="A880" t="str">
        <f t="shared" si="306"/>
        <v>FC094</v>
      </c>
      <c r="B880" t="str">
        <f t="shared" si="305"/>
        <v>CPAC North</v>
      </c>
      <c r="C880" s="18"/>
      <c r="D880" s="18"/>
      <c r="E880" s="18"/>
      <c r="F880" s="18"/>
      <c r="G880" s="18"/>
      <c r="H880" s="31"/>
      <c r="I880" s="5" t="s">
        <v>19</v>
      </c>
      <c r="J880" s="6">
        <v>50</v>
      </c>
      <c r="K880" s="7">
        <v>81</v>
      </c>
      <c r="L880" s="9">
        <v>92</v>
      </c>
      <c r="M880" s="7">
        <v>76</v>
      </c>
      <c r="N880" s="7">
        <v>80</v>
      </c>
      <c r="O880" s="6">
        <v>64</v>
      </c>
    </row>
    <row r="881" spans="1:15" ht="15" thickBot="1" x14ac:dyDescent="0.4">
      <c r="A881" t="str">
        <f t="shared" si="307"/>
        <v>FC094</v>
      </c>
      <c r="B881" t="str">
        <f t="shared" si="305"/>
        <v>CPAC North</v>
      </c>
      <c r="C881" s="18"/>
      <c r="D881" s="18"/>
      <c r="E881" s="18"/>
      <c r="F881" s="18"/>
      <c r="G881" s="18"/>
      <c r="H881" s="31"/>
      <c r="I881" s="3" t="s">
        <v>20</v>
      </c>
      <c r="J881" s="10">
        <v>18.3</v>
      </c>
      <c r="K881" s="10">
        <v>28.5</v>
      </c>
      <c r="L881" s="10">
        <v>16.3</v>
      </c>
      <c r="M881" s="10">
        <v>24</v>
      </c>
      <c r="N881" s="10">
        <v>16.5</v>
      </c>
      <c r="O881" s="10">
        <v>14.6</v>
      </c>
    </row>
    <row r="882" spans="1:15" ht="15" thickBot="1" x14ac:dyDescent="0.4">
      <c r="A882" t="str">
        <f t="shared" si="308"/>
        <v>FC094</v>
      </c>
      <c r="B882" t="str">
        <f t="shared" si="305"/>
        <v>CPAC North</v>
      </c>
      <c r="C882" s="18"/>
      <c r="D882" s="18"/>
      <c r="E882" s="18"/>
      <c r="F882" s="18"/>
      <c r="G882" s="18"/>
      <c r="H882" s="31"/>
      <c r="I882" s="5" t="s">
        <v>21</v>
      </c>
      <c r="J882" s="10">
        <v>0.91</v>
      </c>
      <c r="K882" s="10">
        <v>0.94</v>
      </c>
      <c r="L882" s="10">
        <v>1.88</v>
      </c>
      <c r="M882" s="10">
        <v>1.06</v>
      </c>
      <c r="N882" s="10">
        <v>1.62</v>
      </c>
      <c r="O882" s="10">
        <v>1.45</v>
      </c>
    </row>
    <row r="883" spans="1:15" ht="15" thickBot="1" x14ac:dyDescent="0.4">
      <c r="A883" t="str">
        <f t="shared" si="309"/>
        <v>FC094</v>
      </c>
      <c r="B883" t="str">
        <f t="shared" si="305"/>
        <v>CPAC North</v>
      </c>
      <c r="C883" s="19"/>
      <c r="D883" s="19"/>
      <c r="E883" s="19"/>
      <c r="F883" s="19"/>
      <c r="G883" s="19"/>
      <c r="H883" s="32"/>
      <c r="I883" s="3" t="s">
        <v>22</v>
      </c>
      <c r="J883" s="11"/>
      <c r="K883" s="10" t="s">
        <v>24</v>
      </c>
      <c r="L883" s="10" t="s">
        <v>24</v>
      </c>
      <c r="M883" s="10" t="s">
        <v>24</v>
      </c>
      <c r="N883" s="10" t="s">
        <v>24</v>
      </c>
      <c r="O883" s="10" t="s">
        <v>24</v>
      </c>
    </row>
    <row r="884" spans="1:15" ht="15" thickBot="1" x14ac:dyDescent="0.4">
      <c r="B884" t="str">
        <f t="shared" si="305"/>
        <v>CPAC North</v>
      </c>
      <c r="C884" s="16"/>
      <c r="D884" s="16"/>
      <c r="E884" s="16"/>
      <c r="F884" s="16"/>
      <c r="G884" s="16" t="s">
        <v>222</v>
      </c>
      <c r="H884" s="27" t="s">
        <v>34</v>
      </c>
      <c r="I884" s="1"/>
      <c r="J884" s="1"/>
      <c r="K884" s="1"/>
      <c r="L884" s="1"/>
      <c r="M884" s="1"/>
      <c r="N884" s="1"/>
      <c r="O884" s="1"/>
    </row>
    <row r="885" spans="1:15" ht="15" thickBot="1" x14ac:dyDescent="0.4">
      <c r="A885" t="str">
        <f t="shared" si="304"/>
        <v>FC148</v>
      </c>
      <c r="B885" t="str">
        <f t="shared" si="305"/>
        <v>CPAC North</v>
      </c>
      <c r="C885" s="18"/>
      <c r="D885" s="18"/>
      <c r="E885" s="18"/>
      <c r="F885" s="18"/>
      <c r="G885" s="18"/>
      <c r="H885" s="28"/>
      <c r="I885" s="3" t="s">
        <v>18</v>
      </c>
      <c r="J885" s="4">
        <v>30</v>
      </c>
      <c r="K885" s="4">
        <v>39</v>
      </c>
      <c r="L885" s="4">
        <v>37</v>
      </c>
      <c r="M885" s="4">
        <v>33</v>
      </c>
      <c r="N885" s="4">
        <v>34</v>
      </c>
      <c r="O885" s="4">
        <v>44</v>
      </c>
    </row>
    <row r="886" spans="1:15" ht="15" thickBot="1" x14ac:dyDescent="0.4">
      <c r="A886" t="str">
        <f t="shared" si="306"/>
        <v>FC148</v>
      </c>
      <c r="B886" t="str">
        <f t="shared" si="305"/>
        <v>CPAC North</v>
      </c>
      <c r="C886" s="18"/>
      <c r="D886" s="18"/>
      <c r="E886" s="18"/>
      <c r="F886" s="18"/>
      <c r="G886" s="18"/>
      <c r="H886" s="28"/>
      <c r="I886" s="5" t="s">
        <v>19</v>
      </c>
      <c r="J886" s="6">
        <v>53</v>
      </c>
      <c r="K886" s="6">
        <v>61</v>
      </c>
      <c r="L886" s="8">
        <v>48</v>
      </c>
      <c r="M886" s="8">
        <v>43</v>
      </c>
      <c r="N886" s="6">
        <v>53</v>
      </c>
      <c r="O886" s="6">
        <v>65</v>
      </c>
    </row>
    <row r="887" spans="1:15" ht="15" thickBot="1" x14ac:dyDescent="0.4">
      <c r="A887" t="str">
        <f t="shared" si="307"/>
        <v>FC148</v>
      </c>
      <c r="B887" t="str">
        <f t="shared" si="305"/>
        <v>CPAC North</v>
      </c>
      <c r="C887" s="18"/>
      <c r="D887" s="18"/>
      <c r="E887" s="18"/>
      <c r="F887" s="18"/>
      <c r="G887" s="18"/>
      <c r="H887" s="28"/>
      <c r="I887" s="3" t="s">
        <v>20</v>
      </c>
      <c r="J887" s="9">
        <v>29.5</v>
      </c>
      <c r="K887" s="7">
        <v>34.9</v>
      </c>
      <c r="L887" s="10">
        <v>27.5</v>
      </c>
      <c r="M887" s="10">
        <v>23.4</v>
      </c>
      <c r="N887" s="10">
        <v>22.7</v>
      </c>
      <c r="O887" s="10">
        <v>27.9</v>
      </c>
    </row>
    <row r="888" spans="1:15" ht="15" thickBot="1" x14ac:dyDescent="0.4">
      <c r="A888" t="str">
        <f t="shared" si="308"/>
        <v>FC148</v>
      </c>
      <c r="B888" t="str">
        <f t="shared" si="305"/>
        <v>CPAC North</v>
      </c>
      <c r="C888" s="18"/>
      <c r="D888" s="18"/>
      <c r="E888" s="18"/>
      <c r="F888" s="18"/>
      <c r="G888" s="18"/>
      <c r="H888" s="28"/>
      <c r="I888" s="5" t="s">
        <v>21</v>
      </c>
      <c r="J888" s="9">
        <v>0.6</v>
      </c>
      <c r="K888" s="9">
        <v>0.57999999999999996</v>
      </c>
      <c r="L888" s="9">
        <v>0.57999999999999996</v>
      </c>
      <c r="M888" s="9">
        <v>0.61</v>
      </c>
      <c r="N888" s="9">
        <v>0.78</v>
      </c>
      <c r="O888" s="9">
        <v>0.78</v>
      </c>
    </row>
    <row r="889" spans="1:15" ht="15" thickBot="1" x14ac:dyDescent="0.4">
      <c r="A889" t="str">
        <f t="shared" si="309"/>
        <v>FC148</v>
      </c>
      <c r="B889" t="str">
        <f t="shared" si="305"/>
        <v>CPAC North</v>
      </c>
      <c r="C889" s="19"/>
      <c r="D889" s="19"/>
      <c r="E889" s="19"/>
      <c r="F889" s="19"/>
      <c r="G889" s="19"/>
      <c r="H889" s="29"/>
      <c r="I889" s="3" t="s">
        <v>22</v>
      </c>
      <c r="J889" s="9" t="s">
        <v>25</v>
      </c>
      <c r="K889" s="11"/>
      <c r="L889" s="11"/>
      <c r="M889" s="9" t="s">
        <v>25</v>
      </c>
      <c r="N889" s="11"/>
      <c r="O889" s="11"/>
    </row>
    <row r="890" spans="1:15" ht="15" thickBot="1" x14ac:dyDescent="0.4">
      <c r="B890" t="str">
        <f t="shared" si="305"/>
        <v>CPAC North</v>
      </c>
      <c r="C890" s="16"/>
      <c r="D890" s="16"/>
      <c r="E890" s="16"/>
      <c r="F890" s="16"/>
      <c r="G890" s="16" t="s">
        <v>223</v>
      </c>
      <c r="H890" s="27" t="s">
        <v>34</v>
      </c>
      <c r="I890" s="1"/>
      <c r="J890" s="1"/>
      <c r="K890" s="1"/>
      <c r="L890" s="1"/>
      <c r="M890" s="1"/>
      <c r="N890" s="1"/>
      <c r="O890" s="1"/>
    </row>
    <row r="891" spans="1:15" ht="15" thickBot="1" x14ac:dyDescent="0.4">
      <c r="A891" t="str">
        <f t="shared" si="304"/>
        <v>FC167</v>
      </c>
      <c r="B891" t="str">
        <f t="shared" si="305"/>
        <v>CPAC North</v>
      </c>
      <c r="C891" s="18"/>
      <c r="D891" s="18"/>
      <c r="E891" s="18"/>
      <c r="F891" s="18"/>
      <c r="G891" s="18"/>
      <c r="H891" s="28"/>
      <c r="I891" s="3" t="s">
        <v>18</v>
      </c>
      <c r="J891" s="4">
        <v>36</v>
      </c>
      <c r="K891" s="8">
        <v>15</v>
      </c>
      <c r="L891" s="8">
        <v>16</v>
      </c>
      <c r="M891" s="4">
        <v>36</v>
      </c>
      <c r="N891" s="4">
        <v>36</v>
      </c>
      <c r="O891" s="4">
        <v>32</v>
      </c>
    </row>
    <row r="892" spans="1:15" ht="15" thickBot="1" x14ac:dyDescent="0.4">
      <c r="A892" t="str">
        <f t="shared" si="306"/>
        <v>FC167</v>
      </c>
      <c r="B892" t="str">
        <f t="shared" si="305"/>
        <v>CPAC North</v>
      </c>
      <c r="C892" s="18"/>
      <c r="D892" s="18"/>
      <c r="E892" s="18"/>
      <c r="F892" s="18"/>
      <c r="G892" s="18"/>
      <c r="H892" s="28"/>
      <c r="I892" s="5" t="s">
        <v>19</v>
      </c>
      <c r="J892" s="6">
        <v>62</v>
      </c>
      <c r="K892" s="8">
        <v>19</v>
      </c>
      <c r="L892" s="7">
        <v>90</v>
      </c>
      <c r="M892" s="7">
        <v>76</v>
      </c>
      <c r="N892" s="7">
        <v>73</v>
      </c>
      <c r="O892" s="6">
        <v>58</v>
      </c>
    </row>
    <row r="893" spans="1:15" ht="15" thickBot="1" x14ac:dyDescent="0.4">
      <c r="A893" t="str">
        <f t="shared" si="307"/>
        <v>FC167</v>
      </c>
      <c r="B893" t="str">
        <f t="shared" si="305"/>
        <v>CPAC North</v>
      </c>
      <c r="C893" s="18"/>
      <c r="D893" s="18"/>
      <c r="E893" s="18"/>
      <c r="F893" s="18"/>
      <c r="G893" s="18"/>
      <c r="H893" s="28"/>
      <c r="I893" s="3" t="s">
        <v>20</v>
      </c>
      <c r="J893" s="10">
        <v>20</v>
      </c>
      <c r="K893" s="6">
        <v>45.7</v>
      </c>
      <c r="L893" s="9">
        <v>31.6</v>
      </c>
      <c r="M893" s="10">
        <v>26.3</v>
      </c>
      <c r="N893" s="9">
        <v>31.7</v>
      </c>
      <c r="O893" s="10">
        <v>23.6</v>
      </c>
    </row>
    <row r="894" spans="1:15" ht="15" thickBot="1" x14ac:dyDescent="0.4">
      <c r="A894" t="str">
        <f t="shared" si="308"/>
        <v>FC167</v>
      </c>
      <c r="B894" t="str">
        <f t="shared" si="305"/>
        <v>CPAC North</v>
      </c>
      <c r="C894" s="18"/>
      <c r="D894" s="18"/>
      <c r="E894" s="18"/>
      <c r="F894" s="18"/>
      <c r="G894" s="18"/>
      <c r="H894" s="28"/>
      <c r="I894" s="5" t="s">
        <v>21</v>
      </c>
      <c r="J894" s="10">
        <v>1.03</v>
      </c>
      <c r="K894" s="8">
        <v>0.14000000000000001</v>
      </c>
      <c r="L894" s="10">
        <v>0.95</v>
      </c>
      <c r="M894" s="10">
        <v>0.97</v>
      </c>
      <c r="N894" s="9">
        <v>0.77</v>
      </c>
      <c r="O894" s="10">
        <v>0.82</v>
      </c>
    </row>
    <row r="895" spans="1:15" ht="15" thickBot="1" x14ac:dyDescent="0.4">
      <c r="A895" t="str">
        <f t="shared" si="309"/>
        <v>FC167</v>
      </c>
      <c r="B895" t="str">
        <f t="shared" si="305"/>
        <v>CPAC North</v>
      </c>
      <c r="C895" s="19"/>
      <c r="D895" s="19"/>
      <c r="E895" s="19"/>
      <c r="F895" s="19"/>
      <c r="G895" s="19"/>
      <c r="H895" s="29"/>
      <c r="I895" s="3" t="s">
        <v>22</v>
      </c>
      <c r="J895" s="11"/>
      <c r="K895" s="8" t="s">
        <v>23</v>
      </c>
      <c r="L895" s="10" t="s">
        <v>24</v>
      </c>
      <c r="M895" s="10" t="s">
        <v>24</v>
      </c>
      <c r="N895" s="10" t="s">
        <v>24</v>
      </c>
      <c r="O895" s="11"/>
    </row>
    <row r="896" spans="1:15" ht="15" thickBot="1" x14ac:dyDescent="0.4">
      <c r="B896" t="str">
        <f t="shared" si="305"/>
        <v>CPAC North</v>
      </c>
      <c r="C896" s="16"/>
      <c r="D896" s="16"/>
      <c r="E896" s="16"/>
      <c r="F896" s="16"/>
      <c r="G896" s="16" t="s">
        <v>224</v>
      </c>
      <c r="H896" s="27" t="s">
        <v>34</v>
      </c>
      <c r="I896" s="1"/>
      <c r="J896" s="1"/>
      <c r="K896" s="1"/>
      <c r="L896" s="1"/>
      <c r="M896" s="1"/>
      <c r="N896" s="1"/>
      <c r="O896" s="1"/>
    </row>
    <row r="897" spans="1:15" ht="15" thickBot="1" x14ac:dyDescent="0.4">
      <c r="A897" t="str">
        <f t="shared" si="304"/>
        <v>FC250</v>
      </c>
      <c r="B897" t="str">
        <f t="shared" si="305"/>
        <v>CPAC North</v>
      </c>
      <c r="C897" s="18"/>
      <c r="D897" s="18"/>
      <c r="E897" s="18"/>
      <c r="F897" s="18"/>
      <c r="G897" s="18"/>
      <c r="H897" s="28"/>
      <c r="I897" s="3" t="s">
        <v>18</v>
      </c>
      <c r="J897" s="4">
        <v>36</v>
      </c>
      <c r="K897" s="4">
        <v>38</v>
      </c>
      <c r="L897" s="4">
        <v>38</v>
      </c>
      <c r="M897" s="8">
        <v>20</v>
      </c>
      <c r="N897" s="4">
        <v>34</v>
      </c>
      <c r="O897" s="4">
        <v>30</v>
      </c>
    </row>
    <row r="898" spans="1:15" ht="15" thickBot="1" x14ac:dyDescent="0.4">
      <c r="A898" t="str">
        <f t="shared" si="306"/>
        <v>FC250</v>
      </c>
      <c r="B898" t="str">
        <f t="shared" si="305"/>
        <v>CPAC North</v>
      </c>
      <c r="C898" s="18"/>
      <c r="D898" s="18"/>
      <c r="E898" s="18"/>
      <c r="F898" s="18"/>
      <c r="G898" s="18"/>
      <c r="H898" s="28"/>
      <c r="I898" s="5" t="s">
        <v>19</v>
      </c>
      <c r="J898" s="6">
        <v>54</v>
      </c>
      <c r="K898" s="6">
        <v>55</v>
      </c>
      <c r="L898" s="6">
        <v>59</v>
      </c>
      <c r="M898" s="8">
        <v>36</v>
      </c>
      <c r="N898" s="6">
        <v>58</v>
      </c>
      <c r="O898" s="6">
        <v>63</v>
      </c>
    </row>
    <row r="899" spans="1:15" ht="15" thickBot="1" x14ac:dyDescent="0.4">
      <c r="A899" t="str">
        <f t="shared" si="307"/>
        <v>FC250</v>
      </c>
      <c r="B899" t="str">
        <f t="shared" si="305"/>
        <v>CPAC North</v>
      </c>
      <c r="C899" s="18"/>
      <c r="D899" s="18"/>
      <c r="E899" s="18"/>
      <c r="F899" s="18"/>
      <c r="G899" s="18"/>
      <c r="H899" s="28"/>
      <c r="I899" s="3" t="s">
        <v>20</v>
      </c>
      <c r="J899" s="10">
        <v>20</v>
      </c>
      <c r="K899" s="10">
        <v>22.9</v>
      </c>
      <c r="L899" s="10">
        <v>23.8</v>
      </c>
      <c r="M899" s="10">
        <v>17.600000000000001</v>
      </c>
      <c r="N899" s="10">
        <v>16.8</v>
      </c>
      <c r="O899" s="10">
        <v>16.5</v>
      </c>
    </row>
    <row r="900" spans="1:15" ht="15" thickBot="1" x14ac:dyDescent="0.4">
      <c r="A900" t="str">
        <f t="shared" si="308"/>
        <v>FC250</v>
      </c>
      <c r="B900" t="str">
        <f t="shared" si="305"/>
        <v>CPAC North</v>
      </c>
      <c r="C900" s="18"/>
      <c r="D900" s="18"/>
      <c r="E900" s="18"/>
      <c r="F900" s="18"/>
      <c r="G900" s="18"/>
      <c r="H900" s="28"/>
      <c r="I900" s="5" t="s">
        <v>21</v>
      </c>
      <c r="J900" s="10">
        <v>0.9</v>
      </c>
      <c r="K900" s="10">
        <v>0.8</v>
      </c>
      <c r="L900" s="10">
        <v>0.82</v>
      </c>
      <c r="M900" s="9">
        <v>0.69</v>
      </c>
      <c r="N900" s="10">
        <v>1.1499999999999999</v>
      </c>
      <c r="O900" s="10">
        <v>1.27</v>
      </c>
    </row>
    <row r="901" spans="1:15" ht="15" thickBot="1" x14ac:dyDescent="0.4">
      <c r="A901" t="str">
        <f t="shared" si="309"/>
        <v>FC250</v>
      </c>
      <c r="B901" t="str">
        <f t="shared" si="305"/>
        <v>CPAC North</v>
      </c>
      <c r="C901" s="19"/>
      <c r="D901" s="19"/>
      <c r="E901" s="19"/>
      <c r="F901" s="19"/>
      <c r="G901" s="19"/>
      <c r="H901" s="29"/>
      <c r="I901" s="3" t="s">
        <v>22</v>
      </c>
      <c r="J901" s="11"/>
      <c r="K901" s="9" t="s">
        <v>25</v>
      </c>
      <c r="L901" s="11"/>
      <c r="M901" s="9" t="s">
        <v>25</v>
      </c>
      <c r="N901" s="11"/>
      <c r="O901" s="11"/>
    </row>
    <row r="902" spans="1:15" ht="15" thickBot="1" x14ac:dyDescent="0.4">
      <c r="B902" t="str">
        <f t="shared" si="305"/>
        <v>CPAC North</v>
      </c>
      <c r="C902" s="16"/>
      <c r="D902" s="16"/>
      <c r="E902" s="16"/>
      <c r="F902" s="16" t="s">
        <v>225</v>
      </c>
      <c r="G902" s="16" t="s">
        <v>226</v>
      </c>
      <c r="H902" s="27" t="s">
        <v>34</v>
      </c>
      <c r="I902" s="1"/>
      <c r="J902" s="1"/>
      <c r="K902" s="1"/>
      <c r="L902" s="1"/>
      <c r="M902" s="1"/>
      <c r="N902" s="1"/>
      <c r="O902" s="1"/>
    </row>
    <row r="903" spans="1:15" ht="15" thickBot="1" x14ac:dyDescent="0.4">
      <c r="A903" t="str">
        <f t="shared" ref="A903:A966" si="310">IF(LEFT(G902,2)="FC",LEFT(G902,5),LEFT(G902,4))</f>
        <v>FC246</v>
      </c>
      <c r="B903" t="str">
        <f t="shared" ref="B903:B966" si="311">$D$518</f>
        <v>CPAC North</v>
      </c>
      <c r="C903" s="18"/>
      <c r="D903" s="18"/>
      <c r="E903" s="18"/>
      <c r="F903" s="18"/>
      <c r="G903" s="18"/>
      <c r="H903" s="28"/>
      <c r="I903" s="3" t="s">
        <v>18</v>
      </c>
      <c r="J903" s="11"/>
      <c r="K903" s="4">
        <v>42</v>
      </c>
      <c r="L903" s="4">
        <v>45</v>
      </c>
      <c r="M903" s="4">
        <v>33</v>
      </c>
      <c r="N903" s="4">
        <v>30</v>
      </c>
      <c r="O903" s="4">
        <v>45</v>
      </c>
    </row>
    <row r="904" spans="1:15" ht="15" thickBot="1" x14ac:dyDescent="0.4">
      <c r="A904" t="str">
        <f t="shared" si="306"/>
        <v>FC246</v>
      </c>
      <c r="B904" t="str">
        <f t="shared" si="311"/>
        <v>CPAC North</v>
      </c>
      <c r="C904" s="18"/>
      <c r="D904" s="18"/>
      <c r="E904" s="18"/>
      <c r="F904" s="18"/>
      <c r="G904" s="18"/>
      <c r="H904" s="28"/>
      <c r="I904" s="5" t="s">
        <v>19</v>
      </c>
      <c r="J904" s="11"/>
      <c r="K904" s="9">
        <v>112</v>
      </c>
      <c r="L904" s="9">
        <v>119</v>
      </c>
      <c r="M904" s="7">
        <v>85</v>
      </c>
      <c r="N904" s="7">
        <v>90</v>
      </c>
      <c r="O904" s="9">
        <v>153</v>
      </c>
    </row>
    <row r="905" spans="1:15" ht="15" thickBot="1" x14ac:dyDescent="0.4">
      <c r="A905" t="str">
        <f t="shared" si="307"/>
        <v>FC246</v>
      </c>
      <c r="B905" t="str">
        <f t="shared" si="311"/>
        <v>CPAC North</v>
      </c>
      <c r="C905" s="18"/>
      <c r="D905" s="18"/>
      <c r="E905" s="18"/>
      <c r="F905" s="18"/>
      <c r="G905" s="18"/>
      <c r="H905" s="28"/>
      <c r="I905" s="3" t="s">
        <v>20</v>
      </c>
      <c r="J905" s="11"/>
      <c r="K905" s="9">
        <v>34.1</v>
      </c>
      <c r="L905" s="10">
        <v>17.8</v>
      </c>
      <c r="M905" s="10">
        <v>16.5</v>
      </c>
      <c r="N905" s="10">
        <v>18</v>
      </c>
      <c r="O905" s="7">
        <v>37.1</v>
      </c>
    </row>
    <row r="906" spans="1:15" ht="15" thickBot="1" x14ac:dyDescent="0.4">
      <c r="A906" t="str">
        <f t="shared" si="308"/>
        <v>FC246</v>
      </c>
      <c r="B906" t="str">
        <f t="shared" si="311"/>
        <v>CPAC North</v>
      </c>
      <c r="C906" s="18"/>
      <c r="D906" s="18"/>
      <c r="E906" s="18"/>
      <c r="F906" s="18"/>
      <c r="G906" s="18"/>
      <c r="H906" s="28"/>
      <c r="I906" s="5" t="s">
        <v>21</v>
      </c>
      <c r="J906" s="11"/>
      <c r="K906" s="10">
        <v>1.0900000000000001</v>
      </c>
      <c r="L906" s="10">
        <v>2.2200000000000002</v>
      </c>
      <c r="M906" s="10">
        <v>1.72</v>
      </c>
      <c r="N906" s="10">
        <v>1.66</v>
      </c>
      <c r="O906" s="10">
        <v>1.38</v>
      </c>
    </row>
    <row r="907" spans="1:15" ht="15" thickBot="1" x14ac:dyDescent="0.4">
      <c r="A907" t="str">
        <f t="shared" si="309"/>
        <v>FC246</v>
      </c>
      <c r="B907" t="str">
        <f t="shared" si="311"/>
        <v>CPAC North</v>
      </c>
      <c r="C907" s="19"/>
      <c r="D907" s="19"/>
      <c r="E907" s="19"/>
      <c r="F907" s="19"/>
      <c r="G907" s="19"/>
      <c r="H907" s="29"/>
      <c r="I907" s="3" t="s">
        <v>22</v>
      </c>
      <c r="J907" s="11" t="s">
        <v>31</v>
      </c>
      <c r="K907" s="11"/>
      <c r="L907" s="11"/>
      <c r="M907" s="11"/>
      <c r="N907" s="10" t="s">
        <v>24</v>
      </c>
      <c r="O907" s="11"/>
    </row>
    <row r="908" spans="1:15" ht="15" thickBot="1" x14ac:dyDescent="0.4">
      <c r="B908" t="str">
        <f t="shared" si="311"/>
        <v>CPAC North</v>
      </c>
      <c r="C908" s="16"/>
      <c r="D908" s="16"/>
      <c r="E908" s="16"/>
      <c r="F908" s="16"/>
      <c r="G908" s="16" t="s">
        <v>227</v>
      </c>
      <c r="H908" s="20" t="s">
        <v>17</v>
      </c>
      <c r="I908" s="1"/>
      <c r="J908" s="1"/>
      <c r="K908" s="1"/>
      <c r="L908" s="1"/>
      <c r="M908" s="1"/>
      <c r="N908" s="1"/>
      <c r="O908" s="1"/>
    </row>
    <row r="909" spans="1:15" ht="15" thickBot="1" x14ac:dyDescent="0.4">
      <c r="A909" t="str">
        <f t="shared" si="310"/>
        <v>FC154</v>
      </c>
      <c r="B909" t="str">
        <f t="shared" si="311"/>
        <v>CPAC North</v>
      </c>
      <c r="C909" s="18"/>
      <c r="D909" s="18"/>
      <c r="E909" s="18"/>
      <c r="F909" s="18"/>
      <c r="G909" s="18"/>
      <c r="H909" s="22"/>
      <c r="I909" s="3" t="s">
        <v>18</v>
      </c>
      <c r="J909" s="11"/>
      <c r="K909" s="4">
        <v>42</v>
      </c>
      <c r="L909" s="4">
        <v>42</v>
      </c>
      <c r="M909" s="4">
        <v>45</v>
      </c>
      <c r="N909" s="4">
        <v>45</v>
      </c>
      <c r="O909" s="4">
        <v>36</v>
      </c>
    </row>
    <row r="910" spans="1:15" ht="15" thickBot="1" x14ac:dyDescent="0.4">
      <c r="A910" t="str">
        <f t="shared" ref="A910:A970" si="312">IF(LEFT(G908,2)="FC",LEFT(G908,5),LEFT(G908,4))</f>
        <v>FC154</v>
      </c>
      <c r="B910" t="str">
        <f t="shared" si="311"/>
        <v>CPAC North</v>
      </c>
      <c r="C910" s="18"/>
      <c r="D910" s="18"/>
      <c r="E910" s="18"/>
      <c r="F910" s="18"/>
      <c r="G910" s="18"/>
      <c r="H910" s="22"/>
      <c r="I910" s="5" t="s">
        <v>19</v>
      </c>
      <c r="J910" s="11"/>
      <c r="K910" s="6">
        <v>69</v>
      </c>
      <c r="L910" s="7">
        <v>79</v>
      </c>
      <c r="M910" s="6">
        <v>54</v>
      </c>
      <c r="N910" s="7">
        <v>85</v>
      </c>
      <c r="O910" s="6">
        <v>52</v>
      </c>
    </row>
    <row r="911" spans="1:15" ht="15" thickBot="1" x14ac:dyDescent="0.4">
      <c r="A911" t="str">
        <f t="shared" ref="A911:A971" si="313">IF(LEFT(G908,2)="FC",LEFT(G908,5),LEFT(G908,4))</f>
        <v>FC154</v>
      </c>
      <c r="B911" t="str">
        <f t="shared" si="311"/>
        <v>CPAC North</v>
      </c>
      <c r="C911" s="18"/>
      <c r="D911" s="18"/>
      <c r="E911" s="18"/>
      <c r="F911" s="18"/>
      <c r="G911" s="18"/>
      <c r="H911" s="22"/>
      <c r="I911" s="3" t="s">
        <v>20</v>
      </c>
      <c r="J911" s="11"/>
      <c r="K911" s="10">
        <v>20.8</v>
      </c>
      <c r="L911" s="10">
        <v>28.3</v>
      </c>
      <c r="M911" s="10">
        <v>26.5</v>
      </c>
      <c r="N911" s="9">
        <v>32.9</v>
      </c>
      <c r="O911" s="9">
        <v>34.5</v>
      </c>
    </row>
    <row r="912" spans="1:15" ht="15" thickBot="1" x14ac:dyDescent="0.4">
      <c r="A912" t="str">
        <f t="shared" ref="A912:A972" si="314">IF(LEFT(G908,2)="FC",LEFT(G908,5),LEFT(G908,4))</f>
        <v>FC154</v>
      </c>
      <c r="B912" t="str">
        <f t="shared" si="311"/>
        <v>CPAC North</v>
      </c>
      <c r="C912" s="18"/>
      <c r="D912" s="18"/>
      <c r="E912" s="18"/>
      <c r="F912" s="18"/>
      <c r="G912" s="18"/>
      <c r="H912" s="22"/>
      <c r="I912" s="5" t="s">
        <v>21</v>
      </c>
      <c r="J912" s="11"/>
      <c r="K912" s="10">
        <v>1.1100000000000001</v>
      </c>
      <c r="L912" s="10">
        <v>0.93</v>
      </c>
      <c r="M912" s="9">
        <v>0.68</v>
      </c>
      <c r="N912" s="10">
        <v>0.86</v>
      </c>
      <c r="O912" s="8">
        <v>0.5</v>
      </c>
    </row>
    <row r="913" spans="1:15" ht="15" thickBot="1" x14ac:dyDescent="0.4">
      <c r="A913" t="str">
        <f t="shared" ref="A913:A973" si="315">IF(LEFT(G908,2)="FC",LEFT(G908,5),LEFT(G908,4))</f>
        <v>FC154</v>
      </c>
      <c r="B913" t="str">
        <f t="shared" si="311"/>
        <v>CPAC North</v>
      </c>
      <c r="C913" s="19"/>
      <c r="D913" s="19"/>
      <c r="E913" s="19"/>
      <c r="F913" s="19"/>
      <c r="G913" s="19"/>
      <c r="H913" s="23"/>
      <c r="I913" s="3" t="s">
        <v>22</v>
      </c>
      <c r="J913" s="11" t="s">
        <v>27</v>
      </c>
      <c r="K913" s="11"/>
      <c r="L913" s="11"/>
      <c r="M913" s="11"/>
      <c r="N913" s="10" t="s">
        <v>24</v>
      </c>
      <c r="O913" s="8" t="s">
        <v>23</v>
      </c>
    </row>
    <row r="914" spans="1:15" ht="15" thickBot="1" x14ac:dyDescent="0.4">
      <c r="B914" t="str">
        <f t="shared" si="311"/>
        <v>CPAC North</v>
      </c>
      <c r="C914" s="16"/>
      <c r="D914" s="16"/>
      <c r="E914" s="16"/>
      <c r="F914" s="16"/>
      <c r="G914" s="16" t="s">
        <v>228</v>
      </c>
      <c r="H914" s="20" t="s">
        <v>17</v>
      </c>
      <c r="I914" s="1"/>
      <c r="J914" s="1"/>
      <c r="K914" s="1"/>
      <c r="L914" s="1"/>
      <c r="M914" s="1"/>
      <c r="N914" s="1"/>
      <c r="O914" s="1"/>
    </row>
    <row r="915" spans="1:15" ht="15" thickBot="1" x14ac:dyDescent="0.4">
      <c r="A915" t="str">
        <f t="shared" si="310"/>
        <v>FC153</v>
      </c>
      <c r="B915" t="str">
        <f t="shared" si="311"/>
        <v>CPAC North</v>
      </c>
      <c r="C915" s="18"/>
      <c r="D915" s="18"/>
      <c r="E915" s="18"/>
      <c r="F915" s="18"/>
      <c r="G915" s="18"/>
      <c r="H915" s="22"/>
      <c r="I915" s="3" t="s">
        <v>18</v>
      </c>
      <c r="J915" s="11"/>
      <c r="K915" s="4">
        <v>30</v>
      </c>
      <c r="L915" s="4">
        <v>39</v>
      </c>
      <c r="M915" s="4">
        <v>30</v>
      </c>
      <c r="N915" s="11"/>
      <c r="O915" s="4">
        <v>30</v>
      </c>
    </row>
    <row r="916" spans="1:15" ht="15" thickBot="1" x14ac:dyDescent="0.4">
      <c r="A916" t="str">
        <f t="shared" si="312"/>
        <v>FC153</v>
      </c>
      <c r="B916" t="str">
        <f t="shared" si="311"/>
        <v>CPAC North</v>
      </c>
      <c r="C916" s="18"/>
      <c r="D916" s="18"/>
      <c r="E916" s="18"/>
      <c r="F916" s="18"/>
      <c r="G916" s="18"/>
      <c r="H916" s="22"/>
      <c r="I916" s="5" t="s">
        <v>19</v>
      </c>
      <c r="J916" s="11"/>
      <c r="K916" s="7">
        <v>72</v>
      </c>
      <c r="L916" s="7">
        <v>70</v>
      </c>
      <c r="M916" s="7">
        <v>90</v>
      </c>
      <c r="N916" s="11"/>
      <c r="O916" s="8">
        <v>39</v>
      </c>
    </row>
    <row r="917" spans="1:15" ht="15" thickBot="1" x14ac:dyDescent="0.4">
      <c r="A917" t="str">
        <f t="shared" si="313"/>
        <v>FC153</v>
      </c>
      <c r="B917" t="str">
        <f t="shared" si="311"/>
        <v>CPAC North</v>
      </c>
      <c r="C917" s="18"/>
      <c r="D917" s="18"/>
      <c r="E917" s="18"/>
      <c r="F917" s="18"/>
      <c r="G917" s="18"/>
      <c r="H917" s="22"/>
      <c r="I917" s="3" t="s">
        <v>20</v>
      </c>
      <c r="J917" s="11"/>
      <c r="K917" s="10">
        <v>22.5</v>
      </c>
      <c r="L917" s="10">
        <v>20.3</v>
      </c>
      <c r="M917" s="10">
        <v>28.2</v>
      </c>
      <c r="N917" s="11"/>
      <c r="O917" s="9">
        <v>32.6</v>
      </c>
    </row>
    <row r="918" spans="1:15" ht="15" thickBot="1" x14ac:dyDescent="0.4">
      <c r="A918" t="str">
        <f t="shared" si="314"/>
        <v>FC153</v>
      </c>
      <c r="B918" t="str">
        <f t="shared" si="311"/>
        <v>CPAC North</v>
      </c>
      <c r="C918" s="18"/>
      <c r="D918" s="18"/>
      <c r="E918" s="18"/>
      <c r="F918" s="18"/>
      <c r="G918" s="18"/>
      <c r="H918" s="22"/>
      <c r="I918" s="5" t="s">
        <v>21</v>
      </c>
      <c r="J918" s="11"/>
      <c r="K918" s="10">
        <v>1.07</v>
      </c>
      <c r="L918" s="10">
        <v>1.1499999999999999</v>
      </c>
      <c r="M918" s="10">
        <v>1.07</v>
      </c>
      <c r="N918" s="11"/>
      <c r="O918" s="8">
        <v>0.4</v>
      </c>
    </row>
    <row r="919" spans="1:15" ht="15" thickBot="1" x14ac:dyDescent="0.4">
      <c r="A919" t="str">
        <f t="shared" si="315"/>
        <v>FC153</v>
      </c>
      <c r="B919" t="str">
        <f t="shared" si="311"/>
        <v>CPAC North</v>
      </c>
      <c r="C919" s="19"/>
      <c r="D919" s="19"/>
      <c r="E919" s="19"/>
      <c r="F919" s="19"/>
      <c r="G919" s="19"/>
      <c r="H919" s="23"/>
      <c r="I919" s="3" t="s">
        <v>22</v>
      </c>
      <c r="J919" s="11" t="s">
        <v>27</v>
      </c>
      <c r="K919" s="11"/>
      <c r="L919" s="11"/>
      <c r="M919" s="11"/>
      <c r="N919" s="11" t="s">
        <v>27</v>
      </c>
      <c r="O919" s="8" t="s">
        <v>23</v>
      </c>
    </row>
    <row r="920" spans="1:15" ht="15" thickBot="1" x14ac:dyDescent="0.4">
      <c r="B920" t="str">
        <f t="shared" si="311"/>
        <v>CPAC North</v>
      </c>
      <c r="C920" s="16"/>
      <c r="D920" s="16"/>
      <c r="E920" s="16"/>
      <c r="F920" s="16"/>
      <c r="G920" s="16" t="s">
        <v>229</v>
      </c>
      <c r="H920" s="27" t="s">
        <v>34</v>
      </c>
      <c r="I920" s="1"/>
      <c r="J920" s="1"/>
      <c r="K920" s="1"/>
      <c r="L920" s="1"/>
      <c r="M920" s="1"/>
      <c r="N920" s="1"/>
      <c r="O920" s="1"/>
    </row>
    <row r="921" spans="1:15" ht="15" thickBot="1" x14ac:dyDescent="0.4">
      <c r="A921" t="str">
        <f t="shared" si="310"/>
        <v>FC130</v>
      </c>
      <c r="B921" t="str">
        <f t="shared" si="311"/>
        <v>CPAC North</v>
      </c>
      <c r="C921" s="18"/>
      <c r="D921" s="18"/>
      <c r="E921" s="18"/>
      <c r="F921" s="18"/>
      <c r="G921" s="18"/>
      <c r="H921" s="28"/>
      <c r="I921" s="3" t="s">
        <v>18</v>
      </c>
      <c r="J921" s="8">
        <v>20</v>
      </c>
      <c r="K921" s="4">
        <v>43</v>
      </c>
      <c r="L921" s="4">
        <v>48</v>
      </c>
      <c r="M921" s="4">
        <v>33</v>
      </c>
      <c r="N921" s="4">
        <v>30</v>
      </c>
      <c r="O921" s="4">
        <v>34</v>
      </c>
    </row>
    <row r="922" spans="1:15" ht="15" thickBot="1" x14ac:dyDescent="0.4">
      <c r="A922" t="str">
        <f t="shared" si="312"/>
        <v>FC130</v>
      </c>
      <c r="B922" t="str">
        <f t="shared" si="311"/>
        <v>CPAC North</v>
      </c>
      <c r="C922" s="18"/>
      <c r="D922" s="18"/>
      <c r="E922" s="18"/>
      <c r="F922" s="18"/>
      <c r="G922" s="18"/>
      <c r="H922" s="28"/>
      <c r="I922" s="5" t="s">
        <v>19</v>
      </c>
      <c r="J922" s="8">
        <v>45</v>
      </c>
      <c r="K922" s="6">
        <v>54</v>
      </c>
      <c r="L922" s="9">
        <v>108</v>
      </c>
      <c r="M922" s="9">
        <v>109</v>
      </c>
      <c r="N922" s="9">
        <v>104</v>
      </c>
      <c r="O922" s="7">
        <v>70</v>
      </c>
    </row>
    <row r="923" spans="1:15" ht="15" thickBot="1" x14ac:dyDescent="0.4">
      <c r="A923" t="str">
        <f t="shared" si="313"/>
        <v>FC130</v>
      </c>
      <c r="B923" t="str">
        <f t="shared" si="311"/>
        <v>CPAC North</v>
      </c>
      <c r="C923" s="18"/>
      <c r="D923" s="18"/>
      <c r="E923" s="18"/>
      <c r="F923" s="18"/>
      <c r="G923" s="18"/>
      <c r="H923" s="28"/>
      <c r="I923" s="3" t="s">
        <v>20</v>
      </c>
      <c r="J923" s="10">
        <v>21.8</v>
      </c>
      <c r="K923" s="9">
        <v>29.5</v>
      </c>
      <c r="L923" s="10">
        <v>25.3</v>
      </c>
      <c r="M923" s="10">
        <v>24.9</v>
      </c>
      <c r="N923" s="10">
        <v>27.4</v>
      </c>
      <c r="O923" s="9">
        <v>31.6</v>
      </c>
    </row>
    <row r="924" spans="1:15" ht="15" thickBot="1" x14ac:dyDescent="0.4">
      <c r="A924" t="str">
        <f t="shared" si="314"/>
        <v>FC130</v>
      </c>
      <c r="B924" t="str">
        <f t="shared" si="311"/>
        <v>CPAC North</v>
      </c>
      <c r="C924" s="18"/>
      <c r="D924" s="18"/>
      <c r="E924" s="18"/>
      <c r="F924" s="18"/>
      <c r="G924" s="18"/>
      <c r="H924" s="28"/>
      <c r="I924" s="5" t="s">
        <v>21</v>
      </c>
      <c r="J924" s="9">
        <v>0.69</v>
      </c>
      <c r="K924" s="9">
        <v>0.61</v>
      </c>
      <c r="L924" s="10">
        <v>1.43</v>
      </c>
      <c r="M924" s="10">
        <v>1.46</v>
      </c>
      <c r="N924" s="10">
        <v>1.27</v>
      </c>
      <c r="O924" s="9">
        <v>0.74</v>
      </c>
    </row>
    <row r="925" spans="1:15" ht="15" thickBot="1" x14ac:dyDescent="0.4">
      <c r="A925" t="str">
        <f t="shared" si="315"/>
        <v>FC130</v>
      </c>
      <c r="B925" t="str">
        <f t="shared" si="311"/>
        <v>CPAC North</v>
      </c>
      <c r="C925" s="19"/>
      <c r="D925" s="19"/>
      <c r="E925" s="19"/>
      <c r="F925" s="19"/>
      <c r="G925" s="19"/>
      <c r="H925" s="29"/>
      <c r="I925" s="3" t="s">
        <v>22</v>
      </c>
      <c r="J925" s="9" t="s">
        <v>25</v>
      </c>
      <c r="K925" s="9" t="s">
        <v>25</v>
      </c>
      <c r="L925" s="11"/>
      <c r="M925" s="11"/>
      <c r="N925" s="10" t="s">
        <v>24</v>
      </c>
      <c r="O925" s="11"/>
    </row>
    <row r="926" spans="1:15" ht="15" thickBot="1" x14ac:dyDescent="0.4">
      <c r="B926" t="str">
        <f t="shared" si="311"/>
        <v>CPAC North</v>
      </c>
      <c r="C926" s="16"/>
      <c r="D926" s="16"/>
      <c r="E926" s="16"/>
      <c r="F926" s="16"/>
      <c r="G926" s="16" t="s">
        <v>230</v>
      </c>
      <c r="H926" s="27" t="s">
        <v>34</v>
      </c>
      <c r="I926" s="1"/>
      <c r="J926" s="1"/>
      <c r="K926" s="1"/>
      <c r="L926" s="1"/>
      <c r="M926" s="1"/>
      <c r="N926" s="1"/>
      <c r="O926" s="1"/>
    </row>
    <row r="927" spans="1:15" ht="15" thickBot="1" x14ac:dyDescent="0.4">
      <c r="A927" t="str">
        <f t="shared" si="310"/>
        <v>FC259</v>
      </c>
      <c r="B927" t="str">
        <f t="shared" si="311"/>
        <v>CPAC North</v>
      </c>
      <c r="C927" s="18"/>
      <c r="D927" s="18"/>
      <c r="E927" s="18"/>
      <c r="F927" s="18"/>
      <c r="G927" s="18"/>
      <c r="H927" s="28"/>
      <c r="I927" s="3" t="s">
        <v>18</v>
      </c>
      <c r="J927" s="4">
        <v>40</v>
      </c>
      <c r="K927" s="4">
        <v>38</v>
      </c>
      <c r="L927" s="4">
        <v>34</v>
      </c>
      <c r="M927" s="4">
        <v>30</v>
      </c>
      <c r="N927" s="4">
        <v>38</v>
      </c>
      <c r="O927" s="4">
        <v>38</v>
      </c>
    </row>
    <row r="928" spans="1:15" ht="15" thickBot="1" x14ac:dyDescent="0.4">
      <c r="A928" t="str">
        <f t="shared" si="312"/>
        <v>FC259</v>
      </c>
      <c r="B928" t="str">
        <f t="shared" si="311"/>
        <v>CPAC North</v>
      </c>
      <c r="C928" s="18"/>
      <c r="D928" s="18"/>
      <c r="E928" s="18"/>
      <c r="F928" s="18"/>
      <c r="G928" s="18"/>
      <c r="H928" s="28"/>
      <c r="I928" s="5" t="s">
        <v>19</v>
      </c>
      <c r="J928" s="9">
        <v>102</v>
      </c>
      <c r="K928" s="7">
        <v>75</v>
      </c>
      <c r="L928" s="8">
        <v>49</v>
      </c>
      <c r="M928" s="6">
        <v>59</v>
      </c>
      <c r="N928" s="6">
        <v>57</v>
      </c>
      <c r="O928" s="6">
        <v>52</v>
      </c>
    </row>
    <row r="929" spans="1:15" ht="15" thickBot="1" x14ac:dyDescent="0.4">
      <c r="A929" t="str">
        <f t="shared" si="313"/>
        <v>FC259</v>
      </c>
      <c r="B929" t="str">
        <f t="shared" si="311"/>
        <v>CPAC North</v>
      </c>
      <c r="C929" s="18"/>
      <c r="D929" s="18"/>
      <c r="E929" s="18"/>
      <c r="F929" s="18"/>
      <c r="G929" s="18"/>
      <c r="H929" s="28"/>
      <c r="I929" s="3" t="s">
        <v>20</v>
      </c>
      <c r="J929" s="7">
        <v>34.799999999999997</v>
      </c>
      <c r="K929" s="9">
        <v>29.7</v>
      </c>
      <c r="L929" s="10">
        <v>12.8</v>
      </c>
      <c r="M929" s="9">
        <v>31.5</v>
      </c>
      <c r="N929" s="10">
        <v>16.399999999999999</v>
      </c>
      <c r="O929" s="10">
        <v>22.4</v>
      </c>
    </row>
    <row r="930" spans="1:15" ht="15" thickBot="1" x14ac:dyDescent="0.4">
      <c r="A930" t="str">
        <f t="shared" si="314"/>
        <v>FC259</v>
      </c>
      <c r="B930" t="str">
        <f t="shared" si="311"/>
        <v>CPAC North</v>
      </c>
      <c r="C930" s="18"/>
      <c r="D930" s="18"/>
      <c r="E930" s="18"/>
      <c r="F930" s="18"/>
      <c r="G930" s="18"/>
      <c r="H930" s="28"/>
      <c r="I930" s="5" t="s">
        <v>21</v>
      </c>
      <c r="J930" s="10">
        <v>0.98</v>
      </c>
      <c r="K930" s="10">
        <v>0.84</v>
      </c>
      <c r="L930" s="10">
        <v>1.27</v>
      </c>
      <c r="M930" s="9">
        <v>0.62</v>
      </c>
      <c r="N930" s="10">
        <v>1.1599999999999999</v>
      </c>
      <c r="O930" s="9">
        <v>0.78</v>
      </c>
    </row>
    <row r="931" spans="1:15" ht="15" thickBot="1" x14ac:dyDescent="0.4">
      <c r="A931" t="str">
        <f t="shared" si="315"/>
        <v>FC259</v>
      </c>
      <c r="B931" t="str">
        <f t="shared" si="311"/>
        <v>CPAC North</v>
      </c>
      <c r="C931" s="19"/>
      <c r="D931" s="19"/>
      <c r="E931" s="19"/>
      <c r="F931" s="19"/>
      <c r="G931" s="19"/>
      <c r="H931" s="29"/>
      <c r="I931" s="3" t="s">
        <v>22</v>
      </c>
      <c r="J931" s="10" t="s">
        <v>24</v>
      </c>
      <c r="K931" s="11"/>
      <c r="L931" s="10" t="s">
        <v>24</v>
      </c>
      <c r="M931" s="9" t="s">
        <v>25</v>
      </c>
      <c r="N931" s="10" t="s">
        <v>24</v>
      </c>
      <c r="O931" s="9" t="s">
        <v>25</v>
      </c>
    </row>
    <row r="932" spans="1:15" ht="15" thickBot="1" x14ac:dyDescent="0.4">
      <c r="B932" t="str">
        <f t="shared" si="311"/>
        <v>CPAC North</v>
      </c>
      <c r="C932" s="16"/>
      <c r="D932" s="16"/>
      <c r="E932" s="16"/>
      <c r="F932" s="16"/>
      <c r="G932" s="16" t="s">
        <v>231</v>
      </c>
      <c r="H932" s="27" t="s">
        <v>34</v>
      </c>
      <c r="I932" s="1"/>
      <c r="J932" s="1"/>
      <c r="K932" s="1"/>
      <c r="L932" s="1"/>
      <c r="M932" s="1"/>
      <c r="N932" s="1"/>
      <c r="O932" s="1"/>
    </row>
    <row r="933" spans="1:15" ht="15" thickBot="1" x14ac:dyDescent="0.4">
      <c r="A933" t="str">
        <f t="shared" si="310"/>
        <v>FC165</v>
      </c>
      <c r="B933" t="str">
        <f t="shared" si="311"/>
        <v>CPAC North</v>
      </c>
      <c r="C933" s="18"/>
      <c r="D933" s="18"/>
      <c r="E933" s="18"/>
      <c r="F933" s="18"/>
      <c r="G933" s="18"/>
      <c r="H933" s="28"/>
      <c r="I933" s="3" t="s">
        <v>18</v>
      </c>
      <c r="J933" s="4">
        <v>33</v>
      </c>
      <c r="K933" s="4">
        <v>33</v>
      </c>
      <c r="L933" s="4">
        <v>47</v>
      </c>
      <c r="M933" s="4">
        <v>33</v>
      </c>
      <c r="N933" s="8">
        <v>15</v>
      </c>
      <c r="O933" s="4">
        <v>49</v>
      </c>
    </row>
    <row r="934" spans="1:15" ht="15" thickBot="1" x14ac:dyDescent="0.4">
      <c r="A934" t="str">
        <f t="shared" si="312"/>
        <v>FC165</v>
      </c>
      <c r="B934" t="str">
        <f t="shared" si="311"/>
        <v>CPAC North</v>
      </c>
      <c r="C934" s="18"/>
      <c r="D934" s="18"/>
      <c r="E934" s="18"/>
      <c r="F934" s="18"/>
      <c r="G934" s="18"/>
      <c r="H934" s="28"/>
      <c r="I934" s="5" t="s">
        <v>19</v>
      </c>
      <c r="J934" s="9">
        <v>91</v>
      </c>
      <c r="K934" s="7">
        <v>87</v>
      </c>
      <c r="L934" s="9">
        <v>93</v>
      </c>
      <c r="M934" s="9">
        <v>103</v>
      </c>
      <c r="N934" s="9">
        <v>108</v>
      </c>
      <c r="O934" s="7">
        <v>90</v>
      </c>
    </row>
    <row r="935" spans="1:15" ht="15" thickBot="1" x14ac:dyDescent="0.4">
      <c r="A935" t="str">
        <f t="shared" si="313"/>
        <v>FC165</v>
      </c>
      <c r="B935" t="str">
        <f t="shared" si="311"/>
        <v>CPAC North</v>
      </c>
      <c r="C935" s="18"/>
      <c r="D935" s="18"/>
      <c r="E935" s="18"/>
      <c r="F935" s="18"/>
      <c r="G935" s="18"/>
      <c r="H935" s="28"/>
      <c r="I935" s="3" t="s">
        <v>20</v>
      </c>
      <c r="J935" s="10">
        <v>14.3</v>
      </c>
      <c r="K935" s="10">
        <v>10.7</v>
      </c>
      <c r="L935" s="10">
        <v>12.4</v>
      </c>
      <c r="M935" s="10">
        <v>11.1</v>
      </c>
      <c r="N935" s="10">
        <v>12.6</v>
      </c>
      <c r="O935" s="10">
        <v>12</v>
      </c>
    </row>
    <row r="936" spans="1:15" ht="15" thickBot="1" x14ac:dyDescent="0.4">
      <c r="A936" t="str">
        <f t="shared" si="314"/>
        <v>FC165</v>
      </c>
      <c r="B936" t="str">
        <f t="shared" si="311"/>
        <v>CPAC North</v>
      </c>
      <c r="C936" s="18"/>
      <c r="D936" s="18"/>
      <c r="E936" s="18"/>
      <c r="F936" s="18"/>
      <c r="G936" s="18"/>
      <c r="H936" s="28"/>
      <c r="I936" s="5" t="s">
        <v>21</v>
      </c>
      <c r="J936" s="10">
        <v>2.11</v>
      </c>
      <c r="K936" s="10">
        <v>2.72</v>
      </c>
      <c r="L936" s="10">
        <v>2.5</v>
      </c>
      <c r="M936" s="10">
        <v>3.09</v>
      </c>
      <c r="N936" s="10">
        <v>2.84</v>
      </c>
      <c r="O936" s="10">
        <v>2.52</v>
      </c>
    </row>
    <row r="937" spans="1:15" ht="15" thickBot="1" x14ac:dyDescent="0.4">
      <c r="A937" t="str">
        <f t="shared" si="315"/>
        <v>FC165</v>
      </c>
      <c r="B937" t="str">
        <f t="shared" si="311"/>
        <v>CPAC North</v>
      </c>
      <c r="C937" s="19"/>
      <c r="D937" s="19"/>
      <c r="E937" s="19"/>
      <c r="F937" s="19"/>
      <c r="G937" s="19"/>
      <c r="H937" s="29"/>
      <c r="I937" s="3" t="s">
        <v>22</v>
      </c>
      <c r="J937" s="10" t="s">
        <v>24</v>
      </c>
      <c r="K937" s="10" t="s">
        <v>24</v>
      </c>
      <c r="L937" s="10" t="s">
        <v>24</v>
      </c>
      <c r="M937" s="10" t="s">
        <v>24</v>
      </c>
      <c r="N937" s="10" t="s">
        <v>24</v>
      </c>
      <c r="O937" s="11"/>
    </row>
    <row r="938" spans="1:15" ht="15" thickBot="1" x14ac:dyDescent="0.4">
      <c r="B938" t="str">
        <f t="shared" si="311"/>
        <v>CPAC North</v>
      </c>
      <c r="C938" s="16"/>
      <c r="D938" s="16"/>
      <c r="E938" s="16"/>
      <c r="F938" s="16"/>
      <c r="G938" s="16" t="s">
        <v>232</v>
      </c>
      <c r="H938" s="30" t="s">
        <v>39</v>
      </c>
      <c r="I938" s="1"/>
      <c r="J938" s="1"/>
      <c r="K938" s="1"/>
      <c r="L938" s="1"/>
      <c r="M938" s="1"/>
      <c r="N938" s="1"/>
      <c r="O938" s="1"/>
    </row>
    <row r="939" spans="1:15" ht="15" thickBot="1" x14ac:dyDescent="0.4">
      <c r="A939" t="str">
        <f t="shared" si="310"/>
        <v>FC025</v>
      </c>
      <c r="B939" t="str">
        <f t="shared" si="311"/>
        <v>CPAC North</v>
      </c>
      <c r="C939" s="18"/>
      <c r="D939" s="18"/>
      <c r="E939" s="18"/>
      <c r="F939" s="18"/>
      <c r="G939" s="18"/>
      <c r="H939" s="31"/>
      <c r="I939" s="3" t="s">
        <v>18</v>
      </c>
      <c r="J939" s="4">
        <v>39</v>
      </c>
      <c r="K939" s="4">
        <v>33</v>
      </c>
      <c r="L939" s="4">
        <v>45</v>
      </c>
      <c r="M939" s="4">
        <v>36</v>
      </c>
      <c r="N939" s="4">
        <v>36</v>
      </c>
      <c r="O939" s="4">
        <v>45</v>
      </c>
    </row>
    <row r="940" spans="1:15" ht="15" thickBot="1" x14ac:dyDescent="0.4">
      <c r="A940" t="str">
        <f t="shared" si="312"/>
        <v>FC025</v>
      </c>
      <c r="B940" t="str">
        <f t="shared" si="311"/>
        <v>CPAC North</v>
      </c>
      <c r="C940" s="18"/>
      <c r="D940" s="18"/>
      <c r="E940" s="18"/>
      <c r="F940" s="18"/>
      <c r="G940" s="18"/>
      <c r="H940" s="31"/>
      <c r="I940" s="5" t="s">
        <v>19</v>
      </c>
      <c r="J940" s="9">
        <v>100</v>
      </c>
      <c r="K940" s="7">
        <v>90</v>
      </c>
      <c r="L940" s="9">
        <v>93</v>
      </c>
      <c r="M940" s="7">
        <v>88</v>
      </c>
      <c r="N940" s="9">
        <v>97</v>
      </c>
      <c r="O940" s="7">
        <v>75</v>
      </c>
    </row>
    <row r="941" spans="1:15" ht="15" thickBot="1" x14ac:dyDescent="0.4">
      <c r="A941" t="str">
        <f t="shared" si="313"/>
        <v>FC025</v>
      </c>
      <c r="B941" t="str">
        <f t="shared" si="311"/>
        <v>CPAC North</v>
      </c>
      <c r="C941" s="18"/>
      <c r="D941" s="18"/>
      <c r="E941" s="18"/>
      <c r="F941" s="18"/>
      <c r="G941" s="18"/>
      <c r="H941" s="31"/>
      <c r="I941" s="3" t="s">
        <v>20</v>
      </c>
      <c r="J941" s="7">
        <v>38.200000000000003</v>
      </c>
      <c r="K941" s="7">
        <v>34.9</v>
      </c>
      <c r="L941" s="10">
        <v>23.6</v>
      </c>
      <c r="M941" s="10">
        <v>23.2</v>
      </c>
      <c r="N941" s="10">
        <v>10.6</v>
      </c>
      <c r="O941" s="10">
        <v>22.9</v>
      </c>
    </row>
    <row r="942" spans="1:15" ht="15" thickBot="1" x14ac:dyDescent="0.4">
      <c r="A942" t="str">
        <f t="shared" si="314"/>
        <v>FC025</v>
      </c>
      <c r="B942" t="str">
        <f t="shared" si="311"/>
        <v>CPAC North</v>
      </c>
      <c r="C942" s="18"/>
      <c r="D942" s="18"/>
      <c r="E942" s="18"/>
      <c r="F942" s="18"/>
      <c r="G942" s="18"/>
      <c r="H942" s="31"/>
      <c r="I942" s="5" t="s">
        <v>21</v>
      </c>
      <c r="J942" s="10">
        <v>0.87</v>
      </c>
      <c r="K942" s="10">
        <v>0.86</v>
      </c>
      <c r="L942" s="10">
        <v>1.32</v>
      </c>
      <c r="M942" s="10">
        <v>1.27</v>
      </c>
      <c r="N942" s="10">
        <v>3.05</v>
      </c>
      <c r="O942" s="10">
        <v>1.0900000000000001</v>
      </c>
    </row>
    <row r="943" spans="1:15" ht="15" thickBot="1" x14ac:dyDescent="0.4">
      <c r="A943" t="str">
        <f t="shared" si="315"/>
        <v>FC025</v>
      </c>
      <c r="B943" t="str">
        <f t="shared" si="311"/>
        <v>CPAC North</v>
      </c>
      <c r="C943" s="19"/>
      <c r="D943" s="19"/>
      <c r="E943" s="19"/>
      <c r="F943" s="19"/>
      <c r="G943" s="19"/>
      <c r="H943" s="32"/>
      <c r="I943" s="3" t="s">
        <v>22</v>
      </c>
      <c r="J943" s="10" t="s">
        <v>24</v>
      </c>
      <c r="K943" s="10" t="s">
        <v>24</v>
      </c>
      <c r="L943" s="10" t="s">
        <v>24</v>
      </c>
      <c r="M943" s="10" t="s">
        <v>24</v>
      </c>
      <c r="N943" s="10" t="s">
        <v>24</v>
      </c>
      <c r="O943" s="10" t="s">
        <v>24</v>
      </c>
    </row>
    <row r="944" spans="1:15" ht="15" thickBot="1" x14ac:dyDescent="0.4">
      <c r="B944" t="str">
        <f t="shared" si="311"/>
        <v>CPAC North</v>
      </c>
      <c r="C944" s="16"/>
      <c r="D944" s="16"/>
      <c r="E944" s="16"/>
      <c r="F944" s="16"/>
      <c r="G944" s="16" t="s">
        <v>233</v>
      </c>
      <c r="H944" s="27" t="s">
        <v>34</v>
      </c>
      <c r="I944" s="1"/>
      <c r="J944" s="1"/>
      <c r="K944" s="1"/>
      <c r="L944" s="1"/>
      <c r="M944" s="1"/>
      <c r="N944" s="1"/>
      <c r="O944" s="1"/>
    </row>
    <row r="945" spans="1:15" ht="15" thickBot="1" x14ac:dyDescent="0.4">
      <c r="A945" t="str">
        <f t="shared" si="310"/>
        <v>FC053</v>
      </c>
      <c r="B945" t="str">
        <f t="shared" si="311"/>
        <v>CPAC North</v>
      </c>
      <c r="C945" s="18"/>
      <c r="D945" s="18"/>
      <c r="E945" s="18"/>
      <c r="F945" s="18"/>
      <c r="G945" s="18"/>
      <c r="H945" s="28"/>
      <c r="I945" s="3" t="s">
        <v>18</v>
      </c>
      <c r="J945" s="4">
        <v>40</v>
      </c>
      <c r="K945" s="4">
        <v>30</v>
      </c>
      <c r="L945" s="4">
        <v>40</v>
      </c>
      <c r="M945" s="4">
        <v>32</v>
      </c>
      <c r="N945" s="4">
        <v>38</v>
      </c>
      <c r="O945" s="4">
        <v>38</v>
      </c>
    </row>
    <row r="946" spans="1:15" ht="15" thickBot="1" x14ac:dyDescent="0.4">
      <c r="A946" t="str">
        <f t="shared" si="312"/>
        <v>FC053</v>
      </c>
      <c r="B946" t="str">
        <f t="shared" si="311"/>
        <v>CPAC North</v>
      </c>
      <c r="C946" s="18"/>
      <c r="D946" s="18"/>
      <c r="E946" s="18"/>
      <c r="F946" s="18"/>
      <c r="G946" s="18"/>
      <c r="H946" s="28"/>
      <c r="I946" s="5" t="s">
        <v>19</v>
      </c>
      <c r="J946" s="6">
        <v>61</v>
      </c>
      <c r="K946" s="6">
        <v>68</v>
      </c>
      <c r="L946" s="7">
        <v>82</v>
      </c>
      <c r="M946" s="7">
        <v>78</v>
      </c>
      <c r="N946" s="6">
        <v>54</v>
      </c>
      <c r="O946" s="6">
        <v>53</v>
      </c>
    </row>
    <row r="947" spans="1:15" ht="15" thickBot="1" x14ac:dyDescent="0.4">
      <c r="A947" t="str">
        <f t="shared" si="313"/>
        <v>FC053</v>
      </c>
      <c r="B947" t="str">
        <f t="shared" si="311"/>
        <v>CPAC North</v>
      </c>
      <c r="C947" s="18"/>
      <c r="D947" s="18"/>
      <c r="E947" s="18"/>
      <c r="F947" s="18"/>
      <c r="G947" s="18"/>
      <c r="H947" s="28"/>
      <c r="I947" s="3" t="s">
        <v>20</v>
      </c>
      <c r="J947" s="10">
        <v>28</v>
      </c>
      <c r="K947" s="9">
        <v>28.6</v>
      </c>
      <c r="L947" s="10">
        <v>21.9</v>
      </c>
      <c r="M947" s="9">
        <v>34.200000000000003</v>
      </c>
      <c r="N947" s="10">
        <v>13.1</v>
      </c>
      <c r="O947" s="10">
        <v>27.3</v>
      </c>
    </row>
    <row r="948" spans="1:15" ht="15" thickBot="1" x14ac:dyDescent="0.4">
      <c r="A948" t="str">
        <f t="shared" si="314"/>
        <v>FC053</v>
      </c>
      <c r="B948" t="str">
        <f t="shared" si="311"/>
        <v>CPAC North</v>
      </c>
      <c r="C948" s="18"/>
      <c r="D948" s="18"/>
      <c r="E948" s="18"/>
      <c r="F948" s="18"/>
      <c r="G948" s="18"/>
      <c r="H948" s="28"/>
      <c r="I948" s="5" t="s">
        <v>21</v>
      </c>
      <c r="J948" s="9">
        <v>0.72</v>
      </c>
      <c r="K948" s="10">
        <v>0.8</v>
      </c>
      <c r="L948" s="10">
        <v>1.24</v>
      </c>
      <c r="M948" s="9">
        <v>0.76</v>
      </c>
      <c r="N948" s="10">
        <v>1.37</v>
      </c>
      <c r="O948" s="9">
        <v>0.64</v>
      </c>
    </row>
    <row r="949" spans="1:15" ht="15" thickBot="1" x14ac:dyDescent="0.4">
      <c r="A949" t="str">
        <f t="shared" si="315"/>
        <v>FC053</v>
      </c>
      <c r="B949" t="str">
        <f t="shared" si="311"/>
        <v>CPAC North</v>
      </c>
      <c r="C949" s="19"/>
      <c r="D949" s="19"/>
      <c r="E949" s="19"/>
      <c r="F949" s="19"/>
      <c r="G949" s="19"/>
      <c r="H949" s="29"/>
      <c r="I949" s="3" t="s">
        <v>22</v>
      </c>
      <c r="J949" s="9" t="s">
        <v>25</v>
      </c>
      <c r="K949" s="10" t="s">
        <v>24</v>
      </c>
      <c r="L949" s="11"/>
      <c r="M949" s="10" t="s">
        <v>24</v>
      </c>
      <c r="N949" s="10" t="s">
        <v>24</v>
      </c>
      <c r="O949" s="9" t="s">
        <v>25</v>
      </c>
    </row>
    <row r="950" spans="1:15" ht="15" thickBot="1" x14ac:dyDescent="0.4">
      <c r="B950" t="str">
        <f t="shared" si="311"/>
        <v>CPAC North</v>
      </c>
      <c r="C950" s="16"/>
      <c r="D950" s="16"/>
      <c r="E950" s="16"/>
      <c r="F950" s="16"/>
      <c r="G950" s="16" t="s">
        <v>234</v>
      </c>
      <c r="H950" s="27" t="s">
        <v>34</v>
      </c>
      <c r="I950" s="1"/>
      <c r="J950" s="1"/>
      <c r="K950" s="1"/>
      <c r="L950" s="1"/>
      <c r="M950" s="1"/>
      <c r="N950" s="1"/>
      <c r="O950" s="1"/>
    </row>
    <row r="951" spans="1:15" ht="15" thickBot="1" x14ac:dyDescent="0.4">
      <c r="A951" t="str">
        <f t="shared" si="310"/>
        <v>FC051</v>
      </c>
      <c r="B951" t="str">
        <f t="shared" si="311"/>
        <v>CPAC North</v>
      </c>
      <c r="C951" s="18"/>
      <c r="D951" s="18"/>
      <c r="E951" s="18"/>
      <c r="F951" s="18"/>
      <c r="G951" s="18"/>
      <c r="H951" s="28"/>
      <c r="I951" s="3" t="s">
        <v>18</v>
      </c>
      <c r="J951" s="4">
        <v>32</v>
      </c>
      <c r="K951" s="4">
        <v>34</v>
      </c>
      <c r="L951" s="4">
        <v>36</v>
      </c>
      <c r="M951" s="4">
        <v>40</v>
      </c>
      <c r="N951" s="4">
        <v>42</v>
      </c>
      <c r="O951" s="4">
        <v>40</v>
      </c>
    </row>
    <row r="952" spans="1:15" ht="15" thickBot="1" x14ac:dyDescent="0.4">
      <c r="A952" t="str">
        <f t="shared" si="312"/>
        <v>FC051</v>
      </c>
      <c r="B952" t="str">
        <f t="shared" si="311"/>
        <v>CPAC North</v>
      </c>
      <c r="C952" s="18"/>
      <c r="D952" s="18"/>
      <c r="E952" s="18"/>
      <c r="F952" s="18"/>
      <c r="G952" s="18"/>
      <c r="H952" s="28"/>
      <c r="I952" s="5" t="s">
        <v>19</v>
      </c>
      <c r="J952" s="7">
        <v>71</v>
      </c>
      <c r="K952" s="9">
        <v>94</v>
      </c>
      <c r="L952" s="9">
        <v>98</v>
      </c>
      <c r="M952" s="7">
        <v>84</v>
      </c>
      <c r="N952" s="7">
        <v>89</v>
      </c>
      <c r="O952" s="6">
        <v>67</v>
      </c>
    </row>
    <row r="953" spans="1:15" ht="15" thickBot="1" x14ac:dyDescent="0.4">
      <c r="A953" t="str">
        <f t="shared" si="313"/>
        <v>FC051</v>
      </c>
      <c r="B953" t="str">
        <f t="shared" si="311"/>
        <v>CPAC North</v>
      </c>
      <c r="C953" s="18"/>
      <c r="D953" s="18"/>
      <c r="E953" s="18"/>
      <c r="F953" s="18"/>
      <c r="G953" s="18"/>
      <c r="H953" s="28"/>
      <c r="I953" s="3" t="s">
        <v>20</v>
      </c>
      <c r="J953" s="9">
        <v>30.8</v>
      </c>
      <c r="K953" s="10">
        <v>21.1</v>
      </c>
      <c r="L953" s="10">
        <v>28.2</v>
      </c>
      <c r="M953" s="7">
        <v>36.1</v>
      </c>
      <c r="N953" s="9">
        <v>32.5</v>
      </c>
      <c r="O953" s="7">
        <v>38.299999999999997</v>
      </c>
    </row>
    <row r="954" spans="1:15" ht="15" thickBot="1" x14ac:dyDescent="0.4">
      <c r="A954" t="str">
        <f t="shared" si="314"/>
        <v>FC051</v>
      </c>
      <c r="B954" t="str">
        <f t="shared" si="311"/>
        <v>CPAC North</v>
      </c>
      <c r="C954" s="18"/>
      <c r="D954" s="18"/>
      <c r="E954" s="18"/>
      <c r="F954" s="18"/>
      <c r="G954" s="18"/>
      <c r="H954" s="28"/>
      <c r="I954" s="5" t="s">
        <v>21</v>
      </c>
      <c r="J954" s="9">
        <v>0.77</v>
      </c>
      <c r="K954" s="10">
        <v>1.48</v>
      </c>
      <c r="L954" s="10">
        <v>1.1599999999999999</v>
      </c>
      <c r="M954" s="9">
        <v>0.77</v>
      </c>
      <c r="N954" s="10">
        <v>0.91</v>
      </c>
      <c r="O954" s="9">
        <v>0.57999999999999996</v>
      </c>
    </row>
    <row r="955" spans="1:15" ht="15" thickBot="1" x14ac:dyDescent="0.4">
      <c r="A955" t="str">
        <f t="shared" si="315"/>
        <v>FC051</v>
      </c>
      <c r="B955" t="str">
        <f t="shared" si="311"/>
        <v>CPAC North</v>
      </c>
      <c r="C955" s="19"/>
      <c r="D955" s="19"/>
      <c r="E955" s="19"/>
      <c r="F955" s="19"/>
      <c r="G955" s="19"/>
      <c r="H955" s="29"/>
      <c r="I955" s="3" t="s">
        <v>22</v>
      </c>
      <c r="J955" s="9" t="s">
        <v>25</v>
      </c>
      <c r="K955" s="10" t="s">
        <v>24</v>
      </c>
      <c r="L955" s="10" t="s">
        <v>24</v>
      </c>
      <c r="M955" s="10" t="s">
        <v>24</v>
      </c>
      <c r="N955" s="10" t="s">
        <v>24</v>
      </c>
      <c r="O955" s="9" t="s">
        <v>25</v>
      </c>
    </row>
    <row r="956" spans="1:15" ht="15" thickBot="1" x14ac:dyDescent="0.4">
      <c r="B956" t="str">
        <f t="shared" si="311"/>
        <v>CPAC North</v>
      </c>
      <c r="C956" s="16"/>
      <c r="D956" s="16"/>
      <c r="E956" s="16"/>
      <c r="F956" s="16"/>
      <c r="G956" s="16" t="s">
        <v>235</v>
      </c>
      <c r="H956" s="30" t="s">
        <v>39</v>
      </c>
      <c r="I956" s="1"/>
      <c r="J956" s="1"/>
      <c r="K956" s="1"/>
      <c r="L956" s="1"/>
      <c r="M956" s="1"/>
      <c r="N956" s="1"/>
      <c r="O956" s="1"/>
    </row>
    <row r="957" spans="1:15" ht="15" thickBot="1" x14ac:dyDescent="0.4">
      <c r="A957" t="str">
        <f t="shared" si="310"/>
        <v>FC278</v>
      </c>
      <c r="B957" t="str">
        <f t="shared" si="311"/>
        <v>CPAC North</v>
      </c>
      <c r="C957" s="18"/>
      <c r="D957" s="18"/>
      <c r="E957" s="18"/>
      <c r="F957" s="18"/>
      <c r="G957" s="18"/>
      <c r="H957" s="31"/>
      <c r="I957" s="3" t="s">
        <v>18</v>
      </c>
      <c r="J957" s="4">
        <v>38</v>
      </c>
      <c r="K957" s="4">
        <v>34</v>
      </c>
      <c r="L957" s="4">
        <v>34</v>
      </c>
      <c r="M957" s="4">
        <v>36</v>
      </c>
      <c r="N957" s="4">
        <v>38</v>
      </c>
      <c r="O957" s="4">
        <v>38</v>
      </c>
    </row>
    <row r="958" spans="1:15" ht="15" thickBot="1" x14ac:dyDescent="0.4">
      <c r="A958" t="str">
        <f t="shared" si="312"/>
        <v>FC278</v>
      </c>
      <c r="B958" t="str">
        <f t="shared" si="311"/>
        <v>CPAC North</v>
      </c>
      <c r="C958" s="18"/>
      <c r="D958" s="18"/>
      <c r="E958" s="18"/>
      <c r="F958" s="18"/>
      <c r="G958" s="18"/>
      <c r="H958" s="31"/>
      <c r="I958" s="5" t="s">
        <v>19</v>
      </c>
      <c r="J958" s="6">
        <v>58</v>
      </c>
      <c r="K958" s="7">
        <v>80</v>
      </c>
      <c r="L958" s="7">
        <v>75</v>
      </c>
      <c r="M958" s="6">
        <v>63</v>
      </c>
      <c r="N958" s="6">
        <v>68</v>
      </c>
      <c r="O958" s="6">
        <v>50</v>
      </c>
    </row>
    <row r="959" spans="1:15" ht="15" thickBot="1" x14ac:dyDescent="0.4">
      <c r="A959" t="str">
        <f t="shared" si="313"/>
        <v>FC278</v>
      </c>
      <c r="B959" t="str">
        <f t="shared" si="311"/>
        <v>CPAC North</v>
      </c>
      <c r="C959" s="18"/>
      <c r="D959" s="18"/>
      <c r="E959" s="18"/>
      <c r="F959" s="18"/>
      <c r="G959" s="18"/>
      <c r="H959" s="31"/>
      <c r="I959" s="3" t="s">
        <v>20</v>
      </c>
      <c r="J959" s="10">
        <v>26.7</v>
      </c>
      <c r="K959" s="10">
        <v>20.8</v>
      </c>
      <c r="L959" s="10">
        <v>18.2</v>
      </c>
      <c r="M959" s="10">
        <v>25</v>
      </c>
      <c r="N959" s="10">
        <v>23.1</v>
      </c>
      <c r="O959" s="10">
        <v>11.3</v>
      </c>
    </row>
    <row r="960" spans="1:15" ht="15" thickBot="1" x14ac:dyDescent="0.4">
      <c r="A960" t="str">
        <f t="shared" si="314"/>
        <v>FC278</v>
      </c>
      <c r="B960" t="str">
        <f t="shared" si="311"/>
        <v>CPAC North</v>
      </c>
      <c r="C960" s="18"/>
      <c r="D960" s="18"/>
      <c r="E960" s="18"/>
      <c r="F960" s="18"/>
      <c r="G960" s="18"/>
      <c r="H960" s="31"/>
      <c r="I960" s="5" t="s">
        <v>21</v>
      </c>
      <c r="J960" s="9">
        <v>0.73</v>
      </c>
      <c r="K960" s="10">
        <v>1.28</v>
      </c>
      <c r="L960" s="10">
        <v>1.37</v>
      </c>
      <c r="M960" s="10">
        <v>0.85</v>
      </c>
      <c r="N960" s="10">
        <v>0.98</v>
      </c>
      <c r="O960" s="10">
        <v>1.46</v>
      </c>
    </row>
    <row r="961" spans="1:15" ht="15" thickBot="1" x14ac:dyDescent="0.4">
      <c r="A961" t="str">
        <f t="shared" si="315"/>
        <v>FC278</v>
      </c>
      <c r="B961" t="str">
        <f t="shared" si="311"/>
        <v>CPAC North</v>
      </c>
      <c r="C961" s="19"/>
      <c r="D961" s="19"/>
      <c r="E961" s="19"/>
      <c r="F961" s="19"/>
      <c r="G961" s="19"/>
      <c r="H961" s="32"/>
      <c r="I961" s="3" t="s">
        <v>22</v>
      </c>
      <c r="J961" s="11"/>
      <c r="K961" s="11"/>
      <c r="L961" s="10" t="s">
        <v>24</v>
      </c>
      <c r="M961" s="10" t="s">
        <v>24</v>
      </c>
      <c r="N961" s="10" t="s">
        <v>24</v>
      </c>
      <c r="O961" s="10" t="s">
        <v>24</v>
      </c>
    </row>
    <row r="962" spans="1:15" ht="15" thickBot="1" x14ac:dyDescent="0.4">
      <c r="B962" t="str">
        <f t="shared" si="311"/>
        <v>CPAC North</v>
      </c>
      <c r="C962" s="16"/>
      <c r="D962" s="16"/>
      <c r="E962" s="16"/>
      <c r="F962" s="16"/>
      <c r="G962" s="16" t="s">
        <v>236</v>
      </c>
      <c r="H962" s="27" t="s">
        <v>34</v>
      </c>
      <c r="I962" s="1"/>
      <c r="J962" s="1"/>
      <c r="K962" s="1"/>
      <c r="L962" s="1"/>
      <c r="M962" s="1"/>
      <c r="N962" s="1"/>
      <c r="O962" s="1"/>
    </row>
    <row r="963" spans="1:15" ht="15" thickBot="1" x14ac:dyDescent="0.4">
      <c r="A963" t="str">
        <f t="shared" si="310"/>
        <v>FC036</v>
      </c>
      <c r="B963" t="str">
        <f t="shared" si="311"/>
        <v>CPAC North</v>
      </c>
      <c r="C963" s="18"/>
      <c r="D963" s="18"/>
      <c r="E963" s="18"/>
      <c r="F963" s="18"/>
      <c r="G963" s="18"/>
      <c r="H963" s="28"/>
      <c r="I963" s="3" t="s">
        <v>18</v>
      </c>
      <c r="J963" s="4">
        <v>40</v>
      </c>
      <c r="K963" s="4">
        <v>32</v>
      </c>
      <c r="L963" s="4">
        <v>38</v>
      </c>
      <c r="M963" s="4">
        <v>40</v>
      </c>
      <c r="N963" s="4">
        <v>40</v>
      </c>
      <c r="O963" s="4">
        <v>36</v>
      </c>
    </row>
    <row r="964" spans="1:15" ht="15" thickBot="1" x14ac:dyDescent="0.4">
      <c r="A964" t="str">
        <f t="shared" si="312"/>
        <v>FC036</v>
      </c>
      <c r="B964" t="str">
        <f t="shared" si="311"/>
        <v>CPAC North</v>
      </c>
      <c r="C964" s="18"/>
      <c r="D964" s="18"/>
      <c r="E964" s="18"/>
      <c r="F964" s="18"/>
      <c r="G964" s="18"/>
      <c r="H964" s="28"/>
      <c r="I964" s="5" t="s">
        <v>19</v>
      </c>
      <c r="J964" s="9">
        <v>92</v>
      </c>
      <c r="K964" s="7">
        <v>83</v>
      </c>
      <c r="L964" s="7">
        <v>76</v>
      </c>
      <c r="M964" s="7">
        <v>80</v>
      </c>
      <c r="N964" s="9">
        <v>97</v>
      </c>
      <c r="O964" s="7">
        <v>71</v>
      </c>
    </row>
    <row r="965" spans="1:15" ht="15" thickBot="1" x14ac:dyDescent="0.4">
      <c r="A965" t="str">
        <f t="shared" si="313"/>
        <v>FC036</v>
      </c>
      <c r="B965" t="str">
        <f t="shared" si="311"/>
        <v>CPAC North</v>
      </c>
      <c r="C965" s="18"/>
      <c r="D965" s="18"/>
      <c r="E965" s="18"/>
      <c r="F965" s="18"/>
      <c r="G965" s="18"/>
      <c r="H965" s="28"/>
      <c r="I965" s="3" t="s">
        <v>20</v>
      </c>
      <c r="J965" s="10">
        <v>22.6</v>
      </c>
      <c r="K965" s="10">
        <v>16.600000000000001</v>
      </c>
      <c r="L965" s="10">
        <v>20.8</v>
      </c>
      <c r="M965" s="10">
        <v>26.6</v>
      </c>
      <c r="N965" s="10">
        <v>23.8</v>
      </c>
      <c r="O965" s="9">
        <v>31.4</v>
      </c>
    </row>
    <row r="966" spans="1:15" ht="15" thickBot="1" x14ac:dyDescent="0.4">
      <c r="A966" t="str">
        <f t="shared" si="314"/>
        <v>FC036</v>
      </c>
      <c r="B966" t="str">
        <f t="shared" si="311"/>
        <v>CPAC North</v>
      </c>
      <c r="C966" s="18"/>
      <c r="D966" s="18"/>
      <c r="E966" s="18"/>
      <c r="F966" s="18"/>
      <c r="G966" s="18"/>
      <c r="H966" s="28"/>
      <c r="I966" s="5" t="s">
        <v>21</v>
      </c>
      <c r="J966" s="10">
        <v>1.36</v>
      </c>
      <c r="K966" s="10">
        <v>1.68</v>
      </c>
      <c r="L966" s="10">
        <v>1.23</v>
      </c>
      <c r="M966" s="10">
        <v>1</v>
      </c>
      <c r="N966" s="10">
        <v>1.35</v>
      </c>
      <c r="O966" s="9">
        <v>0.75</v>
      </c>
    </row>
    <row r="967" spans="1:15" ht="15" thickBot="1" x14ac:dyDescent="0.4">
      <c r="A967" t="str">
        <f t="shared" si="315"/>
        <v>FC036</v>
      </c>
      <c r="B967" t="str">
        <f t="shared" ref="B967:B979" si="316">$D$518</f>
        <v>CPAC North</v>
      </c>
      <c r="C967" s="19"/>
      <c r="D967" s="19"/>
      <c r="E967" s="19"/>
      <c r="F967" s="19"/>
      <c r="G967" s="19"/>
      <c r="H967" s="29"/>
      <c r="I967" s="3" t="s">
        <v>22</v>
      </c>
      <c r="J967" s="11"/>
      <c r="K967" s="10" t="s">
        <v>24</v>
      </c>
      <c r="L967" s="10" t="s">
        <v>24</v>
      </c>
      <c r="M967" s="10" t="s">
        <v>24</v>
      </c>
      <c r="N967" s="10" t="s">
        <v>24</v>
      </c>
      <c r="O967" s="9" t="s">
        <v>25</v>
      </c>
    </row>
    <row r="968" spans="1:15" ht="15" thickBot="1" x14ac:dyDescent="0.4">
      <c r="B968" t="str">
        <f t="shared" si="316"/>
        <v>CPAC North</v>
      </c>
      <c r="C968" s="16"/>
      <c r="D968" s="16"/>
      <c r="E968" s="16"/>
      <c r="F968" s="16"/>
      <c r="G968" s="16" t="s">
        <v>237</v>
      </c>
      <c r="H968" s="20" t="s">
        <v>17</v>
      </c>
      <c r="I968" s="1"/>
      <c r="J968" s="1"/>
      <c r="K968" s="1"/>
      <c r="L968" s="1"/>
      <c r="M968" s="1"/>
      <c r="N968" s="1"/>
      <c r="O968" s="1"/>
    </row>
    <row r="969" spans="1:15" ht="15" thickBot="1" x14ac:dyDescent="0.4">
      <c r="A969" t="str">
        <f t="shared" ref="A969:A1032" si="317">IF(LEFT(G968,2)="FC",LEFT(G968,5),LEFT(G968,4))</f>
        <v>FC101</v>
      </c>
      <c r="B969" t="str">
        <f t="shared" si="316"/>
        <v>CPAC North</v>
      </c>
      <c r="C969" s="18"/>
      <c r="D969" s="18"/>
      <c r="E969" s="18"/>
      <c r="F969" s="18"/>
      <c r="G969" s="18"/>
      <c r="H969" s="22"/>
      <c r="I969" s="3" t="s">
        <v>18</v>
      </c>
      <c r="J969" s="11"/>
      <c r="K969" s="4">
        <v>36</v>
      </c>
      <c r="L969" s="4">
        <v>42</v>
      </c>
      <c r="M969" s="4">
        <v>45</v>
      </c>
      <c r="N969" s="11"/>
      <c r="O969" s="4">
        <v>42</v>
      </c>
    </row>
    <row r="970" spans="1:15" ht="15" thickBot="1" x14ac:dyDescent="0.4">
      <c r="A970" t="str">
        <f t="shared" si="312"/>
        <v>FC101</v>
      </c>
      <c r="B970" t="str">
        <f t="shared" si="316"/>
        <v>CPAC North</v>
      </c>
      <c r="C970" s="18"/>
      <c r="D970" s="18"/>
      <c r="E970" s="18"/>
      <c r="F970" s="18"/>
      <c r="G970" s="18"/>
      <c r="H970" s="22"/>
      <c r="I970" s="5" t="s">
        <v>19</v>
      </c>
      <c r="J970" s="11"/>
      <c r="K970" s="7">
        <v>71</v>
      </c>
      <c r="L970" s="7">
        <v>75</v>
      </c>
      <c r="M970" s="9">
        <v>110</v>
      </c>
      <c r="N970" s="11"/>
      <c r="O970" s="9">
        <v>91</v>
      </c>
    </row>
    <row r="971" spans="1:15" ht="15" thickBot="1" x14ac:dyDescent="0.4">
      <c r="A971" t="str">
        <f t="shared" si="313"/>
        <v>FC101</v>
      </c>
      <c r="B971" t="str">
        <f t="shared" si="316"/>
        <v>CPAC North</v>
      </c>
      <c r="C971" s="18"/>
      <c r="D971" s="18"/>
      <c r="E971" s="18"/>
      <c r="F971" s="18"/>
      <c r="G971" s="18"/>
      <c r="H971" s="22"/>
      <c r="I971" s="3" t="s">
        <v>20</v>
      </c>
      <c r="J971" s="11"/>
      <c r="K971" s="10">
        <v>10.9</v>
      </c>
      <c r="L971" s="10">
        <v>11.2</v>
      </c>
      <c r="M971" s="10">
        <v>24.8</v>
      </c>
      <c r="N971" s="11"/>
      <c r="O971" s="9">
        <v>29.3</v>
      </c>
    </row>
    <row r="972" spans="1:15" ht="15" thickBot="1" x14ac:dyDescent="0.4">
      <c r="A972" t="str">
        <f t="shared" si="314"/>
        <v>FC101</v>
      </c>
      <c r="B972" t="str">
        <f t="shared" si="316"/>
        <v>CPAC North</v>
      </c>
      <c r="C972" s="18"/>
      <c r="D972" s="18"/>
      <c r="E972" s="18"/>
      <c r="F972" s="18"/>
      <c r="G972" s="18"/>
      <c r="H972" s="22"/>
      <c r="I972" s="5" t="s">
        <v>21</v>
      </c>
      <c r="J972" s="11"/>
      <c r="K972" s="10">
        <v>2.16</v>
      </c>
      <c r="L972" s="10">
        <v>2.23</v>
      </c>
      <c r="M972" s="10">
        <v>1.48</v>
      </c>
      <c r="N972" s="11"/>
      <c r="O972" s="10">
        <v>1.03</v>
      </c>
    </row>
    <row r="973" spans="1:15" ht="15" thickBot="1" x14ac:dyDescent="0.4">
      <c r="A973" t="str">
        <f t="shared" si="315"/>
        <v>FC101</v>
      </c>
      <c r="B973" t="str">
        <f t="shared" si="316"/>
        <v>CPAC North</v>
      </c>
      <c r="C973" s="33"/>
      <c r="D973" s="33"/>
      <c r="E973" s="33"/>
      <c r="F973" s="33"/>
      <c r="G973" s="33"/>
      <c r="H973" s="36"/>
      <c r="I973" s="12" t="s">
        <v>22</v>
      </c>
      <c r="J973" s="13" t="s">
        <v>27</v>
      </c>
      <c r="K973" s="13"/>
      <c r="L973" s="13"/>
      <c r="M973" s="13"/>
      <c r="N973" s="13" t="s">
        <v>27</v>
      </c>
      <c r="O973" s="13"/>
    </row>
    <row r="974" spans="1:15" ht="15" thickBot="1" x14ac:dyDescent="0.4">
      <c r="B974" t="str">
        <f>$D$974</f>
        <v>CPAC Northeast</v>
      </c>
      <c r="C974" s="17"/>
      <c r="D974" s="17" t="s">
        <v>238</v>
      </c>
      <c r="E974" s="17" t="s">
        <v>239</v>
      </c>
      <c r="F974" s="17" t="s">
        <v>240</v>
      </c>
      <c r="G974" s="17" t="s">
        <v>241</v>
      </c>
      <c r="H974" s="39" t="s">
        <v>39</v>
      </c>
      <c r="I974" s="1"/>
      <c r="J974" s="1"/>
      <c r="K974" s="1"/>
      <c r="L974" s="1"/>
      <c r="M974" s="1"/>
      <c r="N974" s="1"/>
      <c r="O974" s="1"/>
    </row>
    <row r="975" spans="1:15" ht="15" thickBot="1" x14ac:dyDescent="0.4">
      <c r="A975" t="str">
        <f t="shared" si="317"/>
        <v>FC339</v>
      </c>
      <c r="B975" t="str">
        <f t="shared" ref="B975:B1038" si="318">$D$974</f>
        <v>CPAC Northeast</v>
      </c>
      <c r="C975" s="18"/>
      <c r="D975" s="18"/>
      <c r="E975" s="18"/>
      <c r="F975" s="18"/>
      <c r="G975" s="18"/>
      <c r="H975" s="31"/>
      <c r="I975" s="3" t="s">
        <v>18</v>
      </c>
      <c r="J975" s="4">
        <v>50</v>
      </c>
      <c r="K975" s="4">
        <v>50</v>
      </c>
      <c r="L975" s="4">
        <v>50</v>
      </c>
      <c r="M975" s="4">
        <v>50</v>
      </c>
      <c r="N975" s="4">
        <v>50</v>
      </c>
      <c r="O975" s="4">
        <v>50</v>
      </c>
    </row>
    <row r="976" spans="1:15" ht="15" thickBot="1" x14ac:dyDescent="0.4">
      <c r="A976" t="str">
        <f t="shared" ref="A976:A1036" si="319">IF(LEFT(G974,2)="FC",LEFT(G974,5),LEFT(G974,4))</f>
        <v>FC339</v>
      </c>
      <c r="B976" t="str">
        <f t="shared" si="318"/>
        <v>CPAC Northeast</v>
      </c>
      <c r="C976" s="18"/>
      <c r="D976" s="18"/>
      <c r="E976" s="18"/>
      <c r="F976" s="18"/>
      <c r="G976" s="18"/>
      <c r="H976" s="31"/>
      <c r="I976" s="5" t="s">
        <v>19</v>
      </c>
      <c r="J976" s="7">
        <v>73</v>
      </c>
      <c r="K976" s="7">
        <v>82</v>
      </c>
      <c r="L976" s="6">
        <v>59</v>
      </c>
      <c r="M976" s="7">
        <v>76</v>
      </c>
      <c r="N976" s="7">
        <v>85</v>
      </c>
      <c r="O976" s="7">
        <v>79</v>
      </c>
    </row>
    <row r="977" spans="1:15" ht="15" thickBot="1" x14ac:dyDescent="0.4">
      <c r="A977" t="str">
        <f t="shared" ref="A977:A1037" si="320">IF(LEFT(G974,2)="FC",LEFT(G974,5),LEFT(G974,4))</f>
        <v>FC339</v>
      </c>
      <c r="B977" t="str">
        <f t="shared" si="318"/>
        <v>CPAC Northeast</v>
      </c>
      <c r="C977" s="18"/>
      <c r="D977" s="18"/>
      <c r="E977" s="18"/>
      <c r="F977" s="18"/>
      <c r="G977" s="18"/>
      <c r="H977" s="31"/>
      <c r="I977" s="3" t="s">
        <v>20</v>
      </c>
      <c r="J977" s="10">
        <v>21.8</v>
      </c>
      <c r="K977" s="10">
        <v>26</v>
      </c>
      <c r="L977" s="7">
        <v>35.5</v>
      </c>
      <c r="M977" s="10">
        <v>27.4</v>
      </c>
      <c r="N977" s="7">
        <v>37.1</v>
      </c>
      <c r="O977" s="10">
        <v>27.3</v>
      </c>
    </row>
    <row r="978" spans="1:15" ht="15" thickBot="1" x14ac:dyDescent="0.4">
      <c r="A978" t="str">
        <f t="shared" ref="A978:A1038" si="321">IF(LEFT(G974,2)="FC",LEFT(G974,5),LEFT(G974,4))</f>
        <v>FC339</v>
      </c>
      <c r="B978" t="str">
        <f t="shared" si="318"/>
        <v>CPAC Northeast</v>
      </c>
      <c r="C978" s="18"/>
      <c r="D978" s="18"/>
      <c r="E978" s="18"/>
      <c r="F978" s="18"/>
      <c r="G978" s="18"/>
      <c r="H978" s="31"/>
      <c r="I978" s="5" t="s">
        <v>21</v>
      </c>
      <c r="J978" s="10">
        <v>1.1100000000000001</v>
      </c>
      <c r="K978" s="10">
        <v>1.05</v>
      </c>
      <c r="L978" s="9">
        <v>0.56000000000000005</v>
      </c>
      <c r="M978" s="10">
        <v>0.93</v>
      </c>
      <c r="N978" s="9">
        <v>0.76</v>
      </c>
      <c r="O978" s="10">
        <v>0.96</v>
      </c>
    </row>
    <row r="979" spans="1:15" ht="15" thickBot="1" x14ac:dyDescent="0.4">
      <c r="A979" t="str">
        <f t="shared" ref="A979:A1039" si="322">IF(LEFT(G974,2)="FC",LEFT(G974,5),LEFT(G974,4))</f>
        <v>FC339</v>
      </c>
      <c r="B979" t="str">
        <f t="shared" si="318"/>
        <v>CPAC Northeast</v>
      </c>
      <c r="C979" s="19"/>
      <c r="D979" s="19"/>
      <c r="E979" s="19"/>
      <c r="F979" s="19"/>
      <c r="G979" s="19"/>
      <c r="H979" s="32"/>
      <c r="I979" s="3" t="s">
        <v>22</v>
      </c>
      <c r="J979" s="10" t="s">
        <v>24</v>
      </c>
      <c r="K979" s="10" t="s">
        <v>24</v>
      </c>
      <c r="L979" s="9" t="s">
        <v>25</v>
      </c>
      <c r="M979" s="10" t="s">
        <v>24</v>
      </c>
      <c r="N979" s="10" t="s">
        <v>24</v>
      </c>
      <c r="O979" s="10" t="s">
        <v>24</v>
      </c>
    </row>
    <row r="980" spans="1:15" ht="15" thickBot="1" x14ac:dyDescent="0.4">
      <c r="B980" t="str">
        <f t="shared" si="318"/>
        <v>CPAC Northeast</v>
      </c>
      <c r="C980" s="16"/>
      <c r="D980" s="16"/>
      <c r="E980" s="16"/>
      <c r="F980" s="16"/>
      <c r="G980" s="16" t="s">
        <v>242</v>
      </c>
      <c r="H980" s="27" t="s">
        <v>34</v>
      </c>
      <c r="I980" s="1"/>
      <c r="J980" s="1"/>
      <c r="K980" s="1"/>
      <c r="L980" s="1"/>
      <c r="M980" s="1"/>
      <c r="N980" s="1"/>
      <c r="O980" s="1"/>
    </row>
    <row r="981" spans="1:15" ht="15" thickBot="1" x14ac:dyDescent="0.4">
      <c r="A981" t="str">
        <f t="shared" si="317"/>
        <v>FC376</v>
      </c>
      <c r="B981" t="str">
        <f t="shared" si="318"/>
        <v>CPAC Northeast</v>
      </c>
      <c r="C981" s="18"/>
      <c r="D981" s="18"/>
      <c r="E981" s="18"/>
      <c r="F981" s="18"/>
      <c r="G981" s="18"/>
      <c r="H981" s="28"/>
      <c r="I981" s="3" t="s">
        <v>18</v>
      </c>
      <c r="J981" s="8">
        <v>24</v>
      </c>
      <c r="K981" s="4">
        <v>44</v>
      </c>
      <c r="L981" s="4">
        <v>42</v>
      </c>
      <c r="M981" s="4">
        <v>30</v>
      </c>
      <c r="N981" s="4">
        <v>36</v>
      </c>
      <c r="O981" s="4">
        <v>36</v>
      </c>
    </row>
    <row r="982" spans="1:15" ht="15" thickBot="1" x14ac:dyDescent="0.4">
      <c r="A982" t="str">
        <f t="shared" si="319"/>
        <v>FC376</v>
      </c>
      <c r="B982" t="str">
        <f t="shared" si="318"/>
        <v>CPAC Northeast</v>
      </c>
      <c r="C982" s="18"/>
      <c r="D982" s="18"/>
      <c r="E982" s="18"/>
      <c r="F982" s="18"/>
      <c r="G982" s="18"/>
      <c r="H982" s="28"/>
      <c r="I982" s="5" t="s">
        <v>19</v>
      </c>
      <c r="J982" s="7">
        <v>82</v>
      </c>
      <c r="K982" s="9">
        <v>119</v>
      </c>
      <c r="L982" s="7">
        <v>76</v>
      </c>
      <c r="M982" s="7">
        <v>71</v>
      </c>
      <c r="N982" s="6">
        <v>69</v>
      </c>
      <c r="O982" s="9">
        <v>124</v>
      </c>
    </row>
    <row r="983" spans="1:15" ht="15" thickBot="1" x14ac:dyDescent="0.4">
      <c r="A983" t="str">
        <f t="shared" si="320"/>
        <v>FC376</v>
      </c>
      <c r="B983" t="str">
        <f t="shared" si="318"/>
        <v>CPAC Northeast</v>
      </c>
      <c r="C983" s="18"/>
      <c r="D983" s="18"/>
      <c r="E983" s="18"/>
      <c r="F983" s="18"/>
      <c r="G983" s="18"/>
      <c r="H983" s="28"/>
      <c r="I983" s="3" t="s">
        <v>20</v>
      </c>
      <c r="J983" s="6">
        <v>45.9</v>
      </c>
      <c r="K983" s="9">
        <v>34.1</v>
      </c>
      <c r="L983" s="9">
        <v>32.299999999999997</v>
      </c>
      <c r="M983" s="10">
        <v>22.8</v>
      </c>
      <c r="N983" s="7">
        <v>38.9</v>
      </c>
      <c r="O983" s="10">
        <v>15.2</v>
      </c>
    </row>
    <row r="984" spans="1:15" ht="15" thickBot="1" x14ac:dyDescent="0.4">
      <c r="A984" t="str">
        <f t="shared" si="321"/>
        <v>FC376</v>
      </c>
      <c r="B984" t="str">
        <f t="shared" si="318"/>
        <v>CPAC Northeast</v>
      </c>
      <c r="C984" s="18"/>
      <c r="D984" s="18"/>
      <c r="E984" s="18"/>
      <c r="F984" s="18"/>
      <c r="G984" s="18"/>
      <c r="H984" s="28"/>
      <c r="I984" s="5" t="s">
        <v>21</v>
      </c>
      <c r="J984" s="9">
        <v>0.6</v>
      </c>
      <c r="K984" s="10">
        <v>1.1599999999999999</v>
      </c>
      <c r="L984" s="10">
        <v>0.79</v>
      </c>
      <c r="M984" s="10">
        <v>1.04</v>
      </c>
      <c r="N984" s="9">
        <v>0.59</v>
      </c>
      <c r="O984" s="10">
        <v>2.73</v>
      </c>
    </row>
    <row r="985" spans="1:15" ht="15" thickBot="1" x14ac:dyDescent="0.4">
      <c r="A985" t="str">
        <f t="shared" si="322"/>
        <v>FC376</v>
      </c>
      <c r="B985" t="str">
        <f t="shared" si="318"/>
        <v>CPAC Northeast</v>
      </c>
      <c r="C985" s="19"/>
      <c r="D985" s="19"/>
      <c r="E985" s="19"/>
      <c r="F985" s="19"/>
      <c r="G985" s="19"/>
      <c r="H985" s="29"/>
      <c r="I985" s="3" t="s">
        <v>22</v>
      </c>
      <c r="J985" s="9" t="s">
        <v>25</v>
      </c>
      <c r="K985" s="11"/>
      <c r="L985" s="11"/>
      <c r="M985" s="10" t="s">
        <v>24</v>
      </c>
      <c r="N985" s="9" t="s">
        <v>25</v>
      </c>
      <c r="O985" s="10" t="s">
        <v>24</v>
      </c>
    </row>
    <row r="986" spans="1:15" ht="15" thickBot="1" x14ac:dyDescent="0.4">
      <c r="B986" t="str">
        <f t="shared" si="318"/>
        <v>CPAC Northeast</v>
      </c>
      <c r="C986" s="16"/>
      <c r="D986" s="16"/>
      <c r="E986" s="16"/>
      <c r="F986" s="16"/>
      <c r="G986" s="16" t="s">
        <v>243</v>
      </c>
      <c r="H986" s="27" t="s">
        <v>34</v>
      </c>
      <c r="I986" s="1"/>
      <c r="J986" s="1"/>
      <c r="K986" s="1"/>
      <c r="L986" s="1"/>
      <c r="M986" s="1"/>
      <c r="N986" s="1"/>
      <c r="O986" s="1"/>
    </row>
    <row r="987" spans="1:15" ht="15" thickBot="1" x14ac:dyDescent="0.4">
      <c r="A987" t="str">
        <f t="shared" si="317"/>
        <v>FC266</v>
      </c>
      <c r="B987" t="str">
        <f t="shared" si="318"/>
        <v>CPAC Northeast</v>
      </c>
      <c r="C987" s="18"/>
      <c r="D987" s="18"/>
      <c r="E987" s="18"/>
      <c r="F987" s="18"/>
      <c r="G987" s="18"/>
      <c r="H987" s="28"/>
      <c r="I987" s="3" t="s">
        <v>18</v>
      </c>
      <c r="J987" s="4">
        <v>51</v>
      </c>
      <c r="K987" s="8">
        <v>15</v>
      </c>
      <c r="L987" s="11"/>
      <c r="M987" s="8">
        <v>16</v>
      </c>
      <c r="N987" s="4">
        <v>40</v>
      </c>
      <c r="O987" s="4">
        <v>46</v>
      </c>
    </row>
    <row r="988" spans="1:15" ht="15" thickBot="1" x14ac:dyDescent="0.4">
      <c r="A988" t="str">
        <f t="shared" si="319"/>
        <v>FC266</v>
      </c>
      <c r="B988" t="str">
        <f t="shared" si="318"/>
        <v>CPAC Northeast</v>
      </c>
      <c r="C988" s="18"/>
      <c r="D988" s="18"/>
      <c r="E988" s="18"/>
      <c r="F988" s="18"/>
      <c r="G988" s="18"/>
      <c r="H988" s="28"/>
      <c r="I988" s="5" t="s">
        <v>19</v>
      </c>
      <c r="J988" s="9">
        <v>103</v>
      </c>
      <c r="K988" s="9">
        <v>220</v>
      </c>
      <c r="L988" s="11"/>
      <c r="M988" s="9">
        <v>141</v>
      </c>
      <c r="N988" s="6">
        <v>54</v>
      </c>
      <c r="O988" s="6">
        <v>65</v>
      </c>
    </row>
    <row r="989" spans="1:15" ht="15" thickBot="1" x14ac:dyDescent="0.4">
      <c r="A989" t="str">
        <f t="shared" si="320"/>
        <v>FC266</v>
      </c>
      <c r="B989" t="str">
        <f t="shared" si="318"/>
        <v>CPAC Northeast</v>
      </c>
      <c r="C989" s="18"/>
      <c r="D989" s="18"/>
      <c r="E989" s="18"/>
      <c r="F989" s="18"/>
      <c r="G989" s="18"/>
      <c r="H989" s="28"/>
      <c r="I989" s="3" t="s">
        <v>20</v>
      </c>
      <c r="J989" s="9">
        <v>32.200000000000003</v>
      </c>
      <c r="K989" s="10">
        <v>22.7</v>
      </c>
      <c r="L989" s="11"/>
      <c r="M989" s="10">
        <v>14.6</v>
      </c>
      <c r="N989" s="10">
        <v>27.1</v>
      </c>
      <c r="O989" s="9">
        <v>31.4</v>
      </c>
    </row>
    <row r="990" spans="1:15" ht="15" thickBot="1" x14ac:dyDescent="0.4">
      <c r="A990" t="str">
        <f t="shared" si="321"/>
        <v>FC266</v>
      </c>
      <c r="B990" t="str">
        <f t="shared" si="318"/>
        <v>CPAC Northeast</v>
      </c>
      <c r="C990" s="18"/>
      <c r="D990" s="18"/>
      <c r="E990" s="18"/>
      <c r="F990" s="18"/>
      <c r="G990" s="18"/>
      <c r="H990" s="28"/>
      <c r="I990" s="5" t="s">
        <v>21</v>
      </c>
      <c r="J990" s="10">
        <v>1.06</v>
      </c>
      <c r="K990" s="10">
        <v>3.23</v>
      </c>
      <c r="L990" s="11"/>
      <c r="M990" s="10">
        <v>3.21</v>
      </c>
      <c r="N990" s="9">
        <v>0.66</v>
      </c>
      <c r="O990" s="9">
        <v>0.69</v>
      </c>
    </row>
    <row r="991" spans="1:15" ht="15" thickBot="1" x14ac:dyDescent="0.4">
      <c r="A991" t="str">
        <f t="shared" si="322"/>
        <v>FC266</v>
      </c>
      <c r="B991" t="str">
        <f t="shared" si="318"/>
        <v>CPAC Northeast</v>
      </c>
      <c r="C991" s="19"/>
      <c r="D991" s="19"/>
      <c r="E991" s="19"/>
      <c r="F991" s="19"/>
      <c r="G991" s="19"/>
      <c r="H991" s="29"/>
      <c r="I991" s="3" t="s">
        <v>22</v>
      </c>
      <c r="J991" s="11"/>
      <c r="K991" s="10" t="s">
        <v>24</v>
      </c>
      <c r="L991" s="11" t="s">
        <v>45</v>
      </c>
      <c r="M991" s="10" t="s">
        <v>24</v>
      </c>
      <c r="N991" s="9" t="s">
        <v>25</v>
      </c>
      <c r="O991" s="9" t="s">
        <v>25</v>
      </c>
    </row>
    <row r="992" spans="1:15" ht="15" thickBot="1" x14ac:dyDescent="0.4">
      <c r="B992" t="str">
        <f t="shared" si="318"/>
        <v>CPAC Northeast</v>
      </c>
      <c r="C992" s="16"/>
      <c r="D992" s="16"/>
      <c r="E992" s="16"/>
      <c r="F992" s="16"/>
      <c r="G992" s="16" t="s">
        <v>244</v>
      </c>
      <c r="H992" s="20" t="s">
        <v>17</v>
      </c>
      <c r="I992" s="1"/>
      <c r="J992" s="1"/>
      <c r="K992" s="1"/>
      <c r="L992" s="1"/>
      <c r="M992" s="1"/>
      <c r="N992" s="1"/>
      <c r="O992" s="1"/>
    </row>
    <row r="993" spans="1:15" ht="15" thickBot="1" x14ac:dyDescent="0.4">
      <c r="A993" t="str">
        <f t="shared" si="317"/>
        <v>FC179</v>
      </c>
      <c r="B993" t="str">
        <f t="shared" si="318"/>
        <v>CPAC Northeast</v>
      </c>
      <c r="C993" s="18"/>
      <c r="D993" s="18"/>
      <c r="E993" s="18"/>
      <c r="F993" s="18"/>
      <c r="G993" s="18"/>
      <c r="H993" s="22"/>
      <c r="I993" s="3" t="s">
        <v>18</v>
      </c>
      <c r="J993" s="4">
        <v>30</v>
      </c>
      <c r="K993" s="4">
        <v>30</v>
      </c>
      <c r="L993" s="4">
        <v>30</v>
      </c>
      <c r="M993" s="4">
        <v>54</v>
      </c>
      <c r="N993" s="4">
        <v>72</v>
      </c>
      <c r="O993" s="4">
        <v>30</v>
      </c>
    </row>
    <row r="994" spans="1:15" ht="15" thickBot="1" x14ac:dyDescent="0.4">
      <c r="A994" t="str">
        <f t="shared" si="319"/>
        <v>FC179</v>
      </c>
      <c r="B994" t="str">
        <f t="shared" si="318"/>
        <v>CPAC Northeast</v>
      </c>
      <c r="C994" s="18"/>
      <c r="D994" s="18"/>
      <c r="E994" s="18"/>
      <c r="F994" s="18"/>
      <c r="G994" s="18"/>
      <c r="H994" s="22"/>
      <c r="I994" s="5" t="s">
        <v>19</v>
      </c>
      <c r="J994" s="9">
        <v>130</v>
      </c>
      <c r="K994" s="9">
        <v>129</v>
      </c>
      <c r="L994" s="9">
        <v>107</v>
      </c>
      <c r="M994" s="9">
        <v>106</v>
      </c>
      <c r="N994" s="9">
        <v>93</v>
      </c>
      <c r="O994" s="9">
        <v>91</v>
      </c>
    </row>
    <row r="995" spans="1:15" ht="15" thickBot="1" x14ac:dyDescent="0.4">
      <c r="A995" t="str">
        <f t="shared" si="320"/>
        <v>FC179</v>
      </c>
      <c r="B995" t="str">
        <f t="shared" si="318"/>
        <v>CPAC Northeast</v>
      </c>
      <c r="C995" s="18"/>
      <c r="D995" s="18"/>
      <c r="E995" s="18"/>
      <c r="F995" s="18"/>
      <c r="G995" s="18"/>
      <c r="H995" s="22"/>
      <c r="I995" s="3" t="s">
        <v>20</v>
      </c>
      <c r="J995" s="10">
        <v>24.8</v>
      </c>
      <c r="K995" s="10">
        <v>15.9</v>
      </c>
      <c r="L995" s="10">
        <v>19.7</v>
      </c>
      <c r="M995" s="8">
        <v>89.7</v>
      </c>
      <c r="N995" s="8">
        <v>55.8</v>
      </c>
      <c r="O995" s="10">
        <v>22.7</v>
      </c>
    </row>
    <row r="996" spans="1:15" ht="15" thickBot="1" x14ac:dyDescent="0.4">
      <c r="A996" t="str">
        <f t="shared" si="321"/>
        <v>FC179</v>
      </c>
      <c r="B996" t="str">
        <f t="shared" si="318"/>
        <v>CPAC Northeast</v>
      </c>
      <c r="C996" s="18"/>
      <c r="D996" s="18"/>
      <c r="E996" s="18"/>
      <c r="F996" s="18"/>
      <c r="G996" s="18"/>
      <c r="H996" s="22"/>
      <c r="I996" s="5" t="s">
        <v>21</v>
      </c>
      <c r="J996" s="10">
        <v>1.75</v>
      </c>
      <c r="K996" s="10">
        <v>2.7</v>
      </c>
      <c r="L996" s="10">
        <v>1.81</v>
      </c>
      <c r="M996" s="8">
        <v>0.39</v>
      </c>
      <c r="N996" s="9">
        <v>0.55000000000000004</v>
      </c>
      <c r="O996" s="10">
        <v>1.33</v>
      </c>
    </row>
    <row r="997" spans="1:15" ht="15" thickBot="1" x14ac:dyDescent="0.4">
      <c r="A997" t="str">
        <f t="shared" si="322"/>
        <v>FC179</v>
      </c>
      <c r="B997" t="str">
        <f t="shared" si="318"/>
        <v>CPAC Northeast</v>
      </c>
      <c r="C997" s="19"/>
      <c r="D997" s="19"/>
      <c r="E997" s="19"/>
      <c r="F997" s="19"/>
      <c r="G997" s="19"/>
      <c r="H997" s="23"/>
      <c r="I997" s="3" t="s">
        <v>22</v>
      </c>
      <c r="J997" s="10" t="s">
        <v>24</v>
      </c>
      <c r="K997" s="11"/>
      <c r="L997" s="11"/>
      <c r="M997" s="8" t="s">
        <v>23</v>
      </c>
      <c r="N997" s="9" t="s">
        <v>25</v>
      </c>
      <c r="O997" s="11"/>
    </row>
    <row r="998" spans="1:15" ht="15" thickBot="1" x14ac:dyDescent="0.4">
      <c r="B998" t="str">
        <f t="shared" si="318"/>
        <v>CPAC Northeast</v>
      </c>
      <c r="C998" s="16"/>
      <c r="D998" s="16"/>
      <c r="E998" s="16"/>
      <c r="F998" s="16"/>
      <c r="G998" s="16" t="s">
        <v>245</v>
      </c>
      <c r="H998" s="24" t="s">
        <v>30</v>
      </c>
      <c r="I998" s="1"/>
      <c r="J998" s="1"/>
      <c r="K998" s="1"/>
      <c r="L998" s="1"/>
      <c r="M998" s="1"/>
      <c r="N998" s="1"/>
      <c r="O998" s="1"/>
    </row>
    <row r="999" spans="1:15" ht="15" thickBot="1" x14ac:dyDescent="0.4">
      <c r="A999" t="str">
        <f t="shared" si="317"/>
        <v>FC274</v>
      </c>
      <c r="B999" t="str">
        <f t="shared" si="318"/>
        <v>CPAC Northeast</v>
      </c>
      <c r="C999" s="18"/>
      <c r="D999" s="18"/>
      <c r="E999" s="18"/>
      <c r="F999" s="18"/>
      <c r="G999" s="18"/>
      <c r="H999" s="25"/>
      <c r="I999" s="3" t="s">
        <v>18</v>
      </c>
      <c r="J999" s="11"/>
      <c r="K999" s="11"/>
      <c r="L999" s="11"/>
      <c r="M999" s="11"/>
      <c r="N999" s="11"/>
      <c r="O999" s="11"/>
    </row>
    <row r="1000" spans="1:15" ht="15" thickBot="1" x14ac:dyDescent="0.4">
      <c r="A1000" t="str">
        <f t="shared" si="319"/>
        <v>FC274</v>
      </c>
      <c r="B1000" t="str">
        <f t="shared" si="318"/>
        <v>CPAC Northeast</v>
      </c>
      <c r="C1000" s="18"/>
      <c r="D1000" s="18"/>
      <c r="E1000" s="18"/>
      <c r="F1000" s="18"/>
      <c r="G1000" s="18"/>
      <c r="H1000" s="25"/>
      <c r="I1000" s="5" t="s">
        <v>19</v>
      </c>
      <c r="J1000" s="11"/>
      <c r="K1000" s="11"/>
      <c r="L1000" s="11"/>
      <c r="M1000" s="11"/>
      <c r="N1000" s="11"/>
      <c r="O1000" s="11"/>
    </row>
    <row r="1001" spans="1:15" ht="15" thickBot="1" x14ac:dyDescent="0.4">
      <c r="A1001" t="str">
        <f t="shared" si="320"/>
        <v>FC274</v>
      </c>
      <c r="B1001" t="str">
        <f t="shared" si="318"/>
        <v>CPAC Northeast</v>
      </c>
      <c r="C1001" s="18"/>
      <c r="D1001" s="18"/>
      <c r="E1001" s="18"/>
      <c r="F1001" s="18"/>
      <c r="G1001" s="18"/>
      <c r="H1001" s="25"/>
      <c r="I1001" s="3" t="s">
        <v>20</v>
      </c>
      <c r="J1001" s="11"/>
      <c r="K1001" s="11"/>
      <c r="L1001" s="11"/>
      <c r="M1001" s="11"/>
      <c r="N1001" s="11"/>
      <c r="O1001" s="11"/>
    </row>
    <row r="1002" spans="1:15" ht="15" thickBot="1" x14ac:dyDescent="0.4">
      <c r="A1002" t="str">
        <f t="shared" si="321"/>
        <v>FC274</v>
      </c>
      <c r="B1002" t="str">
        <f t="shared" si="318"/>
        <v>CPAC Northeast</v>
      </c>
      <c r="C1002" s="18"/>
      <c r="D1002" s="18"/>
      <c r="E1002" s="18"/>
      <c r="F1002" s="18"/>
      <c r="G1002" s="18"/>
      <c r="H1002" s="25"/>
      <c r="I1002" s="5" t="s">
        <v>21</v>
      </c>
      <c r="J1002" s="11"/>
      <c r="K1002" s="11"/>
      <c r="L1002" s="11"/>
      <c r="M1002" s="11"/>
      <c r="N1002" s="11"/>
      <c r="O1002" s="11"/>
    </row>
    <row r="1003" spans="1:15" ht="15" thickBot="1" x14ac:dyDescent="0.4">
      <c r="A1003" t="str">
        <f t="shared" si="322"/>
        <v>FC274</v>
      </c>
      <c r="B1003" t="str">
        <f t="shared" si="318"/>
        <v>CPAC Northeast</v>
      </c>
      <c r="C1003" s="19"/>
      <c r="D1003" s="19"/>
      <c r="E1003" s="19"/>
      <c r="F1003" s="19"/>
      <c r="G1003" s="19"/>
      <c r="H1003" s="26"/>
      <c r="I1003" s="3" t="s">
        <v>22</v>
      </c>
      <c r="J1003" s="11" t="s">
        <v>46</v>
      </c>
      <c r="K1003" s="11" t="s">
        <v>46</v>
      </c>
      <c r="L1003" s="11" t="s">
        <v>46</v>
      </c>
      <c r="M1003" s="11" t="s">
        <v>46</v>
      </c>
      <c r="N1003" s="11" t="s">
        <v>46</v>
      </c>
      <c r="O1003" s="11" t="s">
        <v>46</v>
      </c>
    </row>
    <row r="1004" spans="1:15" ht="15" thickBot="1" x14ac:dyDescent="0.4">
      <c r="B1004" t="str">
        <f t="shared" si="318"/>
        <v>CPAC Northeast</v>
      </c>
      <c r="C1004" s="16"/>
      <c r="D1004" s="16"/>
      <c r="E1004" s="16"/>
      <c r="F1004" s="16"/>
      <c r="G1004" s="16" t="s">
        <v>246</v>
      </c>
      <c r="H1004" s="30" t="s">
        <v>39</v>
      </c>
      <c r="I1004" s="1"/>
      <c r="J1004" s="1"/>
      <c r="K1004" s="1"/>
      <c r="L1004" s="1"/>
      <c r="M1004" s="1"/>
      <c r="N1004" s="1"/>
      <c r="O1004" s="1"/>
    </row>
    <row r="1005" spans="1:15" ht="15" thickBot="1" x14ac:dyDescent="0.4">
      <c r="A1005" t="str">
        <f t="shared" si="317"/>
        <v>FC320</v>
      </c>
      <c r="B1005" t="str">
        <f t="shared" si="318"/>
        <v>CPAC Northeast</v>
      </c>
      <c r="C1005" s="18"/>
      <c r="D1005" s="18"/>
      <c r="E1005" s="18"/>
      <c r="F1005" s="18"/>
      <c r="G1005" s="18"/>
      <c r="H1005" s="31"/>
      <c r="I1005" s="3" t="s">
        <v>18</v>
      </c>
      <c r="J1005" s="4">
        <v>64</v>
      </c>
      <c r="K1005" s="4">
        <v>53</v>
      </c>
      <c r="L1005" s="4">
        <v>48</v>
      </c>
      <c r="M1005" s="4">
        <v>51</v>
      </c>
      <c r="N1005" s="4">
        <v>50</v>
      </c>
      <c r="O1005" s="4">
        <v>45</v>
      </c>
    </row>
    <row r="1006" spans="1:15" ht="15" thickBot="1" x14ac:dyDescent="0.4">
      <c r="A1006" t="str">
        <f t="shared" si="319"/>
        <v>FC320</v>
      </c>
      <c r="B1006" t="str">
        <f t="shared" si="318"/>
        <v>CPAC Northeast</v>
      </c>
      <c r="C1006" s="18"/>
      <c r="D1006" s="18"/>
      <c r="E1006" s="18"/>
      <c r="F1006" s="18"/>
      <c r="G1006" s="18"/>
      <c r="H1006" s="31"/>
      <c r="I1006" s="5" t="s">
        <v>19</v>
      </c>
      <c r="J1006" s="9">
        <v>102</v>
      </c>
      <c r="K1006" s="7">
        <v>84</v>
      </c>
      <c r="L1006" s="7">
        <v>90</v>
      </c>
      <c r="M1006" s="7">
        <v>74</v>
      </c>
      <c r="N1006" s="6">
        <v>69</v>
      </c>
      <c r="O1006" s="6">
        <v>69</v>
      </c>
    </row>
    <row r="1007" spans="1:15" ht="15" thickBot="1" x14ac:dyDescent="0.4">
      <c r="A1007" t="str">
        <f t="shared" si="320"/>
        <v>FC320</v>
      </c>
      <c r="B1007" t="str">
        <f t="shared" si="318"/>
        <v>CPAC Northeast</v>
      </c>
      <c r="C1007" s="18"/>
      <c r="D1007" s="18"/>
      <c r="E1007" s="18"/>
      <c r="F1007" s="18"/>
      <c r="G1007" s="18"/>
      <c r="H1007" s="31"/>
      <c r="I1007" s="3" t="s">
        <v>20</v>
      </c>
      <c r="J1007" s="6">
        <v>42.4</v>
      </c>
      <c r="K1007" s="9">
        <v>33.299999999999997</v>
      </c>
      <c r="L1007" s="10">
        <v>24.4</v>
      </c>
      <c r="M1007" s="10">
        <v>21</v>
      </c>
      <c r="N1007" s="10">
        <v>24.9</v>
      </c>
      <c r="O1007" s="10">
        <v>22.3</v>
      </c>
    </row>
    <row r="1008" spans="1:15" ht="15" thickBot="1" x14ac:dyDescent="0.4">
      <c r="A1008" t="str">
        <f t="shared" si="321"/>
        <v>FC320</v>
      </c>
      <c r="B1008" t="str">
        <f t="shared" si="318"/>
        <v>CPAC Northeast</v>
      </c>
      <c r="C1008" s="18"/>
      <c r="D1008" s="18"/>
      <c r="E1008" s="18"/>
      <c r="F1008" s="18"/>
      <c r="G1008" s="18"/>
      <c r="H1008" s="31"/>
      <c r="I1008" s="5" t="s">
        <v>21</v>
      </c>
      <c r="J1008" s="10">
        <v>0.8</v>
      </c>
      <c r="K1008" s="10">
        <v>0.84</v>
      </c>
      <c r="L1008" s="10">
        <v>1.23</v>
      </c>
      <c r="M1008" s="10">
        <v>1.18</v>
      </c>
      <c r="N1008" s="10">
        <v>0.92</v>
      </c>
      <c r="O1008" s="10">
        <v>1.02</v>
      </c>
    </row>
    <row r="1009" spans="1:15" ht="15" thickBot="1" x14ac:dyDescent="0.4">
      <c r="A1009" t="str">
        <f t="shared" si="322"/>
        <v>FC320</v>
      </c>
      <c r="B1009" t="str">
        <f t="shared" si="318"/>
        <v>CPAC Northeast</v>
      </c>
      <c r="C1009" s="19"/>
      <c r="D1009" s="19"/>
      <c r="E1009" s="19"/>
      <c r="F1009" s="19"/>
      <c r="G1009" s="19"/>
      <c r="H1009" s="32"/>
      <c r="I1009" s="3" t="s">
        <v>22</v>
      </c>
      <c r="J1009" s="10" t="s">
        <v>24</v>
      </c>
      <c r="K1009" s="10" t="s">
        <v>24</v>
      </c>
      <c r="L1009" s="10" t="s">
        <v>24</v>
      </c>
      <c r="M1009" s="10" t="s">
        <v>24</v>
      </c>
      <c r="N1009" s="10" t="s">
        <v>24</v>
      </c>
      <c r="O1009" s="10" t="s">
        <v>24</v>
      </c>
    </row>
    <row r="1010" spans="1:15" ht="15" thickBot="1" x14ac:dyDescent="0.4">
      <c r="B1010" t="str">
        <f t="shared" si="318"/>
        <v>CPAC Northeast</v>
      </c>
      <c r="C1010" s="16"/>
      <c r="D1010" s="16"/>
      <c r="E1010" s="16"/>
      <c r="F1010" s="16"/>
      <c r="G1010" s="16" t="s">
        <v>247</v>
      </c>
      <c r="H1010" s="27" t="s">
        <v>34</v>
      </c>
      <c r="I1010" s="1"/>
      <c r="J1010" s="1"/>
      <c r="K1010" s="1"/>
      <c r="L1010" s="1"/>
      <c r="M1010" s="1"/>
      <c r="N1010" s="1"/>
      <c r="O1010" s="1"/>
    </row>
    <row r="1011" spans="1:15" ht="15" thickBot="1" x14ac:dyDescent="0.4">
      <c r="A1011" t="str">
        <f t="shared" si="317"/>
        <v>FC114</v>
      </c>
      <c r="B1011" t="str">
        <f t="shared" si="318"/>
        <v>CPAC Northeast</v>
      </c>
      <c r="C1011" s="18"/>
      <c r="D1011" s="18"/>
      <c r="E1011" s="18"/>
      <c r="F1011" s="18"/>
      <c r="G1011" s="18"/>
      <c r="H1011" s="28"/>
      <c r="I1011" s="3" t="s">
        <v>18</v>
      </c>
      <c r="J1011" s="4">
        <v>30</v>
      </c>
      <c r="K1011" s="4">
        <v>35</v>
      </c>
      <c r="L1011" s="4">
        <v>45</v>
      </c>
      <c r="M1011" s="4">
        <v>35</v>
      </c>
      <c r="N1011" s="4">
        <v>45</v>
      </c>
      <c r="O1011" s="4">
        <v>30</v>
      </c>
    </row>
    <row r="1012" spans="1:15" ht="15" thickBot="1" x14ac:dyDescent="0.4">
      <c r="A1012" t="str">
        <f t="shared" si="319"/>
        <v>FC114</v>
      </c>
      <c r="B1012" t="str">
        <f t="shared" si="318"/>
        <v>CPAC Northeast</v>
      </c>
      <c r="C1012" s="18"/>
      <c r="D1012" s="18"/>
      <c r="E1012" s="18"/>
      <c r="F1012" s="18"/>
      <c r="G1012" s="18"/>
      <c r="H1012" s="28"/>
      <c r="I1012" s="5" t="s">
        <v>19</v>
      </c>
      <c r="J1012" s="9">
        <v>124</v>
      </c>
      <c r="K1012" s="9">
        <v>104</v>
      </c>
      <c r="L1012" s="9">
        <v>104</v>
      </c>
      <c r="M1012" s="9">
        <v>134</v>
      </c>
      <c r="N1012" s="9">
        <v>94</v>
      </c>
      <c r="O1012" s="9">
        <v>137</v>
      </c>
    </row>
    <row r="1013" spans="1:15" ht="15" thickBot="1" x14ac:dyDescent="0.4">
      <c r="A1013" t="str">
        <f t="shared" si="320"/>
        <v>FC114</v>
      </c>
      <c r="B1013" t="str">
        <f t="shared" si="318"/>
        <v>CPAC Northeast</v>
      </c>
      <c r="C1013" s="18"/>
      <c r="D1013" s="18"/>
      <c r="E1013" s="18"/>
      <c r="F1013" s="18"/>
      <c r="G1013" s="18"/>
      <c r="H1013" s="28"/>
      <c r="I1013" s="3" t="s">
        <v>20</v>
      </c>
      <c r="J1013" s="9">
        <v>33.5</v>
      </c>
      <c r="K1013" s="9">
        <v>34</v>
      </c>
      <c r="L1013" s="10">
        <v>28.4</v>
      </c>
      <c r="M1013" s="9">
        <v>29.2</v>
      </c>
      <c r="N1013" s="10">
        <v>18.2</v>
      </c>
      <c r="O1013" s="10">
        <v>18.5</v>
      </c>
    </row>
    <row r="1014" spans="1:15" ht="15" thickBot="1" x14ac:dyDescent="0.4">
      <c r="A1014" t="str">
        <f t="shared" si="321"/>
        <v>FC114</v>
      </c>
      <c r="B1014" t="str">
        <f t="shared" si="318"/>
        <v>CPAC Northeast</v>
      </c>
      <c r="C1014" s="18"/>
      <c r="D1014" s="18"/>
      <c r="E1014" s="18"/>
      <c r="F1014" s="18"/>
      <c r="G1014" s="18"/>
      <c r="H1014" s="28"/>
      <c r="I1014" s="5" t="s">
        <v>21</v>
      </c>
      <c r="J1014" s="10">
        <v>1.23</v>
      </c>
      <c r="K1014" s="10">
        <v>1.02</v>
      </c>
      <c r="L1014" s="10">
        <v>1.22</v>
      </c>
      <c r="M1014" s="10">
        <v>1.53</v>
      </c>
      <c r="N1014" s="10">
        <v>1.72</v>
      </c>
      <c r="O1014" s="10">
        <v>2.46</v>
      </c>
    </row>
    <row r="1015" spans="1:15" ht="15" thickBot="1" x14ac:dyDescent="0.4">
      <c r="A1015" t="str">
        <f t="shared" si="322"/>
        <v>FC114</v>
      </c>
      <c r="B1015" t="str">
        <f t="shared" si="318"/>
        <v>CPAC Northeast</v>
      </c>
      <c r="C1015" s="19"/>
      <c r="D1015" s="19"/>
      <c r="E1015" s="19"/>
      <c r="F1015" s="19"/>
      <c r="G1015" s="19"/>
      <c r="H1015" s="29"/>
      <c r="I1015" s="3" t="s">
        <v>22</v>
      </c>
      <c r="J1015" s="10" t="s">
        <v>24</v>
      </c>
      <c r="K1015" s="10" t="s">
        <v>24</v>
      </c>
      <c r="L1015" s="10" t="s">
        <v>24</v>
      </c>
      <c r="M1015" s="11"/>
      <c r="N1015" s="10" t="s">
        <v>24</v>
      </c>
      <c r="O1015" s="10" t="s">
        <v>24</v>
      </c>
    </row>
    <row r="1016" spans="1:15" ht="15" thickBot="1" x14ac:dyDescent="0.4">
      <c r="B1016" t="str">
        <f t="shared" si="318"/>
        <v>CPAC Northeast</v>
      </c>
      <c r="C1016" s="16"/>
      <c r="D1016" s="16"/>
      <c r="E1016" s="16"/>
      <c r="F1016" s="16"/>
      <c r="G1016" s="16" t="s">
        <v>248</v>
      </c>
      <c r="H1016" s="27" t="s">
        <v>34</v>
      </c>
      <c r="I1016" s="1"/>
      <c r="J1016" s="1"/>
      <c r="K1016" s="1"/>
      <c r="L1016" s="1"/>
      <c r="M1016" s="1"/>
      <c r="N1016" s="1"/>
      <c r="O1016" s="1"/>
    </row>
    <row r="1017" spans="1:15" ht="15" thickBot="1" x14ac:dyDescent="0.4">
      <c r="A1017" t="str">
        <f t="shared" si="317"/>
        <v>FC014</v>
      </c>
      <c r="B1017" t="str">
        <f t="shared" si="318"/>
        <v>CPAC Northeast</v>
      </c>
      <c r="C1017" s="18"/>
      <c r="D1017" s="18"/>
      <c r="E1017" s="18"/>
      <c r="F1017" s="18"/>
      <c r="G1017" s="18"/>
      <c r="H1017" s="28"/>
      <c r="I1017" s="3" t="s">
        <v>18</v>
      </c>
      <c r="J1017" s="4">
        <v>30</v>
      </c>
      <c r="K1017" s="4">
        <v>30</v>
      </c>
      <c r="L1017" s="4">
        <v>30</v>
      </c>
      <c r="M1017" s="4">
        <v>36</v>
      </c>
      <c r="N1017" s="4">
        <v>30</v>
      </c>
      <c r="O1017" s="4">
        <v>30</v>
      </c>
    </row>
    <row r="1018" spans="1:15" ht="15" thickBot="1" x14ac:dyDescent="0.4">
      <c r="A1018" t="str">
        <f t="shared" si="319"/>
        <v>FC014</v>
      </c>
      <c r="B1018" t="str">
        <f t="shared" si="318"/>
        <v>CPAC Northeast</v>
      </c>
      <c r="C1018" s="18"/>
      <c r="D1018" s="18"/>
      <c r="E1018" s="18"/>
      <c r="F1018" s="18"/>
      <c r="G1018" s="18"/>
      <c r="H1018" s="28"/>
      <c r="I1018" s="5" t="s">
        <v>19</v>
      </c>
      <c r="J1018" s="9">
        <v>134</v>
      </c>
      <c r="K1018" s="9">
        <v>99</v>
      </c>
      <c r="L1018" s="9">
        <v>110</v>
      </c>
      <c r="M1018" s="9">
        <v>100</v>
      </c>
      <c r="N1018" s="9">
        <v>112</v>
      </c>
      <c r="O1018" s="8">
        <v>49</v>
      </c>
    </row>
    <row r="1019" spans="1:15" ht="15" thickBot="1" x14ac:dyDescent="0.4">
      <c r="A1019" t="str">
        <f t="shared" si="320"/>
        <v>FC014</v>
      </c>
      <c r="B1019" t="str">
        <f t="shared" si="318"/>
        <v>CPAC Northeast</v>
      </c>
      <c r="C1019" s="18"/>
      <c r="D1019" s="18"/>
      <c r="E1019" s="18"/>
      <c r="F1019" s="18"/>
      <c r="G1019" s="18"/>
      <c r="H1019" s="28"/>
      <c r="I1019" s="3" t="s">
        <v>20</v>
      </c>
      <c r="J1019" s="10">
        <v>17.899999999999999</v>
      </c>
      <c r="K1019" s="10">
        <v>15.2</v>
      </c>
      <c r="L1019" s="7">
        <v>35.6</v>
      </c>
      <c r="M1019" s="8">
        <v>57</v>
      </c>
      <c r="N1019" s="9">
        <v>32.700000000000003</v>
      </c>
      <c r="O1019" s="10">
        <v>19.100000000000001</v>
      </c>
    </row>
    <row r="1020" spans="1:15" ht="15" thickBot="1" x14ac:dyDescent="0.4">
      <c r="A1020" t="str">
        <f t="shared" si="321"/>
        <v>FC014</v>
      </c>
      <c r="B1020" t="str">
        <f t="shared" si="318"/>
        <v>CPAC Northeast</v>
      </c>
      <c r="C1020" s="18"/>
      <c r="D1020" s="18"/>
      <c r="E1020" s="18"/>
      <c r="F1020" s="18"/>
      <c r="G1020" s="18"/>
      <c r="H1020" s="28"/>
      <c r="I1020" s="5" t="s">
        <v>21</v>
      </c>
      <c r="J1020" s="10">
        <v>2.5</v>
      </c>
      <c r="K1020" s="10">
        <v>2.1800000000000002</v>
      </c>
      <c r="L1020" s="10">
        <v>1.03</v>
      </c>
      <c r="M1020" s="9">
        <v>0.57999999999999996</v>
      </c>
      <c r="N1020" s="10">
        <v>1.1399999999999999</v>
      </c>
      <c r="O1020" s="10">
        <v>0.86</v>
      </c>
    </row>
    <row r="1021" spans="1:15" ht="15" thickBot="1" x14ac:dyDescent="0.4">
      <c r="A1021" t="str">
        <f t="shared" si="322"/>
        <v>FC014</v>
      </c>
      <c r="B1021" t="str">
        <f t="shared" si="318"/>
        <v>CPAC Northeast</v>
      </c>
      <c r="C1021" s="19"/>
      <c r="D1021" s="19"/>
      <c r="E1021" s="19"/>
      <c r="F1021" s="19"/>
      <c r="G1021" s="19"/>
      <c r="H1021" s="29"/>
      <c r="I1021" s="3" t="s">
        <v>22</v>
      </c>
      <c r="J1021" s="10" t="s">
        <v>24</v>
      </c>
      <c r="K1021" s="10" t="s">
        <v>24</v>
      </c>
      <c r="L1021" s="10" t="s">
        <v>24</v>
      </c>
      <c r="M1021" s="9" t="s">
        <v>25</v>
      </c>
      <c r="N1021" s="10" t="s">
        <v>24</v>
      </c>
      <c r="O1021" s="9" t="s">
        <v>25</v>
      </c>
    </row>
    <row r="1022" spans="1:15" ht="15" thickBot="1" x14ac:dyDescent="0.4">
      <c r="B1022" t="str">
        <f t="shared" si="318"/>
        <v>CPAC Northeast</v>
      </c>
      <c r="C1022" s="16"/>
      <c r="D1022" s="16"/>
      <c r="E1022" s="16"/>
      <c r="F1022" s="16"/>
      <c r="G1022" s="16" t="s">
        <v>249</v>
      </c>
      <c r="H1022" s="24" t="s">
        <v>30</v>
      </c>
      <c r="I1022" s="1"/>
      <c r="J1022" s="1"/>
      <c r="K1022" s="1"/>
      <c r="L1022" s="1"/>
      <c r="M1022" s="1"/>
      <c r="N1022" s="1"/>
      <c r="O1022" s="1"/>
    </row>
    <row r="1023" spans="1:15" ht="15" thickBot="1" x14ac:dyDescent="0.4">
      <c r="A1023" t="str">
        <f t="shared" si="317"/>
        <v>FC385</v>
      </c>
      <c r="B1023" t="str">
        <f t="shared" si="318"/>
        <v>CPAC Northeast</v>
      </c>
      <c r="C1023" s="18"/>
      <c r="D1023" s="18"/>
      <c r="E1023" s="18"/>
      <c r="F1023" s="18"/>
      <c r="G1023" s="18"/>
      <c r="H1023" s="25"/>
      <c r="I1023" s="3" t="s">
        <v>18</v>
      </c>
      <c r="J1023" s="11"/>
      <c r="K1023" s="11"/>
      <c r="L1023" s="11"/>
      <c r="M1023" s="11"/>
      <c r="N1023" s="11"/>
      <c r="O1023" s="11"/>
    </row>
    <row r="1024" spans="1:15" ht="15" thickBot="1" x14ac:dyDescent="0.4">
      <c r="A1024" t="str">
        <f t="shared" si="319"/>
        <v>FC385</v>
      </c>
      <c r="B1024" t="str">
        <f t="shared" si="318"/>
        <v>CPAC Northeast</v>
      </c>
      <c r="C1024" s="18"/>
      <c r="D1024" s="18"/>
      <c r="E1024" s="18"/>
      <c r="F1024" s="18"/>
      <c r="G1024" s="18"/>
      <c r="H1024" s="25"/>
      <c r="I1024" s="5" t="s">
        <v>19</v>
      </c>
      <c r="J1024" s="11"/>
      <c r="K1024" s="11"/>
      <c r="L1024" s="11"/>
      <c r="M1024" s="11"/>
      <c r="N1024" s="11"/>
      <c r="O1024" s="11"/>
    </row>
    <row r="1025" spans="1:15" ht="15" thickBot="1" x14ac:dyDescent="0.4">
      <c r="A1025" t="str">
        <f t="shared" si="320"/>
        <v>FC385</v>
      </c>
      <c r="B1025" t="str">
        <f t="shared" si="318"/>
        <v>CPAC Northeast</v>
      </c>
      <c r="C1025" s="18"/>
      <c r="D1025" s="18"/>
      <c r="E1025" s="18"/>
      <c r="F1025" s="18"/>
      <c r="G1025" s="18"/>
      <c r="H1025" s="25"/>
      <c r="I1025" s="3" t="s">
        <v>20</v>
      </c>
      <c r="J1025" s="11"/>
      <c r="K1025" s="11"/>
      <c r="L1025" s="11"/>
      <c r="M1025" s="11"/>
      <c r="N1025" s="11"/>
      <c r="O1025" s="11"/>
    </row>
    <row r="1026" spans="1:15" ht="15" thickBot="1" x14ac:dyDescent="0.4">
      <c r="A1026" t="str">
        <f t="shared" si="321"/>
        <v>FC385</v>
      </c>
      <c r="B1026" t="str">
        <f t="shared" si="318"/>
        <v>CPAC Northeast</v>
      </c>
      <c r="C1026" s="18"/>
      <c r="D1026" s="18"/>
      <c r="E1026" s="18"/>
      <c r="F1026" s="18"/>
      <c r="G1026" s="18"/>
      <c r="H1026" s="25"/>
      <c r="I1026" s="5" t="s">
        <v>21</v>
      </c>
      <c r="J1026" s="11"/>
      <c r="K1026" s="11"/>
      <c r="L1026" s="11"/>
      <c r="M1026" s="11"/>
      <c r="N1026" s="11"/>
      <c r="O1026" s="11"/>
    </row>
    <row r="1027" spans="1:15" ht="15" thickBot="1" x14ac:dyDescent="0.4">
      <c r="A1027" t="str">
        <f t="shared" si="322"/>
        <v>FC385</v>
      </c>
      <c r="B1027" t="str">
        <f t="shared" si="318"/>
        <v>CPAC Northeast</v>
      </c>
      <c r="C1027" s="19"/>
      <c r="D1027" s="19"/>
      <c r="E1027" s="19"/>
      <c r="F1027" s="19"/>
      <c r="G1027" s="19"/>
      <c r="H1027" s="26"/>
      <c r="I1027" s="3" t="s">
        <v>22</v>
      </c>
      <c r="J1027" s="11" t="s">
        <v>45</v>
      </c>
      <c r="K1027" s="11" t="s">
        <v>45</v>
      </c>
      <c r="L1027" s="11" t="s">
        <v>45</v>
      </c>
      <c r="M1027" s="11" t="s">
        <v>45</v>
      </c>
      <c r="N1027" s="11" t="s">
        <v>45</v>
      </c>
      <c r="O1027" s="11" t="s">
        <v>46</v>
      </c>
    </row>
    <row r="1028" spans="1:15" ht="15" thickBot="1" x14ac:dyDescent="0.4">
      <c r="B1028" t="str">
        <f t="shared" si="318"/>
        <v>CPAC Northeast</v>
      </c>
      <c r="C1028" s="16"/>
      <c r="D1028" s="16"/>
      <c r="E1028" s="16"/>
      <c r="F1028" s="16"/>
      <c r="G1028" s="16" t="s">
        <v>250</v>
      </c>
      <c r="H1028" s="27" t="s">
        <v>34</v>
      </c>
      <c r="I1028" s="1"/>
      <c r="J1028" s="1"/>
      <c r="K1028" s="1"/>
      <c r="L1028" s="1"/>
      <c r="M1028" s="1"/>
      <c r="N1028" s="1"/>
      <c r="O1028" s="1"/>
    </row>
    <row r="1029" spans="1:15" ht="15" thickBot="1" x14ac:dyDescent="0.4">
      <c r="A1029" t="str">
        <f t="shared" si="317"/>
        <v>FC394</v>
      </c>
      <c r="B1029" t="str">
        <f t="shared" si="318"/>
        <v>CPAC Northeast</v>
      </c>
      <c r="C1029" s="18"/>
      <c r="D1029" s="18"/>
      <c r="E1029" s="18"/>
      <c r="F1029" s="18"/>
      <c r="G1029" s="18"/>
      <c r="H1029" s="28"/>
      <c r="I1029" s="3" t="s">
        <v>18</v>
      </c>
      <c r="J1029" s="4">
        <v>39</v>
      </c>
      <c r="K1029" s="4">
        <v>43</v>
      </c>
      <c r="L1029" s="8">
        <v>18</v>
      </c>
      <c r="M1029" s="4">
        <v>42</v>
      </c>
      <c r="N1029" s="4">
        <v>45</v>
      </c>
      <c r="O1029" s="4">
        <v>34</v>
      </c>
    </row>
    <row r="1030" spans="1:15" ht="15" thickBot="1" x14ac:dyDescent="0.4">
      <c r="A1030" t="str">
        <f t="shared" si="319"/>
        <v>FC394</v>
      </c>
      <c r="B1030" t="str">
        <f t="shared" si="318"/>
        <v>CPAC Northeast</v>
      </c>
      <c r="C1030" s="18"/>
      <c r="D1030" s="18"/>
      <c r="E1030" s="18"/>
      <c r="F1030" s="18"/>
      <c r="G1030" s="18"/>
      <c r="H1030" s="28"/>
      <c r="I1030" s="5" t="s">
        <v>19</v>
      </c>
      <c r="J1030" s="9">
        <v>136</v>
      </c>
      <c r="K1030" s="9">
        <v>97</v>
      </c>
      <c r="L1030" s="9">
        <v>95</v>
      </c>
      <c r="M1030" s="9">
        <v>119</v>
      </c>
      <c r="N1030" s="9">
        <v>97</v>
      </c>
      <c r="O1030" s="9">
        <v>114</v>
      </c>
    </row>
    <row r="1031" spans="1:15" ht="15" thickBot="1" x14ac:dyDescent="0.4">
      <c r="A1031" t="str">
        <f t="shared" si="320"/>
        <v>FC394</v>
      </c>
      <c r="B1031" t="str">
        <f t="shared" si="318"/>
        <v>CPAC Northeast</v>
      </c>
      <c r="C1031" s="18"/>
      <c r="D1031" s="18"/>
      <c r="E1031" s="18"/>
      <c r="F1031" s="18"/>
      <c r="G1031" s="18"/>
      <c r="H1031" s="28"/>
      <c r="I1031" s="3" t="s">
        <v>20</v>
      </c>
      <c r="J1031" s="9">
        <v>31.5</v>
      </c>
      <c r="K1031" s="10">
        <v>20.3</v>
      </c>
      <c r="L1031" s="10">
        <v>27.3</v>
      </c>
      <c r="M1031" s="7">
        <v>39</v>
      </c>
      <c r="N1031" s="10">
        <v>19.899999999999999</v>
      </c>
      <c r="O1031" s="10">
        <v>20.399999999999999</v>
      </c>
    </row>
    <row r="1032" spans="1:15" ht="15" thickBot="1" x14ac:dyDescent="0.4">
      <c r="A1032" t="str">
        <f t="shared" si="321"/>
        <v>FC394</v>
      </c>
      <c r="B1032" t="str">
        <f t="shared" si="318"/>
        <v>CPAC Northeast</v>
      </c>
      <c r="C1032" s="18"/>
      <c r="D1032" s="18"/>
      <c r="E1032" s="18"/>
      <c r="F1032" s="18"/>
      <c r="G1032" s="18"/>
      <c r="H1032" s="28"/>
      <c r="I1032" s="5" t="s">
        <v>21</v>
      </c>
      <c r="J1032" s="10">
        <v>1.44</v>
      </c>
      <c r="K1032" s="10">
        <v>1.59</v>
      </c>
      <c r="L1032" s="10">
        <v>1.1599999999999999</v>
      </c>
      <c r="M1032" s="10">
        <v>1.02</v>
      </c>
      <c r="N1032" s="10">
        <v>1.63</v>
      </c>
      <c r="O1032" s="10">
        <v>1.86</v>
      </c>
    </row>
    <row r="1033" spans="1:15" ht="15" thickBot="1" x14ac:dyDescent="0.4">
      <c r="A1033" t="str">
        <f t="shared" si="322"/>
        <v>FC394</v>
      </c>
      <c r="B1033" t="str">
        <f t="shared" si="318"/>
        <v>CPAC Northeast</v>
      </c>
      <c r="C1033" s="19"/>
      <c r="D1033" s="19"/>
      <c r="E1033" s="19"/>
      <c r="F1033" s="19"/>
      <c r="G1033" s="19"/>
      <c r="H1033" s="29"/>
      <c r="I1033" s="3" t="s">
        <v>22</v>
      </c>
      <c r="J1033" s="11"/>
      <c r="K1033" s="11"/>
      <c r="L1033" s="10" t="s">
        <v>24</v>
      </c>
      <c r="M1033" s="11"/>
      <c r="N1033" s="11"/>
      <c r="O1033" s="11"/>
    </row>
    <row r="1034" spans="1:15" ht="15" thickBot="1" x14ac:dyDescent="0.4">
      <c r="B1034" t="str">
        <f t="shared" si="318"/>
        <v>CPAC Northeast</v>
      </c>
      <c r="C1034" s="16"/>
      <c r="D1034" s="16"/>
      <c r="E1034" s="16"/>
      <c r="F1034" s="16"/>
      <c r="G1034" s="16" t="s">
        <v>251</v>
      </c>
      <c r="H1034" s="24" t="s">
        <v>30</v>
      </c>
      <c r="I1034" s="1"/>
      <c r="J1034" s="1"/>
      <c r="K1034" s="1"/>
      <c r="L1034" s="1"/>
      <c r="M1034" s="1"/>
      <c r="N1034" s="1"/>
      <c r="O1034" s="1"/>
    </row>
    <row r="1035" spans="1:15" ht="15" thickBot="1" x14ac:dyDescent="0.4">
      <c r="A1035" t="str">
        <f t="shared" ref="A1035:A1098" si="323">IF(LEFT(G1034,2)="FC",LEFT(G1034,5),LEFT(G1034,4))</f>
        <v>14J2</v>
      </c>
      <c r="B1035" t="str">
        <f t="shared" si="318"/>
        <v>CPAC Northeast</v>
      </c>
      <c r="C1035" s="18"/>
      <c r="D1035" s="18"/>
      <c r="E1035" s="18"/>
      <c r="F1035" s="18"/>
      <c r="G1035" s="18"/>
      <c r="H1035" s="25"/>
      <c r="I1035" s="3" t="s">
        <v>18</v>
      </c>
      <c r="J1035" s="11"/>
      <c r="K1035" s="11"/>
      <c r="L1035" s="11"/>
      <c r="M1035" s="11"/>
      <c r="N1035" s="11"/>
      <c r="O1035" s="11"/>
    </row>
    <row r="1036" spans="1:15" ht="15" thickBot="1" x14ac:dyDescent="0.4">
      <c r="A1036" t="str">
        <f t="shared" si="319"/>
        <v>14J2</v>
      </c>
      <c r="B1036" t="str">
        <f t="shared" si="318"/>
        <v>CPAC Northeast</v>
      </c>
      <c r="C1036" s="18"/>
      <c r="D1036" s="18"/>
      <c r="E1036" s="18"/>
      <c r="F1036" s="18"/>
      <c r="G1036" s="18"/>
      <c r="H1036" s="25"/>
      <c r="I1036" s="5" t="s">
        <v>19</v>
      </c>
      <c r="J1036" s="11"/>
      <c r="K1036" s="11"/>
      <c r="L1036" s="11"/>
      <c r="M1036" s="11"/>
      <c r="N1036" s="11"/>
      <c r="O1036" s="11"/>
    </row>
    <row r="1037" spans="1:15" ht="15" thickBot="1" x14ac:dyDescent="0.4">
      <c r="A1037" t="str">
        <f t="shared" si="320"/>
        <v>14J2</v>
      </c>
      <c r="B1037" t="str">
        <f t="shared" si="318"/>
        <v>CPAC Northeast</v>
      </c>
      <c r="C1037" s="18"/>
      <c r="D1037" s="18"/>
      <c r="E1037" s="18"/>
      <c r="F1037" s="18"/>
      <c r="G1037" s="18"/>
      <c r="H1037" s="25"/>
      <c r="I1037" s="3" t="s">
        <v>20</v>
      </c>
      <c r="J1037" s="11"/>
      <c r="K1037" s="11"/>
      <c r="L1037" s="11"/>
      <c r="M1037" s="11"/>
      <c r="N1037" s="11"/>
      <c r="O1037" s="11"/>
    </row>
    <row r="1038" spans="1:15" ht="15" thickBot="1" x14ac:dyDescent="0.4">
      <c r="A1038" t="str">
        <f t="shared" si="321"/>
        <v>14J2</v>
      </c>
      <c r="B1038" t="str">
        <f t="shared" si="318"/>
        <v>CPAC Northeast</v>
      </c>
      <c r="C1038" s="18"/>
      <c r="D1038" s="18"/>
      <c r="E1038" s="18"/>
      <c r="F1038" s="18"/>
      <c r="G1038" s="18"/>
      <c r="H1038" s="25"/>
      <c r="I1038" s="5" t="s">
        <v>21</v>
      </c>
      <c r="J1038" s="11"/>
      <c r="K1038" s="11"/>
      <c r="L1038" s="11"/>
      <c r="M1038" s="11"/>
      <c r="N1038" s="11"/>
      <c r="O1038" s="11"/>
    </row>
    <row r="1039" spans="1:15" ht="15" thickBot="1" x14ac:dyDescent="0.4">
      <c r="A1039" t="str">
        <f t="shared" si="322"/>
        <v>14J2</v>
      </c>
      <c r="B1039" t="str">
        <f t="shared" ref="B1039:B1102" si="324">$D$974</f>
        <v>CPAC Northeast</v>
      </c>
      <c r="C1039" s="19"/>
      <c r="D1039" s="19"/>
      <c r="E1039" s="19"/>
      <c r="F1039" s="19"/>
      <c r="G1039" s="19"/>
      <c r="H1039" s="26"/>
      <c r="I1039" s="3" t="s">
        <v>22</v>
      </c>
      <c r="J1039" s="11" t="s">
        <v>46</v>
      </c>
      <c r="K1039" s="11" t="s">
        <v>46</v>
      </c>
      <c r="L1039" s="11" t="s">
        <v>46</v>
      </c>
      <c r="M1039" s="11" t="s">
        <v>46</v>
      </c>
      <c r="N1039" s="11" t="s">
        <v>46</v>
      </c>
      <c r="O1039" s="11" t="s">
        <v>46</v>
      </c>
    </row>
    <row r="1040" spans="1:15" ht="15" thickBot="1" x14ac:dyDescent="0.4">
      <c r="B1040" t="str">
        <f t="shared" si="324"/>
        <v>CPAC Northeast</v>
      </c>
      <c r="C1040" s="16"/>
      <c r="D1040" s="16"/>
      <c r="E1040" s="16"/>
      <c r="F1040" s="16" t="s">
        <v>252</v>
      </c>
      <c r="G1040" s="16" t="s">
        <v>253</v>
      </c>
      <c r="H1040" s="27" t="s">
        <v>34</v>
      </c>
      <c r="I1040" s="1"/>
      <c r="J1040" s="1"/>
      <c r="K1040" s="1"/>
      <c r="L1040" s="1"/>
      <c r="M1040" s="1"/>
      <c r="N1040" s="1"/>
      <c r="O1040" s="1"/>
    </row>
    <row r="1041" spans="1:15" ht="15" thickBot="1" x14ac:dyDescent="0.4">
      <c r="A1041" t="str">
        <f t="shared" si="323"/>
        <v>FC157</v>
      </c>
      <c r="B1041" t="str">
        <f t="shared" si="324"/>
        <v>CPAC Northeast</v>
      </c>
      <c r="C1041" s="18"/>
      <c r="D1041" s="18"/>
      <c r="E1041" s="18"/>
      <c r="F1041" s="18"/>
      <c r="G1041" s="18"/>
      <c r="H1041" s="28"/>
      <c r="I1041" s="3" t="s">
        <v>18</v>
      </c>
      <c r="J1041" s="4">
        <v>53</v>
      </c>
      <c r="K1041" s="4">
        <v>30</v>
      </c>
      <c r="L1041" s="4">
        <v>30</v>
      </c>
      <c r="M1041" s="4">
        <v>42</v>
      </c>
      <c r="N1041" s="4">
        <v>35</v>
      </c>
      <c r="O1041" s="4">
        <v>35</v>
      </c>
    </row>
    <row r="1042" spans="1:15" ht="15" thickBot="1" x14ac:dyDescent="0.4">
      <c r="A1042" t="str">
        <f t="shared" ref="A1042:A1102" si="325">IF(LEFT(G1040,2)="FC",LEFT(G1040,5),LEFT(G1040,4))</f>
        <v>FC157</v>
      </c>
      <c r="B1042" t="str">
        <f t="shared" si="324"/>
        <v>CPAC Northeast</v>
      </c>
      <c r="C1042" s="18"/>
      <c r="D1042" s="18"/>
      <c r="E1042" s="18"/>
      <c r="F1042" s="18"/>
      <c r="G1042" s="18"/>
      <c r="H1042" s="28"/>
      <c r="I1042" s="5" t="s">
        <v>19</v>
      </c>
      <c r="J1042" s="9">
        <v>107</v>
      </c>
      <c r="K1042" s="7">
        <v>77</v>
      </c>
      <c r="L1042" s="9">
        <v>92</v>
      </c>
      <c r="M1042" s="7">
        <v>83</v>
      </c>
      <c r="N1042" s="7">
        <v>75</v>
      </c>
      <c r="O1042" s="6">
        <v>63</v>
      </c>
    </row>
    <row r="1043" spans="1:15" ht="15" thickBot="1" x14ac:dyDescent="0.4">
      <c r="A1043" t="str">
        <f t="shared" ref="A1043:A1103" si="326">IF(LEFT(G1040,2)="FC",LEFT(G1040,5),LEFT(G1040,4))</f>
        <v>FC157</v>
      </c>
      <c r="B1043" t="str">
        <f t="shared" si="324"/>
        <v>CPAC Northeast</v>
      </c>
      <c r="C1043" s="18"/>
      <c r="D1043" s="18"/>
      <c r="E1043" s="18"/>
      <c r="F1043" s="18"/>
      <c r="G1043" s="18"/>
      <c r="H1043" s="28"/>
      <c r="I1043" s="3" t="s">
        <v>20</v>
      </c>
      <c r="J1043" s="10">
        <v>21</v>
      </c>
      <c r="K1043" s="10">
        <v>26.9</v>
      </c>
      <c r="L1043" s="10">
        <v>17.899999999999999</v>
      </c>
      <c r="M1043" s="7">
        <v>39.1</v>
      </c>
      <c r="N1043" s="10">
        <v>22.7</v>
      </c>
      <c r="O1043" s="10">
        <v>26.2</v>
      </c>
    </row>
    <row r="1044" spans="1:15" ht="15" thickBot="1" x14ac:dyDescent="0.4">
      <c r="A1044" t="str">
        <f t="shared" ref="A1044:A1104" si="327">IF(LEFT(G1040,2)="FC",LEFT(G1040,5),LEFT(G1040,4))</f>
        <v>FC157</v>
      </c>
      <c r="B1044" t="str">
        <f t="shared" si="324"/>
        <v>CPAC Northeast</v>
      </c>
      <c r="C1044" s="18"/>
      <c r="D1044" s="18"/>
      <c r="E1044" s="18"/>
      <c r="F1044" s="18"/>
      <c r="G1044" s="18"/>
      <c r="H1044" s="28"/>
      <c r="I1044" s="5" t="s">
        <v>21</v>
      </c>
      <c r="J1044" s="10">
        <v>1.69</v>
      </c>
      <c r="K1044" s="10">
        <v>0.96</v>
      </c>
      <c r="L1044" s="10">
        <v>1.72</v>
      </c>
      <c r="M1044" s="9">
        <v>0.71</v>
      </c>
      <c r="N1044" s="10">
        <v>1.1000000000000001</v>
      </c>
      <c r="O1044" s="10">
        <v>0.8</v>
      </c>
    </row>
    <row r="1045" spans="1:15" ht="15" thickBot="1" x14ac:dyDescent="0.4">
      <c r="A1045" t="str">
        <f t="shared" ref="A1045:A1105" si="328">IF(LEFT(G1040,2)="FC",LEFT(G1040,5),LEFT(G1040,4))</f>
        <v>FC157</v>
      </c>
      <c r="B1045" t="str">
        <f t="shared" si="324"/>
        <v>CPAC Northeast</v>
      </c>
      <c r="C1045" s="19"/>
      <c r="D1045" s="19"/>
      <c r="E1045" s="19"/>
      <c r="F1045" s="19"/>
      <c r="G1045" s="19"/>
      <c r="H1045" s="29"/>
      <c r="I1045" s="3" t="s">
        <v>22</v>
      </c>
      <c r="J1045" s="11"/>
      <c r="K1045" s="10" t="s">
        <v>24</v>
      </c>
      <c r="L1045" s="10" t="s">
        <v>24</v>
      </c>
      <c r="M1045" s="9" t="s">
        <v>25</v>
      </c>
      <c r="N1045" s="11"/>
      <c r="O1045" s="9" t="s">
        <v>25</v>
      </c>
    </row>
    <row r="1046" spans="1:15" ht="15" thickBot="1" x14ac:dyDescent="0.4">
      <c r="B1046" t="str">
        <f t="shared" si="324"/>
        <v>CPAC Northeast</v>
      </c>
      <c r="C1046" s="16"/>
      <c r="D1046" s="16"/>
      <c r="E1046" s="16"/>
      <c r="F1046" s="16"/>
      <c r="G1046" s="16" t="s">
        <v>254</v>
      </c>
      <c r="H1046" s="30" t="s">
        <v>39</v>
      </c>
      <c r="I1046" s="1"/>
      <c r="J1046" s="1"/>
      <c r="K1046" s="1"/>
      <c r="L1046" s="1"/>
      <c r="M1046" s="1"/>
      <c r="N1046" s="1"/>
      <c r="O1046" s="1"/>
    </row>
    <row r="1047" spans="1:15" ht="15" thickBot="1" x14ac:dyDescent="0.4">
      <c r="A1047" t="str">
        <f t="shared" si="323"/>
        <v>FC144</v>
      </c>
      <c r="B1047" t="str">
        <f t="shared" si="324"/>
        <v>CPAC Northeast</v>
      </c>
      <c r="C1047" s="18"/>
      <c r="D1047" s="18"/>
      <c r="E1047" s="18"/>
      <c r="F1047" s="18"/>
      <c r="G1047" s="18"/>
      <c r="H1047" s="31"/>
      <c r="I1047" s="3" t="s">
        <v>18</v>
      </c>
      <c r="J1047" s="8">
        <v>15</v>
      </c>
      <c r="K1047" s="4">
        <v>30</v>
      </c>
      <c r="L1047" s="4">
        <v>40</v>
      </c>
      <c r="M1047" s="4">
        <v>45</v>
      </c>
      <c r="N1047" s="4">
        <v>45</v>
      </c>
      <c r="O1047" s="4">
        <v>40</v>
      </c>
    </row>
    <row r="1048" spans="1:15" ht="15" thickBot="1" x14ac:dyDescent="0.4">
      <c r="A1048" t="str">
        <f t="shared" si="325"/>
        <v>FC144</v>
      </c>
      <c r="B1048" t="str">
        <f t="shared" si="324"/>
        <v>CPAC Northeast</v>
      </c>
      <c r="C1048" s="18"/>
      <c r="D1048" s="18"/>
      <c r="E1048" s="18"/>
      <c r="F1048" s="18"/>
      <c r="G1048" s="18"/>
      <c r="H1048" s="31"/>
      <c r="I1048" s="5" t="s">
        <v>19</v>
      </c>
      <c r="J1048" s="8">
        <v>15</v>
      </c>
      <c r="K1048" s="6">
        <v>62</v>
      </c>
      <c r="L1048" s="9">
        <v>119</v>
      </c>
      <c r="M1048" s="9">
        <v>99</v>
      </c>
      <c r="N1048" s="9">
        <v>95</v>
      </c>
      <c r="O1048" s="7">
        <v>80</v>
      </c>
    </row>
    <row r="1049" spans="1:15" ht="15" thickBot="1" x14ac:dyDescent="0.4">
      <c r="A1049" t="str">
        <f t="shared" si="326"/>
        <v>FC144</v>
      </c>
      <c r="B1049" t="str">
        <f t="shared" si="324"/>
        <v>CPAC Northeast</v>
      </c>
      <c r="C1049" s="18"/>
      <c r="D1049" s="18"/>
      <c r="E1049" s="18"/>
      <c r="F1049" s="18"/>
      <c r="G1049" s="18"/>
      <c r="H1049" s="31"/>
      <c r="I1049" s="3" t="s">
        <v>20</v>
      </c>
      <c r="J1049" s="10">
        <v>13</v>
      </c>
      <c r="K1049" s="10">
        <v>27.7</v>
      </c>
      <c r="L1049" s="9">
        <v>29.5</v>
      </c>
      <c r="M1049" s="10">
        <v>16.100000000000001</v>
      </c>
      <c r="N1049" s="10">
        <v>21.9</v>
      </c>
      <c r="O1049" s="10">
        <v>19.100000000000001</v>
      </c>
    </row>
    <row r="1050" spans="1:15" ht="15" thickBot="1" x14ac:dyDescent="0.4">
      <c r="A1050" t="str">
        <f t="shared" si="327"/>
        <v>FC144</v>
      </c>
      <c r="B1050" t="str">
        <f t="shared" si="324"/>
        <v>CPAC Northeast</v>
      </c>
      <c r="C1050" s="18"/>
      <c r="D1050" s="18"/>
      <c r="E1050" s="18"/>
      <c r="F1050" s="18"/>
      <c r="G1050" s="18"/>
      <c r="H1050" s="31"/>
      <c r="I1050" s="5" t="s">
        <v>21</v>
      </c>
      <c r="J1050" s="8">
        <v>0.38</v>
      </c>
      <c r="K1050" s="9">
        <v>0.74</v>
      </c>
      <c r="L1050" s="10">
        <v>1.35</v>
      </c>
      <c r="M1050" s="10">
        <v>2.06</v>
      </c>
      <c r="N1050" s="10">
        <v>1.44</v>
      </c>
      <c r="O1050" s="10">
        <v>1.39</v>
      </c>
    </row>
    <row r="1051" spans="1:15" ht="15" thickBot="1" x14ac:dyDescent="0.4">
      <c r="A1051" t="str">
        <f t="shared" si="328"/>
        <v>FC144</v>
      </c>
      <c r="B1051" t="str">
        <f t="shared" si="324"/>
        <v>CPAC Northeast</v>
      </c>
      <c r="C1051" s="19"/>
      <c r="D1051" s="19"/>
      <c r="E1051" s="19"/>
      <c r="F1051" s="19"/>
      <c r="G1051" s="19"/>
      <c r="H1051" s="32"/>
      <c r="I1051" s="3" t="s">
        <v>22</v>
      </c>
      <c r="J1051" s="8" t="s">
        <v>23</v>
      </c>
      <c r="K1051" s="9" t="s">
        <v>25</v>
      </c>
      <c r="L1051" s="10" t="s">
        <v>24</v>
      </c>
      <c r="M1051" s="10" t="s">
        <v>24</v>
      </c>
      <c r="N1051" s="10" t="s">
        <v>24</v>
      </c>
      <c r="O1051" s="10" t="s">
        <v>24</v>
      </c>
    </row>
    <row r="1052" spans="1:15" ht="15" thickBot="1" x14ac:dyDescent="0.4">
      <c r="B1052" t="str">
        <f t="shared" si="324"/>
        <v>CPAC Northeast</v>
      </c>
      <c r="C1052" s="16"/>
      <c r="D1052" s="16"/>
      <c r="E1052" s="16"/>
      <c r="F1052" s="16"/>
      <c r="G1052" s="16" t="s">
        <v>255</v>
      </c>
      <c r="H1052" s="27" t="s">
        <v>34</v>
      </c>
      <c r="I1052" s="1"/>
      <c r="J1052" s="1"/>
      <c r="K1052" s="1"/>
      <c r="L1052" s="1"/>
      <c r="M1052" s="1"/>
      <c r="N1052" s="1"/>
      <c r="O1052" s="1"/>
    </row>
    <row r="1053" spans="1:15" ht="15" thickBot="1" x14ac:dyDescent="0.4">
      <c r="A1053" t="str">
        <f t="shared" si="323"/>
        <v>FC050</v>
      </c>
      <c r="B1053" t="str">
        <f t="shared" si="324"/>
        <v>CPAC Northeast</v>
      </c>
      <c r="C1053" s="18"/>
      <c r="D1053" s="18"/>
      <c r="E1053" s="18"/>
      <c r="F1053" s="18"/>
      <c r="G1053" s="18"/>
      <c r="H1053" s="28"/>
      <c r="I1053" s="3" t="s">
        <v>18</v>
      </c>
      <c r="J1053" s="4">
        <v>40</v>
      </c>
      <c r="K1053" s="4">
        <v>50</v>
      </c>
      <c r="L1053" s="4">
        <v>40</v>
      </c>
      <c r="M1053" s="4">
        <v>49</v>
      </c>
      <c r="N1053" s="4">
        <v>45</v>
      </c>
      <c r="O1053" s="4">
        <v>45</v>
      </c>
    </row>
    <row r="1054" spans="1:15" ht="15" thickBot="1" x14ac:dyDescent="0.4">
      <c r="A1054" t="str">
        <f t="shared" si="325"/>
        <v>FC050</v>
      </c>
      <c r="B1054" t="str">
        <f t="shared" si="324"/>
        <v>CPAC Northeast</v>
      </c>
      <c r="C1054" s="18"/>
      <c r="D1054" s="18"/>
      <c r="E1054" s="18"/>
      <c r="F1054" s="18"/>
      <c r="G1054" s="18"/>
      <c r="H1054" s="28"/>
      <c r="I1054" s="5" t="s">
        <v>19</v>
      </c>
      <c r="J1054" s="7">
        <v>77</v>
      </c>
      <c r="K1054" s="6">
        <v>62</v>
      </c>
      <c r="L1054" s="9">
        <v>92</v>
      </c>
      <c r="M1054" s="6">
        <v>51</v>
      </c>
      <c r="N1054" s="6">
        <v>57</v>
      </c>
      <c r="O1054" s="7">
        <v>70</v>
      </c>
    </row>
    <row r="1055" spans="1:15" ht="15" thickBot="1" x14ac:dyDescent="0.4">
      <c r="A1055" t="str">
        <f t="shared" si="326"/>
        <v>FC050</v>
      </c>
      <c r="B1055" t="str">
        <f t="shared" si="324"/>
        <v>CPAC Northeast</v>
      </c>
      <c r="C1055" s="18"/>
      <c r="D1055" s="18"/>
      <c r="E1055" s="18"/>
      <c r="F1055" s="18"/>
      <c r="G1055" s="18"/>
      <c r="H1055" s="28"/>
      <c r="I1055" s="3" t="s">
        <v>20</v>
      </c>
      <c r="J1055" s="10">
        <v>28.5</v>
      </c>
      <c r="K1055" s="10">
        <v>21</v>
      </c>
      <c r="L1055" s="9">
        <v>31.7</v>
      </c>
      <c r="M1055" s="9">
        <v>30</v>
      </c>
      <c r="N1055" s="10">
        <v>26.2</v>
      </c>
      <c r="O1055" s="10">
        <v>25.3</v>
      </c>
    </row>
    <row r="1056" spans="1:15" ht="15" thickBot="1" x14ac:dyDescent="0.4">
      <c r="A1056" t="str">
        <f t="shared" si="327"/>
        <v>FC050</v>
      </c>
      <c r="B1056" t="str">
        <f t="shared" si="324"/>
        <v>CPAC Northeast</v>
      </c>
      <c r="C1056" s="18"/>
      <c r="D1056" s="18"/>
      <c r="E1056" s="18"/>
      <c r="F1056" s="18"/>
      <c r="G1056" s="18"/>
      <c r="H1056" s="28"/>
      <c r="I1056" s="5" t="s">
        <v>21</v>
      </c>
      <c r="J1056" s="10">
        <v>0.9</v>
      </c>
      <c r="K1056" s="10">
        <v>0.99</v>
      </c>
      <c r="L1056" s="10">
        <v>0.97</v>
      </c>
      <c r="M1056" s="9">
        <v>0.56000000000000005</v>
      </c>
      <c r="N1056" s="9">
        <v>0.72</v>
      </c>
      <c r="O1056" s="10">
        <v>0.92</v>
      </c>
    </row>
    <row r="1057" spans="1:15" ht="15" thickBot="1" x14ac:dyDescent="0.4">
      <c r="A1057" t="str">
        <f t="shared" si="328"/>
        <v>FC050</v>
      </c>
      <c r="B1057" t="str">
        <f t="shared" si="324"/>
        <v>CPAC Northeast</v>
      </c>
      <c r="C1057" s="19"/>
      <c r="D1057" s="19"/>
      <c r="E1057" s="19"/>
      <c r="F1057" s="19"/>
      <c r="G1057" s="19"/>
      <c r="H1057" s="29"/>
      <c r="I1057" s="3" t="s">
        <v>22</v>
      </c>
      <c r="J1057" s="10" t="s">
        <v>24</v>
      </c>
      <c r="K1057" s="10" t="s">
        <v>24</v>
      </c>
      <c r="L1057" s="10" t="s">
        <v>24</v>
      </c>
      <c r="M1057" s="9" t="s">
        <v>25</v>
      </c>
      <c r="N1057" s="9" t="s">
        <v>25</v>
      </c>
      <c r="O1057" s="10" t="s">
        <v>24</v>
      </c>
    </row>
    <row r="1058" spans="1:15" ht="15" thickBot="1" x14ac:dyDescent="0.4">
      <c r="B1058" t="str">
        <f t="shared" si="324"/>
        <v>CPAC Northeast</v>
      </c>
      <c r="C1058" s="16"/>
      <c r="D1058" s="16"/>
      <c r="E1058" s="16"/>
      <c r="F1058" s="16"/>
      <c r="G1058" s="16" t="s">
        <v>256</v>
      </c>
      <c r="H1058" s="20" t="s">
        <v>17</v>
      </c>
      <c r="I1058" s="1"/>
      <c r="J1058" s="1"/>
      <c r="K1058" s="1"/>
      <c r="L1058" s="1"/>
      <c r="M1058" s="1"/>
      <c r="N1058" s="1"/>
      <c r="O1058" s="1"/>
    </row>
    <row r="1059" spans="1:15" ht="15" thickBot="1" x14ac:dyDescent="0.4">
      <c r="A1059" t="str">
        <f t="shared" si="323"/>
        <v>FC359</v>
      </c>
      <c r="B1059" t="str">
        <f t="shared" si="324"/>
        <v>CPAC Northeast</v>
      </c>
      <c r="C1059" s="18"/>
      <c r="D1059" s="18"/>
      <c r="E1059" s="18"/>
      <c r="F1059" s="18"/>
      <c r="G1059" s="18"/>
      <c r="H1059" s="22"/>
      <c r="I1059" s="3" t="s">
        <v>18</v>
      </c>
      <c r="J1059" s="4">
        <v>38</v>
      </c>
      <c r="K1059" s="4">
        <v>36</v>
      </c>
      <c r="L1059" s="4">
        <v>30</v>
      </c>
      <c r="M1059" s="4">
        <v>37</v>
      </c>
      <c r="N1059" s="4">
        <v>30</v>
      </c>
      <c r="O1059" s="4">
        <v>40</v>
      </c>
    </row>
    <row r="1060" spans="1:15" ht="15" thickBot="1" x14ac:dyDescent="0.4">
      <c r="A1060" t="str">
        <f t="shared" si="325"/>
        <v>FC359</v>
      </c>
      <c r="B1060" t="str">
        <f t="shared" si="324"/>
        <v>CPAC Northeast</v>
      </c>
      <c r="C1060" s="18"/>
      <c r="D1060" s="18"/>
      <c r="E1060" s="18"/>
      <c r="F1060" s="18"/>
      <c r="G1060" s="18"/>
      <c r="H1060" s="22"/>
      <c r="I1060" s="5" t="s">
        <v>19</v>
      </c>
      <c r="J1060" s="9">
        <v>92</v>
      </c>
      <c r="K1060" s="8">
        <v>39</v>
      </c>
      <c r="L1060" s="7">
        <v>75</v>
      </c>
      <c r="M1060" s="6">
        <v>50</v>
      </c>
      <c r="N1060" s="7">
        <v>88</v>
      </c>
      <c r="O1060" s="8">
        <v>42</v>
      </c>
    </row>
    <row r="1061" spans="1:15" ht="15" thickBot="1" x14ac:dyDescent="0.4">
      <c r="A1061" t="str">
        <f t="shared" si="326"/>
        <v>FC359</v>
      </c>
      <c r="B1061" t="str">
        <f t="shared" si="324"/>
        <v>CPAC Northeast</v>
      </c>
      <c r="C1061" s="18"/>
      <c r="D1061" s="18"/>
      <c r="E1061" s="18"/>
      <c r="F1061" s="18"/>
      <c r="G1061" s="18"/>
      <c r="H1061" s="22"/>
      <c r="I1061" s="3" t="s">
        <v>20</v>
      </c>
      <c r="J1061" s="10">
        <v>13.3</v>
      </c>
      <c r="K1061" s="10">
        <v>11.2</v>
      </c>
      <c r="L1061" s="9">
        <v>29.8</v>
      </c>
      <c r="M1061" s="10">
        <v>28.5</v>
      </c>
      <c r="N1061" s="10">
        <v>24.1</v>
      </c>
      <c r="O1061" s="7">
        <v>38.700000000000003</v>
      </c>
    </row>
    <row r="1062" spans="1:15" ht="15" thickBot="1" x14ac:dyDescent="0.4">
      <c r="A1062" t="str">
        <f t="shared" si="327"/>
        <v>FC359</v>
      </c>
      <c r="B1062" t="str">
        <f t="shared" si="324"/>
        <v>CPAC Northeast</v>
      </c>
      <c r="C1062" s="18"/>
      <c r="D1062" s="18"/>
      <c r="E1062" s="18"/>
      <c r="F1062" s="18"/>
      <c r="G1062" s="18"/>
      <c r="H1062" s="22"/>
      <c r="I1062" s="5" t="s">
        <v>21</v>
      </c>
      <c r="J1062" s="10">
        <v>2.31</v>
      </c>
      <c r="K1062" s="10">
        <v>1.17</v>
      </c>
      <c r="L1062" s="10">
        <v>0.84</v>
      </c>
      <c r="M1062" s="9">
        <v>0.59</v>
      </c>
      <c r="N1062" s="10">
        <v>1.22</v>
      </c>
      <c r="O1062" s="8">
        <v>0.36</v>
      </c>
    </row>
    <row r="1063" spans="1:15" ht="15" thickBot="1" x14ac:dyDescent="0.4">
      <c r="A1063" t="str">
        <f t="shared" si="328"/>
        <v>FC359</v>
      </c>
      <c r="B1063" t="str">
        <f t="shared" si="324"/>
        <v>CPAC Northeast</v>
      </c>
      <c r="C1063" s="19"/>
      <c r="D1063" s="19"/>
      <c r="E1063" s="19"/>
      <c r="F1063" s="19"/>
      <c r="G1063" s="19"/>
      <c r="H1063" s="23"/>
      <c r="I1063" s="3" t="s">
        <v>22</v>
      </c>
      <c r="J1063" s="11"/>
      <c r="K1063" s="11"/>
      <c r="L1063" s="11"/>
      <c r="M1063" s="11"/>
      <c r="N1063" s="11"/>
      <c r="O1063" s="8" t="s">
        <v>23</v>
      </c>
    </row>
    <row r="1064" spans="1:15" ht="15" thickBot="1" x14ac:dyDescent="0.4">
      <c r="B1064" t="str">
        <f t="shared" si="324"/>
        <v>CPAC Northeast</v>
      </c>
      <c r="C1064" s="16"/>
      <c r="D1064" s="16"/>
      <c r="E1064" s="16"/>
      <c r="F1064" s="16"/>
      <c r="G1064" s="16" t="s">
        <v>257</v>
      </c>
      <c r="H1064" s="30" t="s">
        <v>39</v>
      </c>
      <c r="I1064" s="1"/>
      <c r="J1064" s="1"/>
      <c r="K1064" s="1"/>
      <c r="L1064" s="1"/>
      <c r="M1064" s="1"/>
      <c r="N1064" s="1"/>
      <c r="O1064" s="1"/>
    </row>
    <row r="1065" spans="1:15" ht="15" thickBot="1" x14ac:dyDescent="0.4">
      <c r="A1065" t="str">
        <f t="shared" si="323"/>
        <v>FC409</v>
      </c>
      <c r="B1065" t="str">
        <f t="shared" si="324"/>
        <v>CPAC Northeast</v>
      </c>
      <c r="C1065" s="18"/>
      <c r="D1065" s="18"/>
      <c r="E1065" s="18"/>
      <c r="F1065" s="18"/>
      <c r="G1065" s="18"/>
      <c r="H1065" s="31"/>
      <c r="I1065" s="3" t="s">
        <v>18</v>
      </c>
      <c r="J1065" s="4">
        <v>35</v>
      </c>
      <c r="K1065" s="4">
        <v>36</v>
      </c>
      <c r="L1065" s="4">
        <v>35</v>
      </c>
      <c r="M1065" s="4">
        <v>35</v>
      </c>
      <c r="N1065" s="4">
        <v>35</v>
      </c>
      <c r="O1065" s="4">
        <v>30</v>
      </c>
    </row>
    <row r="1066" spans="1:15" ht="15" thickBot="1" x14ac:dyDescent="0.4">
      <c r="A1066" t="str">
        <f t="shared" si="325"/>
        <v>FC409</v>
      </c>
      <c r="B1066" t="str">
        <f t="shared" si="324"/>
        <v>CPAC Northeast</v>
      </c>
      <c r="C1066" s="18"/>
      <c r="D1066" s="18"/>
      <c r="E1066" s="18"/>
      <c r="F1066" s="18"/>
      <c r="G1066" s="18"/>
      <c r="H1066" s="31"/>
      <c r="I1066" s="5" t="s">
        <v>19</v>
      </c>
      <c r="J1066" s="9">
        <v>114</v>
      </c>
      <c r="K1066" s="9">
        <v>91</v>
      </c>
      <c r="L1066" s="9">
        <v>117</v>
      </c>
      <c r="M1066" s="9">
        <v>93</v>
      </c>
      <c r="N1066" s="6">
        <v>69</v>
      </c>
      <c r="O1066" s="7">
        <v>75</v>
      </c>
    </row>
    <row r="1067" spans="1:15" ht="15" thickBot="1" x14ac:dyDescent="0.4">
      <c r="A1067" t="str">
        <f t="shared" si="326"/>
        <v>FC409</v>
      </c>
      <c r="B1067" t="str">
        <f t="shared" si="324"/>
        <v>CPAC Northeast</v>
      </c>
      <c r="C1067" s="18"/>
      <c r="D1067" s="18"/>
      <c r="E1067" s="18"/>
      <c r="F1067" s="18"/>
      <c r="G1067" s="18"/>
      <c r="H1067" s="31"/>
      <c r="I1067" s="3" t="s">
        <v>20</v>
      </c>
      <c r="J1067" s="10">
        <v>22.7</v>
      </c>
      <c r="K1067" s="10">
        <v>25.9</v>
      </c>
      <c r="L1067" s="10">
        <v>22.9</v>
      </c>
      <c r="M1067" s="10">
        <v>24</v>
      </c>
      <c r="N1067" s="10">
        <v>20.399999999999999</v>
      </c>
      <c r="O1067" s="10">
        <v>27.9</v>
      </c>
    </row>
    <row r="1068" spans="1:15" ht="15" thickBot="1" x14ac:dyDescent="0.4">
      <c r="A1068" t="str">
        <f t="shared" si="327"/>
        <v>FC409</v>
      </c>
      <c r="B1068" t="str">
        <f t="shared" si="324"/>
        <v>CPAC Northeast</v>
      </c>
      <c r="C1068" s="18"/>
      <c r="D1068" s="18"/>
      <c r="E1068" s="18"/>
      <c r="F1068" s="18"/>
      <c r="G1068" s="18"/>
      <c r="H1068" s="31"/>
      <c r="I1068" s="5" t="s">
        <v>21</v>
      </c>
      <c r="J1068" s="10">
        <v>1.67</v>
      </c>
      <c r="K1068" s="10">
        <v>1.17</v>
      </c>
      <c r="L1068" s="10">
        <v>1.7</v>
      </c>
      <c r="M1068" s="10">
        <v>1.29</v>
      </c>
      <c r="N1068" s="10">
        <v>1.1299999999999999</v>
      </c>
      <c r="O1068" s="10">
        <v>0.9</v>
      </c>
    </row>
    <row r="1069" spans="1:15" ht="15" thickBot="1" x14ac:dyDescent="0.4">
      <c r="A1069" t="str">
        <f t="shared" si="328"/>
        <v>FC409</v>
      </c>
      <c r="B1069" t="str">
        <f t="shared" si="324"/>
        <v>CPAC Northeast</v>
      </c>
      <c r="C1069" s="19"/>
      <c r="D1069" s="19"/>
      <c r="E1069" s="19"/>
      <c r="F1069" s="19"/>
      <c r="G1069" s="19"/>
      <c r="H1069" s="32"/>
      <c r="I1069" s="3" t="s">
        <v>22</v>
      </c>
      <c r="J1069" s="11"/>
      <c r="K1069" s="11"/>
      <c r="L1069" s="10" t="s">
        <v>24</v>
      </c>
      <c r="M1069" s="10" t="s">
        <v>24</v>
      </c>
      <c r="N1069" s="10" t="s">
        <v>24</v>
      </c>
      <c r="O1069" s="10" t="s">
        <v>24</v>
      </c>
    </row>
    <row r="1070" spans="1:15" ht="15" thickBot="1" x14ac:dyDescent="0.4">
      <c r="B1070" t="str">
        <f t="shared" si="324"/>
        <v>CPAC Northeast</v>
      </c>
      <c r="C1070" s="16"/>
      <c r="D1070" s="16"/>
      <c r="E1070" s="16"/>
      <c r="F1070" s="16" t="s">
        <v>258</v>
      </c>
      <c r="G1070" s="16" t="s">
        <v>259</v>
      </c>
      <c r="H1070" s="27" t="s">
        <v>34</v>
      </c>
      <c r="I1070" s="1"/>
      <c r="J1070" s="1"/>
      <c r="K1070" s="1"/>
      <c r="L1070" s="1"/>
      <c r="M1070" s="1"/>
      <c r="N1070" s="1"/>
      <c r="O1070" s="1"/>
    </row>
    <row r="1071" spans="1:15" ht="15" thickBot="1" x14ac:dyDescent="0.4">
      <c r="A1071" t="str">
        <f t="shared" si="323"/>
        <v>FC354</v>
      </c>
      <c r="B1071" t="str">
        <f t="shared" si="324"/>
        <v>CPAC Northeast</v>
      </c>
      <c r="C1071" s="18"/>
      <c r="D1071" s="18"/>
      <c r="E1071" s="18"/>
      <c r="F1071" s="18"/>
      <c r="G1071" s="18"/>
      <c r="H1071" s="28"/>
      <c r="I1071" s="3" t="s">
        <v>18</v>
      </c>
      <c r="J1071" s="4">
        <v>39</v>
      </c>
      <c r="K1071" s="4">
        <v>42</v>
      </c>
      <c r="L1071" s="4">
        <v>39</v>
      </c>
      <c r="M1071" s="4">
        <v>45</v>
      </c>
      <c r="N1071" s="4">
        <v>32</v>
      </c>
      <c r="O1071" s="4">
        <v>38</v>
      </c>
    </row>
    <row r="1072" spans="1:15" ht="15" thickBot="1" x14ac:dyDescent="0.4">
      <c r="A1072" t="str">
        <f t="shared" si="325"/>
        <v>FC354</v>
      </c>
      <c r="B1072" t="str">
        <f t="shared" si="324"/>
        <v>CPAC Northeast</v>
      </c>
      <c r="C1072" s="18"/>
      <c r="D1072" s="18"/>
      <c r="E1072" s="18"/>
      <c r="F1072" s="18"/>
      <c r="G1072" s="18"/>
      <c r="H1072" s="28"/>
      <c r="I1072" s="5" t="s">
        <v>19</v>
      </c>
      <c r="J1072" s="8">
        <v>49</v>
      </c>
      <c r="K1072" s="7">
        <v>90</v>
      </c>
      <c r="L1072" s="7">
        <v>70</v>
      </c>
      <c r="M1072" s="8">
        <v>47</v>
      </c>
      <c r="N1072" s="7">
        <v>79</v>
      </c>
      <c r="O1072" s="9">
        <v>109</v>
      </c>
    </row>
    <row r="1073" spans="1:15" ht="15" thickBot="1" x14ac:dyDescent="0.4">
      <c r="A1073" t="str">
        <f t="shared" si="326"/>
        <v>FC354</v>
      </c>
      <c r="B1073" t="str">
        <f t="shared" si="324"/>
        <v>CPAC Northeast</v>
      </c>
      <c r="C1073" s="18"/>
      <c r="D1073" s="18"/>
      <c r="E1073" s="18"/>
      <c r="F1073" s="18"/>
      <c r="G1073" s="18"/>
      <c r="H1073" s="28"/>
      <c r="I1073" s="3" t="s">
        <v>20</v>
      </c>
      <c r="J1073" s="10">
        <v>27.5</v>
      </c>
      <c r="K1073" s="9">
        <v>29.5</v>
      </c>
      <c r="L1073" s="10">
        <v>18.399999999999999</v>
      </c>
      <c r="M1073" s="10">
        <v>24.1</v>
      </c>
      <c r="N1073" s="6">
        <v>43.6</v>
      </c>
      <c r="O1073" s="10">
        <v>27.5</v>
      </c>
    </row>
    <row r="1074" spans="1:15" ht="15" thickBot="1" x14ac:dyDescent="0.4">
      <c r="A1074" t="str">
        <f t="shared" si="327"/>
        <v>FC354</v>
      </c>
      <c r="B1074" t="str">
        <f t="shared" si="324"/>
        <v>CPAC Northeast</v>
      </c>
      <c r="C1074" s="18"/>
      <c r="D1074" s="18"/>
      <c r="E1074" s="18"/>
      <c r="F1074" s="18"/>
      <c r="G1074" s="18"/>
      <c r="H1074" s="28"/>
      <c r="I1074" s="5" t="s">
        <v>21</v>
      </c>
      <c r="J1074" s="9">
        <v>0.6</v>
      </c>
      <c r="K1074" s="10">
        <v>1.02</v>
      </c>
      <c r="L1074" s="10">
        <v>1.27</v>
      </c>
      <c r="M1074" s="9">
        <v>0.65</v>
      </c>
      <c r="N1074" s="9">
        <v>0.61</v>
      </c>
      <c r="O1074" s="10">
        <v>1.32</v>
      </c>
    </row>
    <row r="1075" spans="1:15" ht="15" thickBot="1" x14ac:dyDescent="0.4">
      <c r="A1075" t="str">
        <f t="shared" si="328"/>
        <v>FC354</v>
      </c>
      <c r="B1075" t="str">
        <f t="shared" si="324"/>
        <v>CPAC Northeast</v>
      </c>
      <c r="C1075" s="19"/>
      <c r="D1075" s="19"/>
      <c r="E1075" s="19"/>
      <c r="F1075" s="19"/>
      <c r="G1075" s="19"/>
      <c r="H1075" s="29"/>
      <c r="I1075" s="3" t="s">
        <v>22</v>
      </c>
      <c r="J1075" s="9" t="s">
        <v>25</v>
      </c>
      <c r="K1075" s="10" t="s">
        <v>24</v>
      </c>
      <c r="L1075" s="10" t="s">
        <v>24</v>
      </c>
      <c r="M1075" s="9" t="s">
        <v>25</v>
      </c>
      <c r="N1075" s="9" t="s">
        <v>25</v>
      </c>
      <c r="O1075" s="10" t="s">
        <v>24</v>
      </c>
    </row>
    <row r="1076" spans="1:15" ht="15" thickBot="1" x14ac:dyDescent="0.4">
      <c r="B1076" t="str">
        <f t="shared" si="324"/>
        <v>CPAC Northeast</v>
      </c>
      <c r="C1076" s="16"/>
      <c r="D1076" s="16"/>
      <c r="E1076" s="16"/>
      <c r="F1076" s="16"/>
      <c r="G1076" s="16" t="s">
        <v>260</v>
      </c>
      <c r="H1076" s="30" t="s">
        <v>39</v>
      </c>
      <c r="I1076" s="1"/>
      <c r="J1076" s="1"/>
      <c r="K1076" s="1"/>
      <c r="L1076" s="1"/>
      <c r="M1076" s="1"/>
      <c r="N1076" s="1"/>
      <c r="O1076" s="1"/>
    </row>
    <row r="1077" spans="1:15" ht="15" thickBot="1" x14ac:dyDescent="0.4">
      <c r="A1077" t="str">
        <f t="shared" si="323"/>
        <v>FC063</v>
      </c>
      <c r="B1077" t="str">
        <f t="shared" si="324"/>
        <v>CPAC Northeast</v>
      </c>
      <c r="C1077" s="18"/>
      <c r="D1077" s="18"/>
      <c r="E1077" s="18"/>
      <c r="F1077" s="18"/>
      <c r="G1077" s="18"/>
      <c r="H1077" s="31"/>
      <c r="I1077" s="3" t="s">
        <v>18</v>
      </c>
      <c r="J1077" s="8">
        <v>29</v>
      </c>
      <c r="K1077" s="4">
        <v>72</v>
      </c>
      <c r="L1077" s="4">
        <v>30</v>
      </c>
      <c r="M1077" s="4">
        <v>45</v>
      </c>
      <c r="N1077" s="4">
        <v>40</v>
      </c>
      <c r="O1077" s="4">
        <v>38</v>
      </c>
    </row>
    <row r="1078" spans="1:15" ht="15" thickBot="1" x14ac:dyDescent="0.4">
      <c r="A1078" t="str">
        <f t="shared" si="325"/>
        <v>FC063</v>
      </c>
      <c r="B1078" t="str">
        <f t="shared" si="324"/>
        <v>CPAC Northeast</v>
      </c>
      <c r="C1078" s="18"/>
      <c r="D1078" s="18"/>
      <c r="E1078" s="18"/>
      <c r="F1078" s="18"/>
      <c r="G1078" s="18"/>
      <c r="H1078" s="31"/>
      <c r="I1078" s="5" t="s">
        <v>19</v>
      </c>
      <c r="J1078" s="9">
        <v>108</v>
      </c>
      <c r="K1078" s="7">
        <v>80</v>
      </c>
      <c r="L1078" s="7">
        <v>76</v>
      </c>
      <c r="M1078" s="9">
        <v>173</v>
      </c>
      <c r="N1078" s="9">
        <v>149</v>
      </c>
      <c r="O1078" s="9">
        <v>150</v>
      </c>
    </row>
    <row r="1079" spans="1:15" ht="15" thickBot="1" x14ac:dyDescent="0.4">
      <c r="A1079" t="str">
        <f t="shared" si="326"/>
        <v>FC063</v>
      </c>
      <c r="B1079" t="str">
        <f t="shared" si="324"/>
        <v>CPAC Northeast</v>
      </c>
      <c r="C1079" s="18"/>
      <c r="D1079" s="18"/>
      <c r="E1079" s="18"/>
      <c r="F1079" s="18"/>
      <c r="G1079" s="18"/>
      <c r="H1079" s="31"/>
      <c r="I1079" s="3" t="s">
        <v>20</v>
      </c>
      <c r="J1079" s="7">
        <v>41.2</v>
      </c>
      <c r="K1079" s="7">
        <v>35.4</v>
      </c>
      <c r="L1079" s="8">
        <v>71.2</v>
      </c>
      <c r="M1079" s="7">
        <v>35.6</v>
      </c>
      <c r="N1079" s="7">
        <v>34.9</v>
      </c>
      <c r="O1079" s="10">
        <v>22.6</v>
      </c>
    </row>
    <row r="1080" spans="1:15" ht="15" thickBot="1" x14ac:dyDescent="0.4">
      <c r="A1080" t="str">
        <f t="shared" si="327"/>
        <v>FC063</v>
      </c>
      <c r="B1080" t="str">
        <f t="shared" si="324"/>
        <v>CPAC Northeast</v>
      </c>
      <c r="C1080" s="18"/>
      <c r="D1080" s="18"/>
      <c r="E1080" s="18"/>
      <c r="F1080" s="18"/>
      <c r="G1080" s="18"/>
      <c r="H1080" s="31"/>
      <c r="I1080" s="5" t="s">
        <v>21</v>
      </c>
      <c r="J1080" s="10">
        <v>0.87</v>
      </c>
      <c r="K1080" s="9">
        <v>0.76</v>
      </c>
      <c r="L1080" s="8">
        <v>0.36</v>
      </c>
      <c r="M1080" s="10">
        <v>1.62</v>
      </c>
      <c r="N1080" s="10">
        <v>1.43</v>
      </c>
      <c r="O1080" s="10">
        <v>2.2000000000000002</v>
      </c>
    </row>
    <row r="1081" spans="1:15" ht="15" thickBot="1" x14ac:dyDescent="0.4">
      <c r="A1081" t="str">
        <f t="shared" si="328"/>
        <v>FC063</v>
      </c>
      <c r="B1081" t="str">
        <f t="shared" si="324"/>
        <v>CPAC Northeast</v>
      </c>
      <c r="C1081" s="19"/>
      <c r="D1081" s="19"/>
      <c r="E1081" s="19"/>
      <c r="F1081" s="19"/>
      <c r="G1081" s="19"/>
      <c r="H1081" s="32"/>
      <c r="I1081" s="3" t="s">
        <v>22</v>
      </c>
      <c r="J1081" s="10" t="s">
        <v>24</v>
      </c>
      <c r="K1081" s="10" t="s">
        <v>24</v>
      </c>
      <c r="L1081" s="8" t="s">
        <v>23</v>
      </c>
      <c r="M1081" s="10" t="s">
        <v>24</v>
      </c>
      <c r="N1081" s="10" t="s">
        <v>24</v>
      </c>
      <c r="O1081" s="10" t="s">
        <v>24</v>
      </c>
    </row>
    <row r="1082" spans="1:15" ht="15" thickBot="1" x14ac:dyDescent="0.4">
      <c r="B1082" t="str">
        <f t="shared" si="324"/>
        <v>CPAC Northeast</v>
      </c>
      <c r="C1082" s="16"/>
      <c r="D1082" s="16"/>
      <c r="E1082" s="16"/>
      <c r="F1082" s="16"/>
      <c r="G1082" s="16" t="s">
        <v>261</v>
      </c>
      <c r="H1082" s="24" t="s">
        <v>30</v>
      </c>
      <c r="I1082" s="1"/>
      <c r="J1082" s="1"/>
      <c r="K1082" s="1"/>
      <c r="L1082" s="1"/>
      <c r="M1082" s="1"/>
      <c r="N1082" s="1"/>
      <c r="O1082" s="1"/>
    </row>
    <row r="1083" spans="1:15" ht="15" thickBot="1" x14ac:dyDescent="0.4">
      <c r="A1083" t="str">
        <f t="shared" si="323"/>
        <v>FC160</v>
      </c>
      <c r="B1083" t="str">
        <f t="shared" si="324"/>
        <v>CPAC Northeast</v>
      </c>
      <c r="C1083" s="18"/>
      <c r="D1083" s="18"/>
      <c r="E1083" s="18"/>
      <c r="F1083" s="18"/>
      <c r="G1083" s="18"/>
      <c r="H1083" s="25"/>
      <c r="I1083" s="3" t="s">
        <v>18</v>
      </c>
      <c r="J1083" s="4">
        <v>40</v>
      </c>
      <c r="K1083" s="11"/>
      <c r="L1083" s="11"/>
      <c r="M1083" s="11"/>
      <c r="N1083" s="11"/>
      <c r="O1083" s="11"/>
    </row>
    <row r="1084" spans="1:15" ht="15" thickBot="1" x14ac:dyDescent="0.4">
      <c r="A1084" t="str">
        <f t="shared" si="325"/>
        <v>FC160</v>
      </c>
      <c r="B1084" t="str">
        <f t="shared" si="324"/>
        <v>CPAC Northeast</v>
      </c>
      <c r="C1084" s="18"/>
      <c r="D1084" s="18"/>
      <c r="E1084" s="18"/>
      <c r="F1084" s="18"/>
      <c r="G1084" s="18"/>
      <c r="H1084" s="25"/>
      <c r="I1084" s="5" t="s">
        <v>19</v>
      </c>
      <c r="J1084" s="9">
        <v>138</v>
      </c>
      <c r="K1084" s="11"/>
      <c r="L1084" s="11"/>
      <c r="M1084" s="11"/>
      <c r="N1084" s="11"/>
      <c r="O1084" s="11"/>
    </row>
    <row r="1085" spans="1:15" ht="15" thickBot="1" x14ac:dyDescent="0.4">
      <c r="A1085" t="str">
        <f t="shared" si="326"/>
        <v>FC160</v>
      </c>
      <c r="B1085" t="str">
        <f t="shared" si="324"/>
        <v>CPAC Northeast</v>
      </c>
      <c r="C1085" s="18"/>
      <c r="D1085" s="18"/>
      <c r="E1085" s="18"/>
      <c r="F1085" s="18"/>
      <c r="G1085" s="18"/>
      <c r="H1085" s="25"/>
      <c r="I1085" s="3" t="s">
        <v>20</v>
      </c>
      <c r="J1085" s="10">
        <v>11.7</v>
      </c>
      <c r="K1085" s="11"/>
      <c r="L1085" s="11"/>
      <c r="M1085" s="11"/>
      <c r="N1085" s="11"/>
      <c r="O1085" s="11"/>
    </row>
    <row r="1086" spans="1:15" ht="15" thickBot="1" x14ac:dyDescent="0.4">
      <c r="A1086" t="str">
        <f t="shared" si="327"/>
        <v>FC160</v>
      </c>
      <c r="B1086" t="str">
        <f t="shared" si="324"/>
        <v>CPAC Northeast</v>
      </c>
      <c r="C1086" s="18"/>
      <c r="D1086" s="18"/>
      <c r="E1086" s="18"/>
      <c r="F1086" s="18"/>
      <c r="G1086" s="18"/>
      <c r="H1086" s="25"/>
      <c r="I1086" s="5" t="s">
        <v>21</v>
      </c>
      <c r="J1086" s="10">
        <v>3.94</v>
      </c>
      <c r="K1086" s="11"/>
      <c r="L1086" s="11"/>
      <c r="M1086" s="11"/>
      <c r="N1086" s="11"/>
      <c r="O1086" s="11"/>
    </row>
    <row r="1087" spans="1:15" ht="15" thickBot="1" x14ac:dyDescent="0.4">
      <c r="A1087" t="str">
        <f t="shared" si="328"/>
        <v>FC160</v>
      </c>
      <c r="B1087" t="str">
        <f t="shared" si="324"/>
        <v>CPAC Northeast</v>
      </c>
      <c r="C1087" s="19"/>
      <c r="D1087" s="19"/>
      <c r="E1087" s="19"/>
      <c r="F1087" s="19"/>
      <c r="G1087" s="19"/>
      <c r="H1087" s="26"/>
      <c r="I1087" s="3" t="s">
        <v>22</v>
      </c>
      <c r="J1087" s="10" t="s">
        <v>24</v>
      </c>
      <c r="K1087" s="11" t="s">
        <v>45</v>
      </c>
      <c r="L1087" s="11" t="s">
        <v>45</v>
      </c>
      <c r="M1087" s="11" t="s">
        <v>46</v>
      </c>
      <c r="N1087" s="11" t="s">
        <v>45</v>
      </c>
      <c r="O1087" s="11" t="s">
        <v>45</v>
      </c>
    </row>
    <row r="1088" spans="1:15" ht="15" thickBot="1" x14ac:dyDescent="0.4">
      <c r="B1088" t="str">
        <f t="shared" si="324"/>
        <v>CPAC Northeast</v>
      </c>
      <c r="C1088" s="16"/>
      <c r="D1088" s="16"/>
      <c r="E1088" s="16"/>
      <c r="F1088" s="16"/>
      <c r="G1088" s="16" t="s">
        <v>262</v>
      </c>
      <c r="H1088" s="27" t="s">
        <v>34</v>
      </c>
      <c r="I1088" s="1"/>
      <c r="J1088" s="1"/>
      <c r="K1088" s="1"/>
      <c r="L1088" s="1"/>
      <c r="M1088" s="1"/>
      <c r="N1088" s="1"/>
      <c r="O1088" s="1"/>
    </row>
    <row r="1089" spans="1:15" ht="15" thickBot="1" x14ac:dyDescent="0.4">
      <c r="A1089" t="str">
        <f t="shared" si="323"/>
        <v>FC031</v>
      </c>
      <c r="B1089" t="str">
        <f t="shared" si="324"/>
        <v>CPAC Northeast</v>
      </c>
      <c r="C1089" s="18"/>
      <c r="D1089" s="18"/>
      <c r="E1089" s="18"/>
      <c r="F1089" s="18"/>
      <c r="G1089" s="18"/>
      <c r="H1089" s="28"/>
      <c r="I1089" s="3" t="s">
        <v>18</v>
      </c>
      <c r="J1089" s="4">
        <v>43</v>
      </c>
      <c r="K1089" s="8">
        <v>15</v>
      </c>
      <c r="L1089" s="8">
        <v>15</v>
      </c>
      <c r="M1089" s="8">
        <v>18</v>
      </c>
      <c r="N1089" s="4">
        <v>31</v>
      </c>
      <c r="O1089" s="8">
        <v>15</v>
      </c>
    </row>
    <row r="1090" spans="1:15" ht="15" thickBot="1" x14ac:dyDescent="0.4">
      <c r="A1090" t="str">
        <f t="shared" si="325"/>
        <v>FC031</v>
      </c>
      <c r="B1090" t="str">
        <f t="shared" si="324"/>
        <v>CPAC Northeast</v>
      </c>
      <c r="C1090" s="18"/>
      <c r="D1090" s="18"/>
      <c r="E1090" s="18"/>
      <c r="F1090" s="18"/>
      <c r="G1090" s="18"/>
      <c r="H1090" s="28"/>
      <c r="I1090" s="5" t="s">
        <v>19</v>
      </c>
      <c r="J1090" s="9">
        <v>142</v>
      </c>
      <c r="K1090" s="9">
        <v>101</v>
      </c>
      <c r="L1090" s="6">
        <v>59</v>
      </c>
      <c r="M1090" s="8">
        <v>47</v>
      </c>
      <c r="N1090" s="9">
        <v>140</v>
      </c>
      <c r="O1090" s="7">
        <v>87</v>
      </c>
    </row>
    <row r="1091" spans="1:15" ht="15" thickBot="1" x14ac:dyDescent="0.4">
      <c r="A1091" t="str">
        <f t="shared" si="326"/>
        <v>FC031</v>
      </c>
      <c r="B1091" t="str">
        <f t="shared" si="324"/>
        <v>CPAC Northeast</v>
      </c>
      <c r="C1091" s="18"/>
      <c r="D1091" s="18"/>
      <c r="E1091" s="18"/>
      <c r="F1091" s="18"/>
      <c r="G1091" s="18"/>
      <c r="H1091" s="28"/>
      <c r="I1091" s="3" t="s">
        <v>20</v>
      </c>
      <c r="J1091" s="8">
        <v>58.2</v>
      </c>
      <c r="K1091" s="10">
        <v>13.9</v>
      </c>
      <c r="L1091" s="10">
        <v>14</v>
      </c>
      <c r="M1091" s="10">
        <v>26.7</v>
      </c>
      <c r="N1091" s="9">
        <v>33.4</v>
      </c>
      <c r="O1091" s="10">
        <v>13.1</v>
      </c>
    </row>
    <row r="1092" spans="1:15" ht="15" thickBot="1" x14ac:dyDescent="0.4">
      <c r="A1092" t="str">
        <f t="shared" si="327"/>
        <v>FC031</v>
      </c>
      <c r="B1092" t="str">
        <f t="shared" si="324"/>
        <v>CPAC Northeast</v>
      </c>
      <c r="C1092" s="18"/>
      <c r="D1092" s="18"/>
      <c r="E1092" s="18"/>
      <c r="F1092" s="18"/>
      <c r="G1092" s="18"/>
      <c r="H1092" s="28"/>
      <c r="I1092" s="5" t="s">
        <v>21</v>
      </c>
      <c r="J1092" s="10">
        <v>0.81</v>
      </c>
      <c r="K1092" s="10">
        <v>2.4300000000000002</v>
      </c>
      <c r="L1092" s="10">
        <v>1.42</v>
      </c>
      <c r="M1092" s="9">
        <v>0.57999999999999996</v>
      </c>
      <c r="N1092" s="10">
        <v>1.39</v>
      </c>
      <c r="O1092" s="10">
        <v>2.2200000000000002</v>
      </c>
    </row>
    <row r="1093" spans="1:15" ht="15" thickBot="1" x14ac:dyDescent="0.4">
      <c r="A1093" t="str">
        <f t="shared" si="328"/>
        <v>FC031</v>
      </c>
      <c r="B1093" t="str">
        <f t="shared" si="324"/>
        <v>CPAC Northeast</v>
      </c>
      <c r="C1093" s="19"/>
      <c r="D1093" s="19"/>
      <c r="E1093" s="19"/>
      <c r="F1093" s="19"/>
      <c r="G1093" s="19"/>
      <c r="H1093" s="29"/>
      <c r="I1093" s="3" t="s">
        <v>22</v>
      </c>
      <c r="J1093" s="11"/>
      <c r="K1093" s="10" t="s">
        <v>24</v>
      </c>
      <c r="L1093" s="10" t="s">
        <v>24</v>
      </c>
      <c r="M1093" s="9" t="s">
        <v>25</v>
      </c>
      <c r="N1093" s="11"/>
      <c r="O1093" s="10" t="s">
        <v>24</v>
      </c>
    </row>
    <row r="1094" spans="1:15" ht="15" thickBot="1" x14ac:dyDescent="0.4">
      <c r="B1094" t="str">
        <f t="shared" si="324"/>
        <v>CPAC Northeast</v>
      </c>
      <c r="C1094" s="16"/>
      <c r="D1094" s="16"/>
      <c r="E1094" s="16"/>
      <c r="F1094" s="16"/>
      <c r="G1094" s="16" t="s">
        <v>263</v>
      </c>
      <c r="H1094" s="27" t="s">
        <v>34</v>
      </c>
      <c r="I1094" s="1"/>
      <c r="J1094" s="1"/>
      <c r="K1094" s="1"/>
      <c r="L1094" s="1"/>
      <c r="M1094" s="1"/>
      <c r="N1094" s="1"/>
      <c r="O1094" s="1"/>
    </row>
    <row r="1095" spans="1:15" ht="15" thickBot="1" x14ac:dyDescent="0.4">
      <c r="A1095" t="str">
        <f t="shared" si="323"/>
        <v>FC411</v>
      </c>
      <c r="B1095" t="str">
        <f t="shared" si="324"/>
        <v>CPAC Northeast</v>
      </c>
      <c r="C1095" s="18"/>
      <c r="D1095" s="18"/>
      <c r="E1095" s="18"/>
      <c r="F1095" s="18"/>
      <c r="G1095" s="18"/>
      <c r="H1095" s="28"/>
      <c r="I1095" s="3" t="s">
        <v>18</v>
      </c>
      <c r="J1095" s="8">
        <v>15</v>
      </c>
      <c r="K1095" s="8">
        <v>15</v>
      </c>
      <c r="L1095" s="4">
        <v>45</v>
      </c>
      <c r="M1095" s="4">
        <v>43</v>
      </c>
      <c r="N1095" s="4">
        <v>36</v>
      </c>
      <c r="O1095" s="8">
        <v>15</v>
      </c>
    </row>
    <row r="1096" spans="1:15" ht="15" thickBot="1" x14ac:dyDescent="0.4">
      <c r="A1096" t="str">
        <f t="shared" si="325"/>
        <v>FC411</v>
      </c>
      <c r="B1096" t="str">
        <f t="shared" si="324"/>
        <v>CPAC Northeast</v>
      </c>
      <c r="C1096" s="18"/>
      <c r="D1096" s="18"/>
      <c r="E1096" s="18"/>
      <c r="F1096" s="18"/>
      <c r="G1096" s="18"/>
      <c r="H1096" s="28"/>
      <c r="I1096" s="5" t="s">
        <v>19</v>
      </c>
      <c r="J1096" s="9">
        <v>145</v>
      </c>
      <c r="K1096" s="9">
        <v>287</v>
      </c>
      <c r="L1096" s="9">
        <v>93</v>
      </c>
      <c r="M1096" s="7">
        <v>87</v>
      </c>
      <c r="N1096" s="9">
        <v>100</v>
      </c>
      <c r="O1096" s="9">
        <v>120</v>
      </c>
    </row>
    <row r="1097" spans="1:15" ht="15" thickBot="1" x14ac:dyDescent="0.4">
      <c r="A1097" t="str">
        <f t="shared" si="326"/>
        <v>FC411</v>
      </c>
      <c r="B1097" t="str">
        <f t="shared" si="324"/>
        <v>CPAC Northeast</v>
      </c>
      <c r="C1097" s="18"/>
      <c r="D1097" s="18"/>
      <c r="E1097" s="18"/>
      <c r="F1097" s="18"/>
      <c r="G1097" s="18"/>
      <c r="H1097" s="28"/>
      <c r="I1097" s="3" t="s">
        <v>20</v>
      </c>
      <c r="J1097" s="10">
        <v>23.8</v>
      </c>
      <c r="K1097" s="10">
        <v>27.6</v>
      </c>
      <c r="L1097" s="10">
        <v>14.4</v>
      </c>
      <c r="M1097" s="9">
        <v>30.8</v>
      </c>
      <c r="N1097" s="7">
        <v>35.700000000000003</v>
      </c>
      <c r="O1097" s="6">
        <v>46</v>
      </c>
    </row>
    <row r="1098" spans="1:15" ht="15" thickBot="1" x14ac:dyDescent="0.4">
      <c r="A1098" t="str">
        <f t="shared" si="327"/>
        <v>FC411</v>
      </c>
      <c r="B1098" t="str">
        <f t="shared" si="324"/>
        <v>CPAC Northeast</v>
      </c>
      <c r="C1098" s="18"/>
      <c r="D1098" s="18"/>
      <c r="E1098" s="18"/>
      <c r="F1098" s="18"/>
      <c r="G1098" s="18"/>
      <c r="H1098" s="28"/>
      <c r="I1098" s="5" t="s">
        <v>21</v>
      </c>
      <c r="J1098" s="10">
        <v>2.0299999999999998</v>
      </c>
      <c r="K1098" s="10">
        <v>3.46</v>
      </c>
      <c r="L1098" s="10">
        <v>2.16</v>
      </c>
      <c r="M1098" s="10">
        <v>0.93</v>
      </c>
      <c r="N1098" s="10">
        <v>0.93</v>
      </c>
      <c r="O1098" s="10">
        <v>0.87</v>
      </c>
    </row>
    <row r="1099" spans="1:15" ht="15" thickBot="1" x14ac:dyDescent="0.4">
      <c r="A1099" t="str">
        <f t="shared" si="328"/>
        <v>FC411</v>
      </c>
      <c r="B1099" t="str">
        <f t="shared" si="324"/>
        <v>CPAC Northeast</v>
      </c>
      <c r="C1099" s="19"/>
      <c r="D1099" s="19"/>
      <c r="E1099" s="19"/>
      <c r="F1099" s="19"/>
      <c r="G1099" s="19"/>
      <c r="H1099" s="29"/>
      <c r="I1099" s="3" t="s">
        <v>22</v>
      </c>
      <c r="J1099" s="10" t="s">
        <v>24</v>
      </c>
      <c r="K1099" s="10" t="s">
        <v>24</v>
      </c>
      <c r="L1099" s="11"/>
      <c r="M1099" s="11"/>
      <c r="N1099" s="11"/>
      <c r="O1099" s="10" t="s">
        <v>24</v>
      </c>
    </row>
    <row r="1100" spans="1:15" ht="15" thickBot="1" x14ac:dyDescent="0.4">
      <c r="B1100" t="str">
        <f t="shared" si="324"/>
        <v>CPAC Northeast</v>
      </c>
      <c r="C1100" s="16"/>
      <c r="D1100" s="16"/>
      <c r="E1100" s="16" t="s">
        <v>264</v>
      </c>
      <c r="F1100" s="16" t="s">
        <v>265</v>
      </c>
      <c r="G1100" s="16" t="s">
        <v>266</v>
      </c>
      <c r="H1100" s="24" t="s">
        <v>30</v>
      </c>
      <c r="I1100" s="1"/>
      <c r="J1100" s="1"/>
      <c r="K1100" s="1"/>
      <c r="L1100" s="1"/>
      <c r="M1100" s="1"/>
      <c r="N1100" s="1"/>
      <c r="O1100" s="1"/>
    </row>
    <row r="1101" spans="1:15" ht="15" thickBot="1" x14ac:dyDescent="0.4">
      <c r="A1101" t="str">
        <f t="shared" ref="A1101:A1164" si="329">IF(LEFT(G1100,2)="FC",LEFT(G1100,5),LEFT(G1100,4))</f>
        <v>FC358</v>
      </c>
      <c r="B1101" t="str">
        <f t="shared" si="324"/>
        <v>CPAC Northeast</v>
      </c>
      <c r="C1101" s="18"/>
      <c r="D1101" s="18"/>
      <c r="E1101" s="18"/>
      <c r="F1101" s="18"/>
      <c r="G1101" s="18"/>
      <c r="H1101" s="25"/>
      <c r="I1101" s="3" t="s">
        <v>18</v>
      </c>
      <c r="J1101" s="4">
        <v>36</v>
      </c>
      <c r="K1101" s="4">
        <v>36</v>
      </c>
      <c r="L1101" s="11"/>
      <c r="M1101" s="11"/>
      <c r="N1101" s="11"/>
      <c r="O1101" s="11"/>
    </row>
    <row r="1102" spans="1:15" ht="15" thickBot="1" x14ac:dyDescent="0.4">
      <c r="A1102" t="str">
        <f t="shared" si="325"/>
        <v>FC358</v>
      </c>
      <c r="B1102" t="str">
        <f t="shared" si="324"/>
        <v>CPAC Northeast</v>
      </c>
      <c r="C1102" s="18"/>
      <c r="D1102" s="18"/>
      <c r="E1102" s="18"/>
      <c r="F1102" s="18"/>
      <c r="G1102" s="18"/>
      <c r="H1102" s="25"/>
      <c r="I1102" s="5" t="s">
        <v>19</v>
      </c>
      <c r="J1102" s="6">
        <v>63</v>
      </c>
      <c r="K1102" s="9">
        <v>94</v>
      </c>
      <c r="L1102" s="11"/>
      <c r="M1102" s="11"/>
      <c r="N1102" s="11"/>
      <c r="O1102" s="11"/>
    </row>
    <row r="1103" spans="1:15" ht="15" thickBot="1" x14ac:dyDescent="0.4">
      <c r="A1103" t="str">
        <f t="shared" si="326"/>
        <v>FC358</v>
      </c>
      <c r="B1103" t="str">
        <f t="shared" ref="B1103:B1166" si="330">$D$974</f>
        <v>CPAC Northeast</v>
      </c>
      <c r="C1103" s="18"/>
      <c r="D1103" s="18"/>
      <c r="E1103" s="18"/>
      <c r="F1103" s="18"/>
      <c r="G1103" s="18"/>
      <c r="H1103" s="25"/>
      <c r="I1103" s="3" t="s">
        <v>20</v>
      </c>
      <c r="J1103" s="10">
        <v>17.100000000000001</v>
      </c>
      <c r="K1103" s="7">
        <v>38.9</v>
      </c>
      <c r="L1103" s="11"/>
      <c r="M1103" s="11"/>
      <c r="N1103" s="11"/>
      <c r="O1103" s="11"/>
    </row>
    <row r="1104" spans="1:15" ht="15" thickBot="1" x14ac:dyDescent="0.4">
      <c r="A1104" t="str">
        <f t="shared" si="327"/>
        <v>FC358</v>
      </c>
      <c r="B1104" t="str">
        <f t="shared" si="330"/>
        <v>CPAC Northeast</v>
      </c>
      <c r="C1104" s="18"/>
      <c r="D1104" s="18"/>
      <c r="E1104" s="18"/>
      <c r="F1104" s="18"/>
      <c r="G1104" s="18"/>
      <c r="H1104" s="25"/>
      <c r="I1104" s="5" t="s">
        <v>21</v>
      </c>
      <c r="J1104" s="10">
        <v>1.23</v>
      </c>
      <c r="K1104" s="10">
        <v>0.81</v>
      </c>
      <c r="L1104" s="11"/>
      <c r="M1104" s="11"/>
      <c r="N1104" s="11"/>
      <c r="O1104" s="11"/>
    </row>
    <row r="1105" spans="1:15" ht="15" thickBot="1" x14ac:dyDescent="0.4">
      <c r="A1105" t="str">
        <f t="shared" si="328"/>
        <v>FC358</v>
      </c>
      <c r="B1105" t="str">
        <f t="shared" si="330"/>
        <v>CPAC Northeast</v>
      </c>
      <c r="C1105" s="19"/>
      <c r="D1105" s="19"/>
      <c r="E1105" s="19"/>
      <c r="F1105" s="19"/>
      <c r="G1105" s="19"/>
      <c r="H1105" s="26"/>
      <c r="I1105" s="3" t="s">
        <v>22</v>
      </c>
      <c r="J1105" s="10" t="s">
        <v>24</v>
      </c>
      <c r="K1105" s="11"/>
      <c r="L1105" s="11" t="s">
        <v>31</v>
      </c>
      <c r="M1105" s="11" t="s">
        <v>46</v>
      </c>
      <c r="N1105" s="11" t="s">
        <v>46</v>
      </c>
      <c r="O1105" s="11" t="s">
        <v>46</v>
      </c>
    </row>
    <row r="1106" spans="1:15" ht="15" thickBot="1" x14ac:dyDescent="0.4">
      <c r="B1106" t="str">
        <f t="shared" si="330"/>
        <v>CPAC Northeast</v>
      </c>
      <c r="C1106" s="16"/>
      <c r="D1106" s="16"/>
      <c r="E1106" s="16"/>
      <c r="F1106" s="16" t="s">
        <v>267</v>
      </c>
      <c r="G1106" s="16" t="s">
        <v>268</v>
      </c>
      <c r="H1106" s="27" t="s">
        <v>34</v>
      </c>
      <c r="I1106" s="1"/>
      <c r="J1106" s="1"/>
      <c r="K1106" s="1"/>
      <c r="L1106" s="1"/>
      <c r="M1106" s="1"/>
      <c r="N1106" s="1"/>
      <c r="O1106" s="1"/>
    </row>
    <row r="1107" spans="1:15" ht="15" thickBot="1" x14ac:dyDescent="0.4">
      <c r="A1107" t="str">
        <f t="shared" si="329"/>
        <v>FC375</v>
      </c>
      <c r="B1107" t="str">
        <f t="shared" si="330"/>
        <v>CPAC Northeast</v>
      </c>
      <c r="C1107" s="18"/>
      <c r="D1107" s="18"/>
      <c r="E1107" s="18"/>
      <c r="F1107" s="18"/>
      <c r="G1107" s="18"/>
      <c r="H1107" s="28"/>
      <c r="I1107" s="3" t="s">
        <v>18</v>
      </c>
      <c r="J1107" s="4">
        <v>36</v>
      </c>
      <c r="K1107" s="4">
        <v>30</v>
      </c>
      <c r="L1107" s="4">
        <v>30</v>
      </c>
      <c r="M1107" s="4">
        <v>30</v>
      </c>
      <c r="N1107" s="4">
        <v>36</v>
      </c>
      <c r="O1107" s="4">
        <v>30</v>
      </c>
    </row>
    <row r="1108" spans="1:15" ht="15" thickBot="1" x14ac:dyDescent="0.4">
      <c r="A1108" t="str">
        <f t="shared" ref="A1108:A1168" si="331">IF(LEFT(G1106,2)="FC",LEFT(G1106,5),LEFT(G1106,4))</f>
        <v>FC375</v>
      </c>
      <c r="B1108" t="str">
        <f t="shared" si="330"/>
        <v>CPAC Northeast</v>
      </c>
      <c r="C1108" s="18"/>
      <c r="D1108" s="18"/>
      <c r="E1108" s="18"/>
      <c r="F1108" s="18"/>
      <c r="G1108" s="18"/>
      <c r="H1108" s="28"/>
      <c r="I1108" s="5" t="s">
        <v>19</v>
      </c>
      <c r="J1108" s="9">
        <v>98</v>
      </c>
      <c r="K1108" s="9">
        <v>92</v>
      </c>
      <c r="L1108" s="9">
        <v>122</v>
      </c>
      <c r="M1108" s="9">
        <v>146</v>
      </c>
      <c r="N1108" s="9">
        <v>100</v>
      </c>
      <c r="O1108" s="7">
        <v>83</v>
      </c>
    </row>
    <row r="1109" spans="1:15" ht="15" thickBot="1" x14ac:dyDescent="0.4">
      <c r="A1109" t="str">
        <f t="shared" ref="A1109:A1169" si="332">IF(LEFT(G1106,2)="FC",LEFT(G1106,5),LEFT(G1106,4))</f>
        <v>FC375</v>
      </c>
      <c r="B1109" t="str">
        <f t="shared" si="330"/>
        <v>CPAC Northeast</v>
      </c>
      <c r="C1109" s="18"/>
      <c r="D1109" s="18"/>
      <c r="E1109" s="18"/>
      <c r="F1109" s="18"/>
      <c r="G1109" s="18"/>
      <c r="H1109" s="28"/>
      <c r="I1109" s="3" t="s">
        <v>20</v>
      </c>
      <c r="J1109" s="10">
        <v>26.2</v>
      </c>
      <c r="K1109" s="8">
        <v>52.2</v>
      </c>
      <c r="L1109" s="10">
        <v>23</v>
      </c>
      <c r="M1109" s="8">
        <v>87.6</v>
      </c>
      <c r="N1109" s="6">
        <v>44.3</v>
      </c>
      <c r="O1109" s="6">
        <v>41.8</v>
      </c>
    </row>
    <row r="1110" spans="1:15" ht="15" thickBot="1" x14ac:dyDescent="0.4">
      <c r="A1110" t="str">
        <f t="shared" ref="A1110:A1170" si="333">IF(LEFT(G1106,2)="FC",LEFT(G1106,5),LEFT(G1106,4))</f>
        <v>FC375</v>
      </c>
      <c r="B1110" t="str">
        <f t="shared" si="330"/>
        <v>CPAC Northeast</v>
      </c>
      <c r="C1110" s="18"/>
      <c r="D1110" s="18"/>
      <c r="E1110" s="18"/>
      <c r="F1110" s="18"/>
      <c r="G1110" s="18"/>
      <c r="H1110" s="28"/>
      <c r="I1110" s="5" t="s">
        <v>21</v>
      </c>
      <c r="J1110" s="10">
        <v>1.25</v>
      </c>
      <c r="K1110" s="9">
        <v>0.59</v>
      </c>
      <c r="L1110" s="10">
        <v>1.77</v>
      </c>
      <c r="M1110" s="9">
        <v>0.56000000000000005</v>
      </c>
      <c r="N1110" s="9">
        <v>0.75</v>
      </c>
      <c r="O1110" s="9">
        <v>0.66</v>
      </c>
    </row>
    <row r="1111" spans="1:15" ht="15" thickBot="1" x14ac:dyDescent="0.4">
      <c r="A1111" t="str">
        <f t="shared" ref="A1111:A1171" si="334">IF(LEFT(G1106,2)="FC",LEFT(G1106,5),LEFT(G1106,4))</f>
        <v>FC375</v>
      </c>
      <c r="B1111" t="str">
        <f t="shared" si="330"/>
        <v>CPAC Northeast</v>
      </c>
      <c r="C1111" s="19"/>
      <c r="D1111" s="19"/>
      <c r="E1111" s="19"/>
      <c r="F1111" s="19"/>
      <c r="G1111" s="19"/>
      <c r="H1111" s="29"/>
      <c r="I1111" s="3" t="s">
        <v>22</v>
      </c>
      <c r="J1111" s="10" t="s">
        <v>24</v>
      </c>
      <c r="K1111" s="9" t="s">
        <v>25</v>
      </c>
      <c r="L1111" s="10" t="s">
        <v>24</v>
      </c>
      <c r="M1111" s="9" t="s">
        <v>25</v>
      </c>
      <c r="N1111" s="10" t="s">
        <v>24</v>
      </c>
      <c r="O1111" s="11"/>
    </row>
    <row r="1112" spans="1:15" ht="15" thickBot="1" x14ac:dyDescent="0.4">
      <c r="B1112" t="str">
        <f t="shared" si="330"/>
        <v>CPAC Northeast</v>
      </c>
      <c r="C1112" s="16"/>
      <c r="D1112" s="16"/>
      <c r="E1112" s="16"/>
      <c r="F1112" s="16"/>
      <c r="G1112" s="16" t="s">
        <v>269</v>
      </c>
      <c r="H1112" s="27" t="s">
        <v>34</v>
      </c>
      <c r="I1112" s="1"/>
      <c r="J1112" s="1"/>
      <c r="K1112" s="1"/>
      <c r="L1112" s="1"/>
      <c r="M1112" s="1"/>
      <c r="N1112" s="1"/>
      <c r="O1112" s="1"/>
    </row>
    <row r="1113" spans="1:15" ht="15" thickBot="1" x14ac:dyDescent="0.4">
      <c r="A1113" t="str">
        <f t="shared" si="329"/>
        <v>ZZP2</v>
      </c>
      <c r="B1113" t="str">
        <f t="shared" si="330"/>
        <v>CPAC Northeast</v>
      </c>
      <c r="C1113" s="18"/>
      <c r="D1113" s="18"/>
      <c r="E1113" s="18"/>
      <c r="F1113" s="18"/>
      <c r="G1113" s="18"/>
      <c r="H1113" s="28"/>
      <c r="I1113" s="3" t="s">
        <v>18</v>
      </c>
      <c r="J1113" s="4">
        <v>36</v>
      </c>
      <c r="K1113" s="4">
        <v>33</v>
      </c>
      <c r="L1113" s="4">
        <v>36</v>
      </c>
      <c r="M1113" s="4">
        <v>36</v>
      </c>
      <c r="N1113" s="4">
        <v>36</v>
      </c>
      <c r="O1113" s="4">
        <v>35</v>
      </c>
    </row>
    <row r="1114" spans="1:15" ht="15" thickBot="1" x14ac:dyDescent="0.4">
      <c r="A1114" t="str">
        <f t="shared" si="331"/>
        <v>ZZP2</v>
      </c>
      <c r="B1114" t="str">
        <f t="shared" si="330"/>
        <v>CPAC Northeast</v>
      </c>
      <c r="C1114" s="18"/>
      <c r="D1114" s="18"/>
      <c r="E1114" s="18"/>
      <c r="F1114" s="18"/>
      <c r="G1114" s="18"/>
      <c r="H1114" s="28"/>
      <c r="I1114" s="5" t="s">
        <v>19</v>
      </c>
      <c r="J1114" s="6">
        <v>64</v>
      </c>
      <c r="K1114" s="6">
        <v>69</v>
      </c>
      <c r="L1114" s="6">
        <v>61</v>
      </c>
      <c r="M1114" s="6">
        <v>66</v>
      </c>
      <c r="N1114" s="6">
        <v>61</v>
      </c>
      <c r="O1114" s="6">
        <v>69</v>
      </c>
    </row>
    <row r="1115" spans="1:15" ht="15" thickBot="1" x14ac:dyDescent="0.4">
      <c r="A1115" t="str">
        <f t="shared" si="332"/>
        <v>ZZP2</v>
      </c>
      <c r="B1115" t="str">
        <f t="shared" si="330"/>
        <v>CPAC Northeast</v>
      </c>
      <c r="C1115" s="18"/>
      <c r="D1115" s="18"/>
      <c r="E1115" s="18"/>
      <c r="F1115" s="18"/>
      <c r="G1115" s="18"/>
      <c r="H1115" s="28"/>
      <c r="I1115" s="3" t="s">
        <v>20</v>
      </c>
      <c r="J1115" s="10">
        <v>16.7</v>
      </c>
      <c r="K1115" s="10">
        <v>16.600000000000001</v>
      </c>
      <c r="L1115" s="10">
        <v>18.100000000000001</v>
      </c>
      <c r="M1115" s="10">
        <v>18</v>
      </c>
      <c r="N1115" s="10">
        <v>16.7</v>
      </c>
      <c r="O1115" s="10">
        <v>16.399999999999999</v>
      </c>
    </row>
    <row r="1116" spans="1:15" ht="15" thickBot="1" x14ac:dyDescent="0.4">
      <c r="A1116" t="str">
        <f t="shared" si="333"/>
        <v>ZZP2</v>
      </c>
      <c r="B1116" t="str">
        <f t="shared" si="330"/>
        <v>CPAC Northeast</v>
      </c>
      <c r="C1116" s="18"/>
      <c r="D1116" s="18"/>
      <c r="E1116" s="18"/>
      <c r="F1116" s="18"/>
      <c r="G1116" s="18"/>
      <c r="H1116" s="28"/>
      <c r="I1116" s="5" t="s">
        <v>21</v>
      </c>
      <c r="J1116" s="10">
        <v>1.28</v>
      </c>
      <c r="K1116" s="10">
        <v>1.38</v>
      </c>
      <c r="L1116" s="10">
        <v>1.1299999999999999</v>
      </c>
      <c r="M1116" s="10">
        <v>1.21</v>
      </c>
      <c r="N1116" s="10">
        <v>1.22</v>
      </c>
      <c r="O1116" s="10">
        <v>1.4</v>
      </c>
    </row>
    <row r="1117" spans="1:15" ht="15" thickBot="1" x14ac:dyDescent="0.4">
      <c r="A1117" t="str">
        <f t="shared" si="334"/>
        <v>ZZP2</v>
      </c>
      <c r="B1117" t="str">
        <f t="shared" si="330"/>
        <v>CPAC Northeast</v>
      </c>
      <c r="C1117" s="19"/>
      <c r="D1117" s="19"/>
      <c r="E1117" s="19"/>
      <c r="F1117" s="19"/>
      <c r="G1117" s="19"/>
      <c r="H1117" s="29"/>
      <c r="I1117" s="3" t="s">
        <v>22</v>
      </c>
      <c r="J1117" s="11"/>
      <c r="K1117" s="11"/>
      <c r="L1117" s="11"/>
      <c r="M1117" s="11"/>
      <c r="N1117" s="10" t="s">
        <v>24</v>
      </c>
      <c r="O1117" s="11"/>
    </row>
    <row r="1118" spans="1:15" ht="15" thickBot="1" x14ac:dyDescent="0.4">
      <c r="B1118" t="str">
        <f t="shared" si="330"/>
        <v>CPAC Northeast</v>
      </c>
      <c r="C1118" s="16"/>
      <c r="D1118" s="16"/>
      <c r="E1118" s="16"/>
      <c r="F1118" s="16"/>
      <c r="G1118" s="16" t="s">
        <v>270</v>
      </c>
      <c r="H1118" s="24" t="s">
        <v>30</v>
      </c>
      <c r="I1118" s="1"/>
      <c r="J1118" s="1"/>
      <c r="K1118" s="1"/>
      <c r="L1118" s="1"/>
      <c r="M1118" s="1"/>
      <c r="N1118" s="1"/>
      <c r="O1118" s="1"/>
    </row>
    <row r="1119" spans="1:15" ht="15" thickBot="1" x14ac:dyDescent="0.4">
      <c r="A1119" t="str">
        <f t="shared" si="329"/>
        <v>14EI</v>
      </c>
      <c r="B1119" t="str">
        <f t="shared" si="330"/>
        <v>CPAC Northeast</v>
      </c>
      <c r="C1119" s="18"/>
      <c r="D1119" s="18"/>
      <c r="E1119" s="18"/>
      <c r="F1119" s="18"/>
      <c r="G1119" s="18"/>
      <c r="H1119" s="25"/>
      <c r="I1119" s="3" t="s">
        <v>18</v>
      </c>
      <c r="J1119" s="11"/>
      <c r="K1119" s="11"/>
      <c r="L1119" s="11"/>
      <c r="M1119" s="11"/>
      <c r="N1119" s="11"/>
      <c r="O1119" s="11"/>
    </row>
    <row r="1120" spans="1:15" ht="15" thickBot="1" x14ac:dyDescent="0.4">
      <c r="A1120" t="str">
        <f t="shared" si="331"/>
        <v>14EI</v>
      </c>
      <c r="B1120" t="str">
        <f t="shared" si="330"/>
        <v>CPAC Northeast</v>
      </c>
      <c r="C1120" s="18"/>
      <c r="D1120" s="18"/>
      <c r="E1120" s="18"/>
      <c r="F1120" s="18"/>
      <c r="G1120" s="18"/>
      <c r="H1120" s="25"/>
      <c r="I1120" s="5" t="s">
        <v>19</v>
      </c>
      <c r="J1120" s="11"/>
      <c r="K1120" s="11"/>
      <c r="L1120" s="11"/>
      <c r="M1120" s="11"/>
      <c r="N1120" s="11"/>
      <c r="O1120" s="11"/>
    </row>
    <row r="1121" spans="1:15" ht="15" thickBot="1" x14ac:dyDescent="0.4">
      <c r="A1121" t="str">
        <f t="shared" si="332"/>
        <v>14EI</v>
      </c>
      <c r="B1121" t="str">
        <f t="shared" si="330"/>
        <v>CPAC Northeast</v>
      </c>
      <c r="C1121" s="18"/>
      <c r="D1121" s="18"/>
      <c r="E1121" s="18"/>
      <c r="F1121" s="18"/>
      <c r="G1121" s="18"/>
      <c r="H1121" s="25"/>
      <c r="I1121" s="3" t="s">
        <v>20</v>
      </c>
      <c r="J1121" s="11"/>
      <c r="K1121" s="11"/>
      <c r="L1121" s="11"/>
      <c r="M1121" s="11"/>
      <c r="N1121" s="11"/>
      <c r="O1121" s="11"/>
    </row>
    <row r="1122" spans="1:15" ht="15" thickBot="1" x14ac:dyDescent="0.4">
      <c r="A1122" t="str">
        <f t="shared" si="333"/>
        <v>14EI</v>
      </c>
      <c r="B1122" t="str">
        <f t="shared" si="330"/>
        <v>CPAC Northeast</v>
      </c>
      <c r="C1122" s="18"/>
      <c r="D1122" s="18"/>
      <c r="E1122" s="18"/>
      <c r="F1122" s="18"/>
      <c r="G1122" s="18"/>
      <c r="H1122" s="25"/>
      <c r="I1122" s="5" t="s">
        <v>21</v>
      </c>
      <c r="J1122" s="11"/>
      <c r="K1122" s="11"/>
      <c r="L1122" s="11"/>
      <c r="M1122" s="11"/>
      <c r="N1122" s="11"/>
      <c r="O1122" s="11"/>
    </row>
    <row r="1123" spans="1:15" ht="15" thickBot="1" x14ac:dyDescent="0.4">
      <c r="A1123" t="str">
        <f t="shared" si="334"/>
        <v>14EI</v>
      </c>
      <c r="B1123" t="str">
        <f t="shared" si="330"/>
        <v>CPAC Northeast</v>
      </c>
      <c r="C1123" s="19"/>
      <c r="D1123" s="19"/>
      <c r="E1123" s="19"/>
      <c r="F1123" s="19"/>
      <c r="G1123" s="19"/>
      <c r="H1123" s="26"/>
      <c r="I1123" s="3" t="s">
        <v>22</v>
      </c>
      <c r="J1123" s="11" t="s">
        <v>46</v>
      </c>
      <c r="K1123" s="11" t="s">
        <v>46</v>
      </c>
      <c r="L1123" s="11" t="s">
        <v>46</v>
      </c>
      <c r="M1123" s="11" t="s">
        <v>46</v>
      </c>
      <c r="N1123" s="11" t="s">
        <v>46</v>
      </c>
      <c r="O1123" s="11" t="s">
        <v>46</v>
      </c>
    </row>
    <row r="1124" spans="1:15" ht="15" thickBot="1" x14ac:dyDescent="0.4">
      <c r="B1124" t="str">
        <f t="shared" si="330"/>
        <v>CPAC Northeast</v>
      </c>
      <c r="C1124" s="16"/>
      <c r="D1124" s="16"/>
      <c r="E1124" s="16"/>
      <c r="F1124" s="16"/>
      <c r="G1124" s="16" t="s">
        <v>271</v>
      </c>
      <c r="H1124" s="27" t="s">
        <v>34</v>
      </c>
      <c r="I1124" s="1"/>
      <c r="J1124" s="1"/>
      <c r="K1124" s="1"/>
      <c r="L1124" s="1"/>
      <c r="M1124" s="1"/>
      <c r="N1124" s="1"/>
      <c r="O1124" s="1"/>
    </row>
    <row r="1125" spans="1:15" ht="15" thickBot="1" x14ac:dyDescent="0.4">
      <c r="A1125" t="str">
        <f t="shared" si="329"/>
        <v>14IU</v>
      </c>
      <c r="B1125" t="str">
        <f t="shared" si="330"/>
        <v>CPAC Northeast</v>
      </c>
      <c r="C1125" s="18"/>
      <c r="D1125" s="18"/>
      <c r="E1125" s="18"/>
      <c r="F1125" s="18"/>
      <c r="G1125" s="18"/>
      <c r="H1125" s="28"/>
      <c r="I1125" s="3" t="s">
        <v>18</v>
      </c>
      <c r="J1125" s="4">
        <v>36</v>
      </c>
      <c r="K1125" s="8">
        <v>18</v>
      </c>
      <c r="L1125" s="4">
        <v>36</v>
      </c>
      <c r="M1125" s="4">
        <v>30</v>
      </c>
      <c r="N1125" s="4">
        <v>30</v>
      </c>
      <c r="O1125" s="4">
        <v>30</v>
      </c>
    </row>
    <row r="1126" spans="1:15" ht="15" thickBot="1" x14ac:dyDescent="0.4">
      <c r="A1126" t="str">
        <f t="shared" si="331"/>
        <v>14IU</v>
      </c>
      <c r="B1126" t="str">
        <f t="shared" si="330"/>
        <v>CPAC Northeast</v>
      </c>
      <c r="C1126" s="18"/>
      <c r="D1126" s="18"/>
      <c r="E1126" s="18"/>
      <c r="F1126" s="18"/>
      <c r="G1126" s="18"/>
      <c r="H1126" s="28"/>
      <c r="I1126" s="5" t="s">
        <v>19</v>
      </c>
      <c r="J1126" s="9">
        <v>100</v>
      </c>
      <c r="K1126" s="9">
        <v>208</v>
      </c>
      <c r="L1126" s="9">
        <v>164</v>
      </c>
      <c r="M1126" s="8">
        <v>28</v>
      </c>
      <c r="N1126" s="9">
        <v>94</v>
      </c>
      <c r="O1126" s="7">
        <v>87</v>
      </c>
    </row>
    <row r="1127" spans="1:15" ht="15" thickBot="1" x14ac:dyDescent="0.4">
      <c r="A1127" t="str">
        <f t="shared" si="332"/>
        <v>14IU</v>
      </c>
      <c r="B1127" t="str">
        <f t="shared" si="330"/>
        <v>CPAC Northeast</v>
      </c>
      <c r="C1127" s="18"/>
      <c r="D1127" s="18"/>
      <c r="E1127" s="18"/>
      <c r="F1127" s="18"/>
      <c r="G1127" s="18"/>
      <c r="H1127" s="28"/>
      <c r="I1127" s="3" t="s">
        <v>20</v>
      </c>
      <c r="J1127" s="9">
        <v>33.9</v>
      </c>
      <c r="K1127" s="8">
        <v>88.5</v>
      </c>
      <c r="L1127" s="7">
        <v>40.6</v>
      </c>
      <c r="M1127" s="9">
        <v>33.1</v>
      </c>
      <c r="N1127" s="10">
        <v>25.1</v>
      </c>
      <c r="O1127" s="10">
        <v>20.6</v>
      </c>
    </row>
    <row r="1128" spans="1:15" ht="15" thickBot="1" x14ac:dyDescent="0.4">
      <c r="A1128" t="str">
        <f t="shared" si="333"/>
        <v>14IU</v>
      </c>
      <c r="B1128" t="str">
        <f t="shared" si="330"/>
        <v>CPAC Northeast</v>
      </c>
      <c r="C1128" s="18"/>
      <c r="D1128" s="18"/>
      <c r="E1128" s="18"/>
      <c r="F1128" s="18"/>
      <c r="G1128" s="18"/>
      <c r="H1128" s="28"/>
      <c r="I1128" s="5" t="s">
        <v>21</v>
      </c>
      <c r="J1128" s="10">
        <v>0.98</v>
      </c>
      <c r="K1128" s="9">
        <v>0.78</v>
      </c>
      <c r="L1128" s="10">
        <v>1.34</v>
      </c>
      <c r="M1128" s="8">
        <v>0.28999999999999998</v>
      </c>
      <c r="N1128" s="10">
        <v>1.25</v>
      </c>
      <c r="O1128" s="10">
        <v>1.42</v>
      </c>
    </row>
    <row r="1129" spans="1:15" ht="15" thickBot="1" x14ac:dyDescent="0.4">
      <c r="A1129" t="str">
        <f t="shared" si="334"/>
        <v>14IU</v>
      </c>
      <c r="B1129" t="str">
        <f t="shared" si="330"/>
        <v>CPAC Northeast</v>
      </c>
      <c r="C1129" s="19"/>
      <c r="D1129" s="19"/>
      <c r="E1129" s="19"/>
      <c r="F1129" s="19"/>
      <c r="G1129" s="19"/>
      <c r="H1129" s="29"/>
      <c r="I1129" s="3" t="s">
        <v>22</v>
      </c>
      <c r="J1129" s="11"/>
      <c r="K1129" s="10" t="s">
        <v>24</v>
      </c>
      <c r="L1129" s="10" t="s">
        <v>24</v>
      </c>
      <c r="M1129" s="11"/>
      <c r="N1129" s="11"/>
      <c r="O1129" s="11"/>
    </row>
    <row r="1130" spans="1:15" ht="15" thickBot="1" x14ac:dyDescent="0.4">
      <c r="B1130" t="str">
        <f t="shared" si="330"/>
        <v>CPAC Northeast</v>
      </c>
      <c r="C1130" s="16"/>
      <c r="D1130" s="16"/>
      <c r="E1130" s="16"/>
      <c r="F1130" s="16"/>
      <c r="G1130" s="16" t="s">
        <v>272</v>
      </c>
      <c r="H1130" s="20" t="s">
        <v>17</v>
      </c>
      <c r="I1130" s="1"/>
      <c r="J1130" s="1"/>
      <c r="K1130" s="1"/>
      <c r="L1130" s="1"/>
      <c r="M1130" s="1"/>
      <c r="N1130" s="1"/>
      <c r="O1130" s="1"/>
    </row>
    <row r="1131" spans="1:15" ht="15" thickBot="1" x14ac:dyDescent="0.4">
      <c r="A1131" t="str">
        <f t="shared" si="329"/>
        <v>FC156</v>
      </c>
      <c r="B1131" t="str">
        <f t="shared" si="330"/>
        <v>CPAC Northeast</v>
      </c>
      <c r="C1131" s="18"/>
      <c r="D1131" s="18"/>
      <c r="E1131" s="18"/>
      <c r="F1131" s="18"/>
      <c r="G1131" s="18"/>
      <c r="H1131" s="22"/>
      <c r="I1131" s="3" t="s">
        <v>18</v>
      </c>
      <c r="J1131" s="8">
        <v>18</v>
      </c>
      <c r="K1131" s="11"/>
      <c r="L1131" s="4">
        <v>30</v>
      </c>
      <c r="M1131" s="11"/>
      <c r="N1131" s="4">
        <v>30</v>
      </c>
      <c r="O1131" s="4">
        <v>30</v>
      </c>
    </row>
    <row r="1132" spans="1:15" ht="15" thickBot="1" x14ac:dyDescent="0.4">
      <c r="A1132" t="str">
        <f t="shared" si="331"/>
        <v>FC156</v>
      </c>
      <c r="B1132" t="str">
        <f t="shared" si="330"/>
        <v>CPAC Northeast</v>
      </c>
      <c r="C1132" s="18"/>
      <c r="D1132" s="18"/>
      <c r="E1132" s="18"/>
      <c r="F1132" s="18"/>
      <c r="G1132" s="18"/>
      <c r="H1132" s="22"/>
      <c r="I1132" s="5" t="s">
        <v>19</v>
      </c>
      <c r="J1132" s="9">
        <v>105</v>
      </c>
      <c r="K1132" s="11"/>
      <c r="L1132" s="7">
        <v>80</v>
      </c>
      <c r="M1132" s="11"/>
      <c r="N1132" s="9">
        <v>119</v>
      </c>
      <c r="O1132" s="9">
        <v>135</v>
      </c>
    </row>
    <row r="1133" spans="1:15" ht="15" thickBot="1" x14ac:dyDescent="0.4">
      <c r="A1133" t="str">
        <f t="shared" si="332"/>
        <v>FC156</v>
      </c>
      <c r="B1133" t="str">
        <f t="shared" si="330"/>
        <v>CPAC Northeast</v>
      </c>
      <c r="C1133" s="18"/>
      <c r="D1133" s="18"/>
      <c r="E1133" s="18"/>
      <c r="F1133" s="18"/>
      <c r="G1133" s="18"/>
      <c r="H1133" s="22"/>
      <c r="I1133" s="3" t="s">
        <v>20</v>
      </c>
      <c r="J1133" s="10">
        <v>21.7</v>
      </c>
      <c r="K1133" s="11"/>
      <c r="L1133" s="10">
        <v>27</v>
      </c>
      <c r="M1133" s="11"/>
      <c r="N1133" s="10">
        <v>17.2</v>
      </c>
      <c r="O1133" s="10">
        <v>24.9</v>
      </c>
    </row>
    <row r="1134" spans="1:15" ht="15" thickBot="1" x14ac:dyDescent="0.4">
      <c r="A1134" t="str">
        <f t="shared" si="333"/>
        <v>FC156</v>
      </c>
      <c r="B1134" t="str">
        <f t="shared" si="330"/>
        <v>CPAC Northeast</v>
      </c>
      <c r="C1134" s="18"/>
      <c r="D1134" s="18"/>
      <c r="E1134" s="18"/>
      <c r="F1134" s="18"/>
      <c r="G1134" s="18"/>
      <c r="H1134" s="22"/>
      <c r="I1134" s="5" t="s">
        <v>21</v>
      </c>
      <c r="J1134" s="10">
        <v>1.61</v>
      </c>
      <c r="K1134" s="11"/>
      <c r="L1134" s="10">
        <v>0.98</v>
      </c>
      <c r="M1134" s="11"/>
      <c r="N1134" s="10">
        <v>2.31</v>
      </c>
      <c r="O1134" s="10">
        <v>1.81</v>
      </c>
    </row>
    <row r="1135" spans="1:15" ht="15" thickBot="1" x14ac:dyDescent="0.4">
      <c r="A1135" t="str">
        <f t="shared" si="334"/>
        <v>FC156</v>
      </c>
      <c r="B1135" t="str">
        <f t="shared" si="330"/>
        <v>CPAC Northeast</v>
      </c>
      <c r="C1135" s="19"/>
      <c r="D1135" s="19"/>
      <c r="E1135" s="19"/>
      <c r="F1135" s="19"/>
      <c r="G1135" s="19"/>
      <c r="H1135" s="23"/>
      <c r="I1135" s="3" t="s">
        <v>22</v>
      </c>
      <c r="J1135" s="10" t="s">
        <v>24</v>
      </c>
      <c r="K1135" s="11" t="s">
        <v>45</v>
      </c>
      <c r="L1135" s="10" t="s">
        <v>24</v>
      </c>
      <c r="M1135" s="11" t="s">
        <v>45</v>
      </c>
      <c r="N1135" s="10" t="s">
        <v>24</v>
      </c>
      <c r="O1135" s="10" t="s">
        <v>24</v>
      </c>
    </row>
    <row r="1136" spans="1:15" ht="15" thickBot="1" x14ac:dyDescent="0.4">
      <c r="B1136" t="str">
        <f t="shared" si="330"/>
        <v>CPAC Northeast</v>
      </c>
      <c r="C1136" s="16"/>
      <c r="D1136" s="16"/>
      <c r="E1136" s="16"/>
      <c r="F1136" s="16"/>
      <c r="G1136" s="16" t="s">
        <v>273</v>
      </c>
      <c r="H1136" s="27" t="s">
        <v>34</v>
      </c>
      <c r="I1136" s="1"/>
      <c r="J1136" s="1"/>
      <c r="K1136" s="1"/>
      <c r="L1136" s="1"/>
      <c r="M1136" s="1"/>
      <c r="N1136" s="1"/>
      <c r="O1136" s="1"/>
    </row>
    <row r="1137" spans="1:15" ht="15" thickBot="1" x14ac:dyDescent="0.4">
      <c r="A1137" t="str">
        <f t="shared" si="329"/>
        <v>FC288</v>
      </c>
      <c r="B1137" t="str">
        <f t="shared" si="330"/>
        <v>CPAC Northeast</v>
      </c>
      <c r="C1137" s="18"/>
      <c r="D1137" s="18"/>
      <c r="E1137" s="18"/>
      <c r="F1137" s="18"/>
      <c r="G1137" s="18"/>
      <c r="H1137" s="28"/>
      <c r="I1137" s="3" t="s">
        <v>18</v>
      </c>
      <c r="J1137" s="4">
        <v>33</v>
      </c>
      <c r="K1137" s="4">
        <v>32</v>
      </c>
      <c r="L1137" s="4">
        <v>37</v>
      </c>
      <c r="M1137" s="4">
        <v>36</v>
      </c>
      <c r="N1137" s="4">
        <v>36</v>
      </c>
      <c r="O1137" s="4">
        <v>30</v>
      </c>
    </row>
    <row r="1138" spans="1:15" ht="15" thickBot="1" x14ac:dyDescent="0.4">
      <c r="A1138" t="str">
        <f t="shared" si="331"/>
        <v>FC288</v>
      </c>
      <c r="B1138" t="str">
        <f t="shared" si="330"/>
        <v>CPAC Northeast</v>
      </c>
      <c r="C1138" s="18"/>
      <c r="D1138" s="18"/>
      <c r="E1138" s="18"/>
      <c r="F1138" s="18"/>
      <c r="G1138" s="18"/>
      <c r="H1138" s="28"/>
      <c r="I1138" s="5" t="s">
        <v>19</v>
      </c>
      <c r="J1138" s="9">
        <v>109</v>
      </c>
      <c r="K1138" s="9">
        <v>127</v>
      </c>
      <c r="L1138" s="9">
        <v>170</v>
      </c>
      <c r="M1138" s="9">
        <v>122</v>
      </c>
      <c r="N1138" s="9">
        <v>153</v>
      </c>
      <c r="O1138" s="9">
        <v>110</v>
      </c>
    </row>
    <row r="1139" spans="1:15" ht="15" thickBot="1" x14ac:dyDescent="0.4">
      <c r="A1139" t="str">
        <f t="shared" si="332"/>
        <v>FC288</v>
      </c>
      <c r="B1139" t="str">
        <f t="shared" si="330"/>
        <v>CPAC Northeast</v>
      </c>
      <c r="C1139" s="18"/>
      <c r="D1139" s="18"/>
      <c r="E1139" s="18"/>
      <c r="F1139" s="18"/>
      <c r="G1139" s="18"/>
      <c r="H1139" s="28"/>
      <c r="I1139" s="3" t="s">
        <v>20</v>
      </c>
      <c r="J1139" s="10">
        <v>20.5</v>
      </c>
      <c r="K1139" s="10">
        <v>25.1</v>
      </c>
      <c r="L1139" s="8">
        <v>56.4</v>
      </c>
      <c r="M1139" s="9">
        <v>31.6</v>
      </c>
      <c r="N1139" s="10">
        <v>27.3</v>
      </c>
      <c r="O1139" s="10">
        <v>26.6</v>
      </c>
    </row>
    <row r="1140" spans="1:15" ht="15" thickBot="1" x14ac:dyDescent="0.4">
      <c r="A1140" t="str">
        <f t="shared" si="333"/>
        <v>FC288</v>
      </c>
      <c r="B1140" t="str">
        <f t="shared" si="330"/>
        <v>CPAC Northeast</v>
      </c>
      <c r="C1140" s="18"/>
      <c r="D1140" s="18"/>
      <c r="E1140" s="18"/>
      <c r="F1140" s="18"/>
      <c r="G1140" s="18"/>
      <c r="H1140" s="28"/>
      <c r="I1140" s="5" t="s">
        <v>21</v>
      </c>
      <c r="J1140" s="10">
        <v>1.77</v>
      </c>
      <c r="K1140" s="10">
        <v>1.69</v>
      </c>
      <c r="L1140" s="10">
        <v>1.01</v>
      </c>
      <c r="M1140" s="10">
        <v>1.28</v>
      </c>
      <c r="N1140" s="10">
        <v>1.87</v>
      </c>
      <c r="O1140" s="10">
        <v>1.37</v>
      </c>
    </row>
    <row r="1141" spans="1:15" ht="15" thickBot="1" x14ac:dyDescent="0.4">
      <c r="A1141" t="str">
        <f t="shared" si="334"/>
        <v>FC288</v>
      </c>
      <c r="B1141" t="str">
        <f t="shared" si="330"/>
        <v>CPAC Northeast</v>
      </c>
      <c r="C1141" s="19"/>
      <c r="D1141" s="19"/>
      <c r="E1141" s="19"/>
      <c r="F1141" s="19"/>
      <c r="G1141" s="19"/>
      <c r="H1141" s="29"/>
      <c r="I1141" s="3" t="s">
        <v>22</v>
      </c>
      <c r="J1141" s="11"/>
      <c r="K1141" s="11"/>
      <c r="L1141" s="11"/>
      <c r="M1141" s="10" t="s">
        <v>24</v>
      </c>
      <c r="N1141" s="10" t="s">
        <v>24</v>
      </c>
      <c r="O1141" s="11"/>
    </row>
    <row r="1142" spans="1:15" ht="15" thickBot="1" x14ac:dyDescent="0.4">
      <c r="B1142" t="str">
        <f t="shared" si="330"/>
        <v>CPAC Northeast</v>
      </c>
      <c r="C1142" s="16"/>
      <c r="D1142" s="16"/>
      <c r="E1142" s="16"/>
      <c r="F1142" s="16"/>
      <c r="G1142" s="16" t="s">
        <v>274</v>
      </c>
      <c r="H1142" s="27" t="s">
        <v>34</v>
      </c>
      <c r="I1142" s="1"/>
      <c r="J1142" s="1"/>
      <c r="K1142" s="1"/>
      <c r="L1142" s="1"/>
      <c r="M1142" s="1"/>
      <c r="N1142" s="1"/>
      <c r="O1142" s="1"/>
    </row>
    <row r="1143" spans="1:15" ht="15" thickBot="1" x14ac:dyDescent="0.4">
      <c r="A1143" t="str">
        <f t="shared" si="329"/>
        <v>FC331</v>
      </c>
      <c r="B1143" t="str">
        <f t="shared" si="330"/>
        <v>CPAC Northeast</v>
      </c>
      <c r="C1143" s="18"/>
      <c r="D1143" s="18"/>
      <c r="E1143" s="18"/>
      <c r="F1143" s="18"/>
      <c r="G1143" s="18"/>
      <c r="H1143" s="28"/>
      <c r="I1143" s="3" t="s">
        <v>18</v>
      </c>
      <c r="J1143" s="4">
        <v>36</v>
      </c>
      <c r="K1143" s="8">
        <v>16</v>
      </c>
      <c r="L1143" s="4">
        <v>36</v>
      </c>
      <c r="M1143" s="4">
        <v>30</v>
      </c>
      <c r="N1143" s="4">
        <v>36</v>
      </c>
      <c r="O1143" s="4">
        <v>30</v>
      </c>
    </row>
    <row r="1144" spans="1:15" ht="15" thickBot="1" x14ac:dyDescent="0.4">
      <c r="A1144" t="str">
        <f t="shared" si="331"/>
        <v>FC331</v>
      </c>
      <c r="B1144" t="str">
        <f t="shared" si="330"/>
        <v>CPAC Northeast</v>
      </c>
      <c r="C1144" s="18"/>
      <c r="D1144" s="18"/>
      <c r="E1144" s="18"/>
      <c r="F1144" s="18"/>
      <c r="G1144" s="18"/>
      <c r="H1144" s="28"/>
      <c r="I1144" s="5" t="s">
        <v>19</v>
      </c>
      <c r="J1144" s="9">
        <v>128</v>
      </c>
      <c r="K1144" s="9">
        <v>137</v>
      </c>
      <c r="L1144" s="9">
        <v>110</v>
      </c>
      <c r="M1144" s="6">
        <v>68</v>
      </c>
      <c r="N1144" s="9">
        <v>110</v>
      </c>
      <c r="O1144" s="7">
        <v>88</v>
      </c>
    </row>
    <row r="1145" spans="1:15" ht="15" thickBot="1" x14ac:dyDescent="0.4">
      <c r="A1145" t="str">
        <f t="shared" si="332"/>
        <v>FC331</v>
      </c>
      <c r="B1145" t="str">
        <f t="shared" si="330"/>
        <v>CPAC Northeast</v>
      </c>
      <c r="C1145" s="18"/>
      <c r="D1145" s="18"/>
      <c r="E1145" s="18"/>
      <c r="F1145" s="18"/>
      <c r="G1145" s="18"/>
      <c r="H1145" s="28"/>
      <c r="I1145" s="3" t="s">
        <v>20</v>
      </c>
      <c r="J1145" s="8">
        <v>70.599999999999994</v>
      </c>
      <c r="K1145" s="10">
        <v>18.600000000000001</v>
      </c>
      <c r="L1145" s="8">
        <v>60.1</v>
      </c>
      <c r="M1145" s="7">
        <v>39.1</v>
      </c>
      <c r="N1145" s="6">
        <v>44.9</v>
      </c>
      <c r="O1145" s="8">
        <v>50.5</v>
      </c>
    </row>
    <row r="1146" spans="1:15" ht="15" thickBot="1" x14ac:dyDescent="0.4">
      <c r="A1146" t="str">
        <f t="shared" si="333"/>
        <v>FC331</v>
      </c>
      <c r="B1146" t="str">
        <f t="shared" si="330"/>
        <v>CPAC Northeast</v>
      </c>
      <c r="C1146" s="18"/>
      <c r="D1146" s="18"/>
      <c r="E1146" s="18"/>
      <c r="F1146" s="18"/>
      <c r="G1146" s="18"/>
      <c r="H1146" s="28"/>
      <c r="I1146" s="5" t="s">
        <v>21</v>
      </c>
      <c r="J1146" s="9">
        <v>0.61</v>
      </c>
      <c r="K1146" s="10">
        <v>2.4500000000000002</v>
      </c>
      <c r="L1146" s="9">
        <v>0.61</v>
      </c>
      <c r="M1146" s="9">
        <v>0.57999999999999996</v>
      </c>
      <c r="N1146" s="10">
        <v>0.82</v>
      </c>
      <c r="O1146" s="9">
        <v>0.57999999999999996</v>
      </c>
    </row>
    <row r="1147" spans="1:15" ht="15" thickBot="1" x14ac:dyDescent="0.4">
      <c r="A1147" t="str">
        <f t="shared" si="334"/>
        <v>FC331</v>
      </c>
      <c r="B1147" t="str">
        <f t="shared" si="330"/>
        <v>CPAC Northeast</v>
      </c>
      <c r="C1147" s="19"/>
      <c r="D1147" s="19"/>
      <c r="E1147" s="19"/>
      <c r="F1147" s="19"/>
      <c r="G1147" s="19"/>
      <c r="H1147" s="29"/>
      <c r="I1147" s="3" t="s">
        <v>22</v>
      </c>
      <c r="J1147" s="9" t="s">
        <v>25</v>
      </c>
      <c r="K1147" s="10" t="s">
        <v>24</v>
      </c>
      <c r="L1147" s="11"/>
      <c r="M1147" s="9" t="s">
        <v>25</v>
      </c>
      <c r="N1147" s="10" t="s">
        <v>24</v>
      </c>
      <c r="O1147" s="9" t="s">
        <v>25</v>
      </c>
    </row>
    <row r="1148" spans="1:15" ht="15" thickBot="1" x14ac:dyDescent="0.4">
      <c r="B1148" t="str">
        <f t="shared" si="330"/>
        <v>CPAC Northeast</v>
      </c>
      <c r="C1148" s="16"/>
      <c r="D1148" s="16"/>
      <c r="E1148" s="16"/>
      <c r="F1148" s="16"/>
      <c r="G1148" s="16" t="s">
        <v>275</v>
      </c>
      <c r="H1148" s="27" t="s">
        <v>34</v>
      </c>
      <c r="I1148" s="1"/>
      <c r="J1148" s="1"/>
      <c r="K1148" s="1"/>
      <c r="L1148" s="1"/>
      <c r="M1148" s="1"/>
      <c r="N1148" s="1"/>
      <c r="O1148" s="1"/>
    </row>
    <row r="1149" spans="1:15" ht="15" thickBot="1" x14ac:dyDescent="0.4">
      <c r="A1149" t="str">
        <f t="shared" si="329"/>
        <v>ZZP1</v>
      </c>
      <c r="B1149" t="str">
        <f t="shared" si="330"/>
        <v>CPAC Northeast</v>
      </c>
      <c r="C1149" s="18"/>
      <c r="D1149" s="18"/>
      <c r="E1149" s="18"/>
      <c r="F1149" s="18"/>
      <c r="G1149" s="18"/>
      <c r="H1149" s="28"/>
      <c r="I1149" s="3" t="s">
        <v>18</v>
      </c>
      <c r="J1149" s="4">
        <v>36</v>
      </c>
      <c r="K1149" s="4">
        <v>42</v>
      </c>
      <c r="L1149" s="4">
        <v>35</v>
      </c>
      <c r="M1149" s="4">
        <v>30</v>
      </c>
      <c r="N1149" s="4">
        <v>36</v>
      </c>
      <c r="O1149" s="8">
        <v>18</v>
      </c>
    </row>
    <row r="1150" spans="1:15" ht="15" thickBot="1" x14ac:dyDescent="0.4">
      <c r="A1150" t="str">
        <f t="shared" si="331"/>
        <v>ZZP1</v>
      </c>
      <c r="B1150" t="str">
        <f t="shared" si="330"/>
        <v>CPAC Northeast</v>
      </c>
      <c r="C1150" s="18"/>
      <c r="D1150" s="18"/>
      <c r="E1150" s="18"/>
      <c r="F1150" s="18"/>
      <c r="G1150" s="18"/>
      <c r="H1150" s="28"/>
      <c r="I1150" s="5" t="s">
        <v>19</v>
      </c>
      <c r="J1150" s="6">
        <v>66</v>
      </c>
      <c r="K1150" s="6">
        <v>58</v>
      </c>
      <c r="L1150" s="6">
        <v>60</v>
      </c>
      <c r="M1150" s="6">
        <v>65</v>
      </c>
      <c r="N1150" s="6">
        <v>63</v>
      </c>
      <c r="O1150" s="6">
        <v>62</v>
      </c>
    </row>
    <row r="1151" spans="1:15" ht="15" thickBot="1" x14ac:dyDescent="0.4">
      <c r="A1151" t="str">
        <f t="shared" si="332"/>
        <v>ZZP1</v>
      </c>
      <c r="B1151" t="str">
        <f t="shared" si="330"/>
        <v>CPAC Northeast</v>
      </c>
      <c r="C1151" s="18"/>
      <c r="D1151" s="18"/>
      <c r="E1151" s="18"/>
      <c r="F1151" s="18"/>
      <c r="G1151" s="18"/>
      <c r="H1151" s="28"/>
      <c r="I1151" s="3" t="s">
        <v>20</v>
      </c>
      <c r="J1151" s="10">
        <v>21.9</v>
      </c>
      <c r="K1151" s="10">
        <v>19.100000000000001</v>
      </c>
      <c r="L1151" s="10">
        <v>17</v>
      </c>
      <c r="M1151" s="10">
        <v>16.100000000000001</v>
      </c>
      <c r="N1151" s="10">
        <v>20.6</v>
      </c>
      <c r="O1151" s="10">
        <v>17.5</v>
      </c>
    </row>
    <row r="1152" spans="1:15" ht="15" thickBot="1" x14ac:dyDescent="0.4">
      <c r="A1152" t="str">
        <f t="shared" si="333"/>
        <v>ZZP1</v>
      </c>
      <c r="B1152" t="str">
        <f t="shared" si="330"/>
        <v>CPAC Northeast</v>
      </c>
      <c r="C1152" s="18"/>
      <c r="D1152" s="18"/>
      <c r="E1152" s="18"/>
      <c r="F1152" s="18"/>
      <c r="G1152" s="18"/>
      <c r="H1152" s="28"/>
      <c r="I1152" s="5" t="s">
        <v>21</v>
      </c>
      <c r="J1152" s="10">
        <v>1</v>
      </c>
      <c r="K1152" s="10">
        <v>1.02</v>
      </c>
      <c r="L1152" s="10">
        <v>1.18</v>
      </c>
      <c r="M1152" s="10">
        <v>1.34</v>
      </c>
      <c r="N1152" s="10">
        <v>1.03</v>
      </c>
      <c r="O1152" s="10">
        <v>1.17</v>
      </c>
    </row>
    <row r="1153" spans="1:15" ht="15" thickBot="1" x14ac:dyDescent="0.4">
      <c r="A1153" t="str">
        <f t="shared" si="334"/>
        <v>ZZP1</v>
      </c>
      <c r="B1153" t="str">
        <f t="shared" si="330"/>
        <v>CPAC Northeast</v>
      </c>
      <c r="C1153" s="19"/>
      <c r="D1153" s="19"/>
      <c r="E1153" s="19"/>
      <c r="F1153" s="19"/>
      <c r="G1153" s="19"/>
      <c r="H1153" s="29"/>
      <c r="I1153" s="3" t="s">
        <v>22</v>
      </c>
      <c r="J1153" s="10" t="s">
        <v>24</v>
      </c>
      <c r="K1153" s="11"/>
      <c r="L1153" s="10" t="s">
        <v>24</v>
      </c>
      <c r="M1153" s="10" t="s">
        <v>24</v>
      </c>
      <c r="N1153" s="11"/>
      <c r="O1153" s="10" t="s">
        <v>24</v>
      </c>
    </row>
    <row r="1154" spans="1:15" ht="15" thickBot="1" x14ac:dyDescent="0.4">
      <c r="B1154" t="str">
        <f t="shared" si="330"/>
        <v>CPAC Northeast</v>
      </c>
      <c r="C1154" s="16"/>
      <c r="D1154" s="16"/>
      <c r="E1154" s="16"/>
      <c r="F1154" s="16"/>
      <c r="G1154" s="16" t="s">
        <v>276</v>
      </c>
      <c r="H1154" s="27" t="s">
        <v>34</v>
      </c>
      <c r="I1154" s="1"/>
      <c r="J1154" s="1"/>
      <c r="K1154" s="1"/>
      <c r="L1154" s="1"/>
      <c r="M1154" s="1"/>
      <c r="N1154" s="1"/>
      <c r="O1154" s="1"/>
    </row>
    <row r="1155" spans="1:15" ht="15" thickBot="1" x14ac:dyDescent="0.4">
      <c r="A1155" t="str">
        <f t="shared" si="329"/>
        <v>ZZS2</v>
      </c>
      <c r="B1155" t="str">
        <f t="shared" si="330"/>
        <v>CPAC Northeast</v>
      </c>
      <c r="C1155" s="18"/>
      <c r="D1155" s="18"/>
      <c r="E1155" s="18"/>
      <c r="F1155" s="18"/>
      <c r="G1155" s="18"/>
      <c r="H1155" s="28"/>
      <c r="I1155" s="3" t="s">
        <v>18</v>
      </c>
      <c r="J1155" s="4">
        <v>35</v>
      </c>
      <c r="K1155" s="4">
        <v>36</v>
      </c>
      <c r="L1155" s="4">
        <v>34</v>
      </c>
      <c r="M1155" s="4">
        <v>44</v>
      </c>
      <c r="N1155" s="4">
        <v>30</v>
      </c>
      <c r="O1155" s="4">
        <v>36</v>
      </c>
    </row>
    <row r="1156" spans="1:15" ht="15" thickBot="1" x14ac:dyDescent="0.4">
      <c r="A1156" t="str">
        <f t="shared" si="331"/>
        <v>ZZS2</v>
      </c>
      <c r="B1156" t="str">
        <f t="shared" si="330"/>
        <v>CPAC Northeast</v>
      </c>
      <c r="C1156" s="18"/>
      <c r="D1156" s="18"/>
      <c r="E1156" s="18"/>
      <c r="F1156" s="18"/>
      <c r="G1156" s="18"/>
      <c r="H1156" s="28"/>
      <c r="I1156" s="5" t="s">
        <v>19</v>
      </c>
      <c r="J1156" s="9">
        <v>137</v>
      </c>
      <c r="K1156" s="7">
        <v>78</v>
      </c>
      <c r="L1156" s="9">
        <v>100</v>
      </c>
      <c r="M1156" s="7">
        <v>89</v>
      </c>
      <c r="N1156" s="9">
        <v>98</v>
      </c>
      <c r="O1156" s="9">
        <v>113</v>
      </c>
    </row>
    <row r="1157" spans="1:15" ht="15" thickBot="1" x14ac:dyDescent="0.4">
      <c r="A1157" t="str">
        <f t="shared" si="332"/>
        <v>ZZS2</v>
      </c>
      <c r="B1157" t="str">
        <f t="shared" si="330"/>
        <v>CPAC Northeast</v>
      </c>
      <c r="C1157" s="18"/>
      <c r="D1157" s="18"/>
      <c r="E1157" s="18"/>
      <c r="F1157" s="18"/>
      <c r="G1157" s="18"/>
      <c r="H1157" s="28"/>
      <c r="I1157" s="3" t="s">
        <v>20</v>
      </c>
      <c r="J1157" s="7">
        <v>40.1</v>
      </c>
      <c r="K1157" s="10">
        <v>21.2</v>
      </c>
      <c r="L1157" s="7">
        <v>35.5</v>
      </c>
      <c r="M1157" s="9">
        <v>32.299999999999997</v>
      </c>
      <c r="N1157" s="10">
        <v>25.5</v>
      </c>
      <c r="O1157" s="10">
        <v>24.4</v>
      </c>
    </row>
    <row r="1158" spans="1:15" ht="15" thickBot="1" x14ac:dyDescent="0.4">
      <c r="A1158" t="str">
        <f t="shared" si="333"/>
        <v>ZZS2</v>
      </c>
      <c r="B1158" t="str">
        <f t="shared" si="330"/>
        <v>CPAC Northeast</v>
      </c>
      <c r="C1158" s="18"/>
      <c r="D1158" s="18"/>
      <c r="E1158" s="18"/>
      <c r="F1158" s="18"/>
      <c r="G1158" s="18"/>
      <c r="H1158" s="28"/>
      <c r="I1158" s="5" t="s">
        <v>21</v>
      </c>
      <c r="J1158" s="10">
        <v>1.1399999999999999</v>
      </c>
      <c r="K1158" s="10">
        <v>1.23</v>
      </c>
      <c r="L1158" s="10">
        <v>0.94</v>
      </c>
      <c r="M1158" s="10">
        <v>0.92</v>
      </c>
      <c r="N1158" s="10">
        <v>1.28</v>
      </c>
      <c r="O1158" s="10">
        <v>1.54</v>
      </c>
    </row>
    <row r="1159" spans="1:15" ht="15" thickBot="1" x14ac:dyDescent="0.4">
      <c r="A1159" t="str">
        <f t="shared" si="334"/>
        <v>ZZS2</v>
      </c>
      <c r="B1159" t="str">
        <f t="shared" si="330"/>
        <v>CPAC Northeast</v>
      </c>
      <c r="C1159" s="19"/>
      <c r="D1159" s="19"/>
      <c r="E1159" s="19"/>
      <c r="F1159" s="19"/>
      <c r="G1159" s="19"/>
      <c r="H1159" s="29"/>
      <c r="I1159" s="3" t="s">
        <v>22</v>
      </c>
      <c r="J1159" s="11"/>
      <c r="K1159" s="11"/>
      <c r="L1159" s="10" t="s">
        <v>24</v>
      </c>
      <c r="M1159" s="11"/>
      <c r="N1159" s="10" t="s">
        <v>24</v>
      </c>
      <c r="O1159" s="11"/>
    </row>
    <row r="1160" spans="1:15" ht="15" thickBot="1" x14ac:dyDescent="0.4">
      <c r="B1160" t="str">
        <f t="shared" si="330"/>
        <v>CPAC Northeast</v>
      </c>
      <c r="C1160" s="16"/>
      <c r="D1160" s="16"/>
      <c r="E1160" s="16"/>
      <c r="F1160" s="16"/>
      <c r="G1160" s="16" t="s">
        <v>277</v>
      </c>
      <c r="H1160" s="27" t="s">
        <v>34</v>
      </c>
      <c r="I1160" s="1"/>
      <c r="J1160" s="1"/>
      <c r="K1160" s="1"/>
      <c r="L1160" s="1"/>
      <c r="M1160" s="1"/>
      <c r="N1160" s="1"/>
      <c r="O1160" s="1"/>
    </row>
    <row r="1161" spans="1:15" ht="15" thickBot="1" x14ac:dyDescent="0.4">
      <c r="A1161" t="str">
        <f t="shared" si="329"/>
        <v>FC141</v>
      </c>
      <c r="B1161" t="str">
        <f t="shared" si="330"/>
        <v>CPAC Northeast</v>
      </c>
      <c r="C1161" s="18"/>
      <c r="D1161" s="18"/>
      <c r="E1161" s="18"/>
      <c r="F1161" s="18"/>
      <c r="G1161" s="18"/>
      <c r="H1161" s="28"/>
      <c r="I1161" s="3" t="s">
        <v>18</v>
      </c>
      <c r="J1161" s="4">
        <v>35</v>
      </c>
      <c r="K1161" s="4">
        <v>30</v>
      </c>
      <c r="L1161" s="4">
        <v>30</v>
      </c>
      <c r="M1161" s="4">
        <v>30</v>
      </c>
      <c r="N1161" s="8">
        <v>18</v>
      </c>
      <c r="O1161" s="4">
        <v>45</v>
      </c>
    </row>
    <row r="1162" spans="1:15" ht="15" thickBot="1" x14ac:dyDescent="0.4">
      <c r="A1162" t="str">
        <f t="shared" si="331"/>
        <v>FC141</v>
      </c>
      <c r="B1162" t="str">
        <f t="shared" si="330"/>
        <v>CPAC Northeast</v>
      </c>
      <c r="C1162" s="18"/>
      <c r="D1162" s="18"/>
      <c r="E1162" s="18"/>
      <c r="F1162" s="18"/>
      <c r="G1162" s="18"/>
      <c r="H1162" s="28"/>
      <c r="I1162" s="5" t="s">
        <v>19</v>
      </c>
      <c r="J1162" s="9">
        <v>134</v>
      </c>
      <c r="K1162" s="9">
        <v>185</v>
      </c>
      <c r="L1162" s="9">
        <v>120</v>
      </c>
      <c r="M1162" s="9">
        <v>109</v>
      </c>
      <c r="N1162" s="6">
        <v>55</v>
      </c>
      <c r="O1162" s="9">
        <v>99</v>
      </c>
    </row>
    <row r="1163" spans="1:15" ht="15" thickBot="1" x14ac:dyDescent="0.4">
      <c r="A1163" t="str">
        <f t="shared" si="332"/>
        <v>FC141</v>
      </c>
      <c r="B1163" t="str">
        <f t="shared" si="330"/>
        <v>CPAC Northeast</v>
      </c>
      <c r="C1163" s="18"/>
      <c r="D1163" s="18"/>
      <c r="E1163" s="18"/>
      <c r="F1163" s="18"/>
      <c r="G1163" s="18"/>
      <c r="H1163" s="28"/>
      <c r="I1163" s="3" t="s">
        <v>20</v>
      </c>
      <c r="J1163" s="7">
        <v>36.4</v>
      </c>
      <c r="K1163" s="10">
        <v>20.5</v>
      </c>
      <c r="L1163" s="6">
        <v>46.4</v>
      </c>
      <c r="M1163" s="10">
        <v>19.3</v>
      </c>
      <c r="N1163" s="9">
        <v>28.9</v>
      </c>
      <c r="O1163" s="6">
        <v>46.8</v>
      </c>
    </row>
    <row r="1164" spans="1:15" ht="15" thickBot="1" x14ac:dyDescent="0.4">
      <c r="A1164" t="str">
        <f t="shared" si="333"/>
        <v>FC141</v>
      </c>
      <c r="B1164" t="str">
        <f t="shared" si="330"/>
        <v>CPAC Northeast</v>
      </c>
      <c r="C1164" s="18"/>
      <c r="D1164" s="18"/>
      <c r="E1164" s="18"/>
      <c r="F1164" s="18"/>
      <c r="G1164" s="18"/>
      <c r="H1164" s="28"/>
      <c r="I1164" s="5" t="s">
        <v>21</v>
      </c>
      <c r="J1164" s="10">
        <v>1.23</v>
      </c>
      <c r="K1164" s="10">
        <v>3.01</v>
      </c>
      <c r="L1164" s="10">
        <v>0.86</v>
      </c>
      <c r="M1164" s="10">
        <v>1.87</v>
      </c>
      <c r="N1164" s="9">
        <v>0.63</v>
      </c>
      <c r="O1164" s="9">
        <v>0.71</v>
      </c>
    </row>
    <row r="1165" spans="1:15" ht="15" thickBot="1" x14ac:dyDescent="0.4">
      <c r="A1165" t="str">
        <f t="shared" si="334"/>
        <v>FC141</v>
      </c>
      <c r="B1165" t="str">
        <f t="shared" si="330"/>
        <v>CPAC Northeast</v>
      </c>
      <c r="C1165" s="19"/>
      <c r="D1165" s="19"/>
      <c r="E1165" s="19"/>
      <c r="F1165" s="19"/>
      <c r="G1165" s="19"/>
      <c r="H1165" s="29"/>
      <c r="I1165" s="3" t="s">
        <v>22</v>
      </c>
      <c r="J1165" s="11"/>
      <c r="K1165" s="11"/>
      <c r="L1165" s="11"/>
      <c r="M1165" s="11"/>
      <c r="N1165" s="9" t="s">
        <v>25</v>
      </c>
      <c r="O1165" s="11"/>
    </row>
    <row r="1166" spans="1:15" ht="15" thickBot="1" x14ac:dyDescent="0.4">
      <c r="B1166" t="str">
        <f t="shared" si="330"/>
        <v>CPAC Northeast</v>
      </c>
      <c r="C1166" s="16"/>
      <c r="D1166" s="16"/>
      <c r="E1166" s="16"/>
      <c r="F1166" s="16"/>
      <c r="G1166" s="16" t="s">
        <v>278</v>
      </c>
      <c r="H1166" s="27" t="s">
        <v>34</v>
      </c>
      <c r="I1166" s="1"/>
      <c r="J1166" s="1"/>
      <c r="K1166" s="1"/>
      <c r="L1166" s="1"/>
      <c r="M1166" s="1"/>
      <c r="N1166" s="1"/>
      <c r="O1166" s="1"/>
    </row>
    <row r="1167" spans="1:15" ht="15" thickBot="1" x14ac:dyDescent="0.4">
      <c r="A1167" t="str">
        <f t="shared" ref="A1167:A1230" si="335">IF(LEFT(G1166,2)="FC",LEFT(G1166,5),LEFT(G1166,4))</f>
        <v>FC193</v>
      </c>
      <c r="B1167" t="str">
        <f t="shared" ref="B1167:B1230" si="336">$D$974</f>
        <v>CPAC Northeast</v>
      </c>
      <c r="C1167" s="18"/>
      <c r="D1167" s="18"/>
      <c r="E1167" s="18"/>
      <c r="F1167" s="18"/>
      <c r="G1167" s="18"/>
      <c r="H1167" s="28"/>
      <c r="I1167" s="3" t="s">
        <v>18</v>
      </c>
      <c r="J1167" s="4">
        <v>39</v>
      </c>
      <c r="K1167" s="8">
        <v>22</v>
      </c>
      <c r="L1167" s="4">
        <v>40</v>
      </c>
      <c r="M1167" s="4">
        <v>32</v>
      </c>
      <c r="N1167" s="4">
        <v>38</v>
      </c>
      <c r="O1167" s="4">
        <v>38</v>
      </c>
    </row>
    <row r="1168" spans="1:15" ht="15" thickBot="1" x14ac:dyDescent="0.4">
      <c r="A1168" t="str">
        <f t="shared" si="331"/>
        <v>FC193</v>
      </c>
      <c r="B1168" t="str">
        <f t="shared" si="336"/>
        <v>CPAC Northeast</v>
      </c>
      <c r="C1168" s="18"/>
      <c r="D1168" s="18"/>
      <c r="E1168" s="18"/>
      <c r="F1168" s="18"/>
      <c r="G1168" s="18"/>
      <c r="H1168" s="28"/>
      <c r="I1168" s="5" t="s">
        <v>19</v>
      </c>
      <c r="J1168" s="9">
        <v>138</v>
      </c>
      <c r="K1168" s="9">
        <v>116</v>
      </c>
      <c r="L1168" s="9">
        <v>131</v>
      </c>
      <c r="M1168" s="9">
        <v>118</v>
      </c>
      <c r="N1168" s="9">
        <v>95</v>
      </c>
      <c r="O1168" s="6">
        <v>69</v>
      </c>
    </row>
    <row r="1169" spans="1:15" ht="15" thickBot="1" x14ac:dyDescent="0.4">
      <c r="A1169" t="str">
        <f t="shared" si="332"/>
        <v>FC193</v>
      </c>
      <c r="B1169" t="str">
        <f t="shared" si="336"/>
        <v>CPAC Northeast</v>
      </c>
      <c r="C1169" s="18"/>
      <c r="D1169" s="18"/>
      <c r="E1169" s="18"/>
      <c r="F1169" s="18"/>
      <c r="G1169" s="18"/>
      <c r="H1169" s="28"/>
      <c r="I1169" s="3" t="s">
        <v>20</v>
      </c>
      <c r="J1169" s="8">
        <v>51.2</v>
      </c>
      <c r="K1169" s="8">
        <v>61.5</v>
      </c>
      <c r="L1169" s="7">
        <v>36.700000000000003</v>
      </c>
      <c r="M1169" s="10">
        <v>21.3</v>
      </c>
      <c r="N1169" s="7">
        <v>35.4</v>
      </c>
      <c r="O1169" s="10">
        <v>24.1</v>
      </c>
    </row>
    <row r="1170" spans="1:15" ht="15" thickBot="1" x14ac:dyDescent="0.4">
      <c r="A1170" t="str">
        <f t="shared" si="333"/>
        <v>FC193</v>
      </c>
      <c r="B1170" t="str">
        <f t="shared" si="336"/>
        <v>CPAC Northeast</v>
      </c>
      <c r="C1170" s="18"/>
      <c r="D1170" s="18"/>
      <c r="E1170" s="18"/>
      <c r="F1170" s="18"/>
      <c r="G1170" s="18"/>
      <c r="H1170" s="28"/>
      <c r="I1170" s="5" t="s">
        <v>21</v>
      </c>
      <c r="J1170" s="10">
        <v>0.9</v>
      </c>
      <c r="K1170" s="9">
        <v>0.63</v>
      </c>
      <c r="L1170" s="10">
        <v>1.19</v>
      </c>
      <c r="M1170" s="10">
        <v>1.84</v>
      </c>
      <c r="N1170" s="10">
        <v>0.9</v>
      </c>
      <c r="O1170" s="10">
        <v>0.95</v>
      </c>
    </row>
    <row r="1171" spans="1:15" ht="15" thickBot="1" x14ac:dyDescent="0.4">
      <c r="A1171" t="str">
        <f t="shared" si="334"/>
        <v>FC193</v>
      </c>
      <c r="B1171" t="str">
        <f t="shared" si="336"/>
        <v>CPAC Northeast</v>
      </c>
      <c r="C1171" s="19"/>
      <c r="D1171" s="19"/>
      <c r="E1171" s="19"/>
      <c r="F1171" s="19"/>
      <c r="G1171" s="19"/>
      <c r="H1171" s="29"/>
      <c r="I1171" s="3" t="s">
        <v>22</v>
      </c>
      <c r="J1171" s="10" t="s">
        <v>24</v>
      </c>
      <c r="K1171" s="9" t="s">
        <v>25</v>
      </c>
      <c r="L1171" s="10" t="s">
        <v>24</v>
      </c>
      <c r="M1171" s="11"/>
      <c r="N1171" s="11"/>
      <c r="O1171" s="11"/>
    </row>
    <row r="1172" spans="1:15" ht="15" thickBot="1" x14ac:dyDescent="0.4">
      <c r="B1172" t="str">
        <f t="shared" si="336"/>
        <v>CPAC Northeast</v>
      </c>
      <c r="C1172" s="16"/>
      <c r="D1172" s="16"/>
      <c r="E1172" s="16"/>
      <c r="F1172" s="16"/>
      <c r="G1172" s="16" t="s">
        <v>279</v>
      </c>
      <c r="H1172" s="27" t="s">
        <v>34</v>
      </c>
      <c r="I1172" s="1"/>
      <c r="J1172" s="1"/>
      <c r="K1172" s="1"/>
      <c r="L1172" s="1"/>
      <c r="M1172" s="1"/>
      <c r="N1172" s="1"/>
      <c r="O1172" s="1"/>
    </row>
    <row r="1173" spans="1:15" ht="15" thickBot="1" x14ac:dyDescent="0.4">
      <c r="A1173" t="str">
        <f t="shared" si="335"/>
        <v>FC283</v>
      </c>
      <c r="B1173" t="str">
        <f t="shared" si="336"/>
        <v>CPAC Northeast</v>
      </c>
      <c r="C1173" s="18"/>
      <c r="D1173" s="18"/>
      <c r="E1173" s="18"/>
      <c r="F1173" s="18"/>
      <c r="G1173" s="18"/>
      <c r="H1173" s="28"/>
      <c r="I1173" s="3" t="s">
        <v>18</v>
      </c>
      <c r="J1173" s="4">
        <v>42</v>
      </c>
      <c r="K1173" s="4">
        <v>36</v>
      </c>
      <c r="L1173" s="4">
        <v>30</v>
      </c>
      <c r="M1173" s="4">
        <v>30</v>
      </c>
      <c r="N1173" s="4">
        <v>30</v>
      </c>
      <c r="O1173" s="4">
        <v>30</v>
      </c>
    </row>
    <row r="1174" spans="1:15" ht="15" thickBot="1" x14ac:dyDescent="0.4">
      <c r="A1174" t="str">
        <f t="shared" ref="A1174:A1234" si="337">IF(LEFT(G1172,2)="FC",LEFT(G1172,5),LEFT(G1172,4))</f>
        <v>FC283</v>
      </c>
      <c r="B1174" t="str">
        <f t="shared" si="336"/>
        <v>CPAC Northeast</v>
      </c>
      <c r="C1174" s="18"/>
      <c r="D1174" s="18"/>
      <c r="E1174" s="18"/>
      <c r="F1174" s="18"/>
      <c r="G1174" s="18"/>
      <c r="H1174" s="28"/>
      <c r="I1174" s="5" t="s">
        <v>19</v>
      </c>
      <c r="J1174" s="9">
        <v>92</v>
      </c>
      <c r="K1174" s="9">
        <v>147</v>
      </c>
      <c r="L1174" s="9">
        <v>150</v>
      </c>
      <c r="M1174" s="7">
        <v>71</v>
      </c>
      <c r="N1174" s="9">
        <v>107</v>
      </c>
      <c r="O1174" s="9">
        <v>101</v>
      </c>
    </row>
    <row r="1175" spans="1:15" ht="15" thickBot="1" x14ac:dyDescent="0.4">
      <c r="A1175" t="str">
        <f t="shared" ref="A1175:A1235" si="338">IF(LEFT(G1172,2)="FC",LEFT(G1172,5),LEFT(G1172,4))</f>
        <v>FC283</v>
      </c>
      <c r="B1175" t="str">
        <f t="shared" si="336"/>
        <v>CPAC Northeast</v>
      </c>
      <c r="C1175" s="18"/>
      <c r="D1175" s="18"/>
      <c r="E1175" s="18"/>
      <c r="F1175" s="18"/>
      <c r="G1175" s="18"/>
      <c r="H1175" s="28"/>
      <c r="I1175" s="3" t="s">
        <v>20</v>
      </c>
      <c r="J1175" s="10">
        <v>22</v>
      </c>
      <c r="K1175" s="10">
        <v>20</v>
      </c>
      <c r="L1175" s="6">
        <v>41.8</v>
      </c>
      <c r="M1175" s="10">
        <v>11.6</v>
      </c>
      <c r="N1175" s="7">
        <v>35.9</v>
      </c>
      <c r="O1175" s="10">
        <v>25.9</v>
      </c>
    </row>
    <row r="1176" spans="1:15" ht="15" thickBot="1" x14ac:dyDescent="0.4">
      <c r="A1176" t="str">
        <f t="shared" ref="A1176:A1236" si="339">IF(LEFT(G1172,2)="FC",LEFT(G1172,5),LEFT(G1172,4))</f>
        <v>FC283</v>
      </c>
      <c r="B1176" t="str">
        <f t="shared" si="336"/>
        <v>CPAC Northeast</v>
      </c>
      <c r="C1176" s="18"/>
      <c r="D1176" s="18"/>
      <c r="E1176" s="18"/>
      <c r="F1176" s="18"/>
      <c r="G1176" s="18"/>
      <c r="H1176" s="28"/>
      <c r="I1176" s="5" t="s">
        <v>21</v>
      </c>
      <c r="J1176" s="10">
        <v>1.4</v>
      </c>
      <c r="K1176" s="10">
        <v>2.4500000000000002</v>
      </c>
      <c r="L1176" s="10">
        <v>1.2</v>
      </c>
      <c r="M1176" s="10">
        <v>2.06</v>
      </c>
      <c r="N1176" s="10">
        <v>0.99</v>
      </c>
      <c r="O1176" s="10">
        <v>1.3</v>
      </c>
    </row>
    <row r="1177" spans="1:15" ht="15" thickBot="1" x14ac:dyDescent="0.4">
      <c r="A1177" t="str">
        <f t="shared" ref="A1177:A1237" si="340">IF(LEFT(G1172,2)="FC",LEFT(G1172,5),LEFT(G1172,4))</f>
        <v>FC283</v>
      </c>
      <c r="B1177" t="str">
        <f t="shared" si="336"/>
        <v>CPAC Northeast</v>
      </c>
      <c r="C1177" s="19"/>
      <c r="D1177" s="19"/>
      <c r="E1177" s="19"/>
      <c r="F1177" s="19"/>
      <c r="G1177" s="19"/>
      <c r="H1177" s="29"/>
      <c r="I1177" s="3" t="s">
        <v>22</v>
      </c>
      <c r="J1177" s="11"/>
      <c r="K1177" s="11"/>
      <c r="L1177" s="10" t="s">
        <v>24</v>
      </c>
      <c r="M1177" s="10" t="s">
        <v>24</v>
      </c>
      <c r="N1177" s="11"/>
      <c r="O1177" s="11"/>
    </row>
    <row r="1178" spans="1:15" ht="15" thickBot="1" x14ac:dyDescent="0.4">
      <c r="B1178" t="str">
        <f t="shared" si="336"/>
        <v>CPAC Northeast</v>
      </c>
      <c r="C1178" s="16"/>
      <c r="D1178" s="16"/>
      <c r="E1178" s="16"/>
      <c r="F1178" s="16"/>
      <c r="G1178" s="16" t="s">
        <v>280</v>
      </c>
      <c r="H1178" s="27" t="s">
        <v>34</v>
      </c>
      <c r="I1178" s="1"/>
      <c r="J1178" s="1"/>
      <c r="K1178" s="1"/>
      <c r="L1178" s="1"/>
      <c r="M1178" s="1"/>
      <c r="N1178" s="1"/>
      <c r="O1178" s="1"/>
    </row>
    <row r="1179" spans="1:15" ht="15" thickBot="1" x14ac:dyDescent="0.4">
      <c r="A1179" t="str">
        <f t="shared" si="335"/>
        <v>FC321</v>
      </c>
      <c r="B1179" t="str">
        <f t="shared" si="336"/>
        <v>CPAC Northeast</v>
      </c>
      <c r="C1179" s="18"/>
      <c r="D1179" s="18"/>
      <c r="E1179" s="18"/>
      <c r="F1179" s="18"/>
      <c r="G1179" s="18"/>
      <c r="H1179" s="28"/>
      <c r="I1179" s="3" t="s">
        <v>18</v>
      </c>
      <c r="J1179" s="4">
        <v>30</v>
      </c>
      <c r="K1179" s="4">
        <v>30</v>
      </c>
      <c r="L1179" s="4">
        <v>36</v>
      </c>
      <c r="M1179" s="4">
        <v>30</v>
      </c>
      <c r="N1179" s="4">
        <v>30</v>
      </c>
      <c r="O1179" s="4">
        <v>36</v>
      </c>
    </row>
    <row r="1180" spans="1:15" ht="15" thickBot="1" x14ac:dyDescent="0.4">
      <c r="A1180" t="str">
        <f t="shared" si="337"/>
        <v>FC321</v>
      </c>
      <c r="B1180" t="str">
        <f t="shared" si="336"/>
        <v>CPAC Northeast</v>
      </c>
      <c r="C1180" s="18"/>
      <c r="D1180" s="18"/>
      <c r="E1180" s="18"/>
      <c r="F1180" s="18"/>
      <c r="G1180" s="18"/>
      <c r="H1180" s="28"/>
      <c r="I1180" s="5" t="s">
        <v>19</v>
      </c>
      <c r="J1180" s="6">
        <v>67</v>
      </c>
      <c r="K1180" s="7">
        <v>71</v>
      </c>
      <c r="L1180" s="9">
        <v>95</v>
      </c>
      <c r="M1180" s="6">
        <v>54</v>
      </c>
      <c r="N1180" s="8">
        <v>30</v>
      </c>
      <c r="O1180" s="7">
        <v>88</v>
      </c>
    </row>
    <row r="1181" spans="1:15" ht="15" thickBot="1" x14ac:dyDescent="0.4">
      <c r="A1181" t="str">
        <f t="shared" si="338"/>
        <v>FC321</v>
      </c>
      <c r="B1181" t="str">
        <f t="shared" si="336"/>
        <v>CPAC Northeast</v>
      </c>
      <c r="C1181" s="18"/>
      <c r="D1181" s="18"/>
      <c r="E1181" s="18"/>
      <c r="F1181" s="18"/>
      <c r="G1181" s="18"/>
      <c r="H1181" s="28"/>
      <c r="I1181" s="3" t="s">
        <v>20</v>
      </c>
      <c r="J1181" s="10">
        <v>18.3</v>
      </c>
      <c r="K1181" s="7">
        <v>37.799999999999997</v>
      </c>
      <c r="L1181" s="10">
        <v>20.100000000000001</v>
      </c>
      <c r="M1181" s="10">
        <v>22.6</v>
      </c>
      <c r="N1181" s="10">
        <v>14.8</v>
      </c>
      <c r="O1181" s="10">
        <v>26.3</v>
      </c>
    </row>
    <row r="1182" spans="1:15" ht="15" thickBot="1" x14ac:dyDescent="0.4">
      <c r="A1182" t="str">
        <f t="shared" si="339"/>
        <v>FC321</v>
      </c>
      <c r="B1182" t="str">
        <f t="shared" si="336"/>
        <v>CPAC Northeast</v>
      </c>
      <c r="C1182" s="18"/>
      <c r="D1182" s="18"/>
      <c r="E1182" s="18"/>
      <c r="F1182" s="18"/>
      <c r="G1182" s="18"/>
      <c r="H1182" s="28"/>
      <c r="I1182" s="5" t="s">
        <v>21</v>
      </c>
      <c r="J1182" s="10">
        <v>1.22</v>
      </c>
      <c r="K1182" s="9">
        <v>0.63</v>
      </c>
      <c r="L1182" s="10">
        <v>1.58</v>
      </c>
      <c r="M1182" s="10">
        <v>0.8</v>
      </c>
      <c r="N1182" s="9">
        <v>0.67</v>
      </c>
      <c r="O1182" s="10">
        <v>1.1100000000000001</v>
      </c>
    </row>
    <row r="1183" spans="1:15" ht="15" thickBot="1" x14ac:dyDescent="0.4">
      <c r="A1183" t="str">
        <f t="shared" si="340"/>
        <v>FC321</v>
      </c>
      <c r="B1183" t="str">
        <f t="shared" si="336"/>
        <v>CPAC Northeast</v>
      </c>
      <c r="C1183" s="19"/>
      <c r="D1183" s="19"/>
      <c r="E1183" s="19"/>
      <c r="F1183" s="19"/>
      <c r="G1183" s="19"/>
      <c r="H1183" s="29"/>
      <c r="I1183" s="3" t="s">
        <v>22</v>
      </c>
      <c r="J1183" s="11"/>
      <c r="K1183" s="9" t="s">
        <v>25</v>
      </c>
      <c r="L1183" s="10" t="s">
        <v>24</v>
      </c>
      <c r="M1183" s="9" t="s">
        <v>25</v>
      </c>
      <c r="N1183" s="11"/>
      <c r="O1183" s="11"/>
    </row>
    <row r="1184" spans="1:15" ht="15" thickBot="1" x14ac:dyDescent="0.4">
      <c r="B1184" t="str">
        <f t="shared" si="336"/>
        <v>CPAC Northeast</v>
      </c>
      <c r="C1184" s="16"/>
      <c r="D1184" s="16"/>
      <c r="E1184" s="16"/>
      <c r="F1184" s="16"/>
      <c r="G1184" s="16" t="s">
        <v>281</v>
      </c>
      <c r="H1184" s="27" t="s">
        <v>34</v>
      </c>
      <c r="I1184" s="1"/>
      <c r="J1184" s="1"/>
      <c r="K1184" s="1"/>
      <c r="L1184" s="1"/>
      <c r="M1184" s="1"/>
      <c r="N1184" s="1"/>
      <c r="O1184" s="1"/>
    </row>
    <row r="1185" spans="1:15" ht="15" thickBot="1" x14ac:dyDescent="0.4">
      <c r="A1185" t="str">
        <f t="shared" si="335"/>
        <v>FC226</v>
      </c>
      <c r="B1185" t="str">
        <f t="shared" si="336"/>
        <v>CPAC Northeast</v>
      </c>
      <c r="C1185" s="18"/>
      <c r="D1185" s="18"/>
      <c r="E1185" s="18"/>
      <c r="F1185" s="18"/>
      <c r="G1185" s="18"/>
      <c r="H1185" s="28"/>
      <c r="I1185" s="3" t="s">
        <v>18</v>
      </c>
      <c r="J1185" s="4">
        <v>36</v>
      </c>
      <c r="K1185" s="4">
        <v>36</v>
      </c>
      <c r="L1185" s="4">
        <v>36</v>
      </c>
      <c r="M1185" s="4">
        <v>36</v>
      </c>
      <c r="N1185" s="4">
        <v>36</v>
      </c>
      <c r="O1185" s="4">
        <v>36</v>
      </c>
    </row>
    <row r="1186" spans="1:15" ht="15" thickBot="1" x14ac:dyDescent="0.4">
      <c r="A1186" t="str">
        <f t="shared" si="337"/>
        <v>FC226</v>
      </c>
      <c r="B1186" t="str">
        <f t="shared" si="336"/>
        <v>CPAC Northeast</v>
      </c>
      <c r="C1186" s="18"/>
      <c r="D1186" s="18"/>
      <c r="E1186" s="18"/>
      <c r="F1186" s="18"/>
      <c r="G1186" s="18"/>
      <c r="H1186" s="28"/>
      <c r="I1186" s="5" t="s">
        <v>19</v>
      </c>
      <c r="J1186" s="9">
        <v>105</v>
      </c>
      <c r="K1186" s="7">
        <v>78</v>
      </c>
      <c r="L1186" s="7">
        <v>90</v>
      </c>
      <c r="M1186" s="9">
        <v>113</v>
      </c>
      <c r="N1186" s="9">
        <v>115</v>
      </c>
      <c r="O1186" s="6">
        <v>64</v>
      </c>
    </row>
    <row r="1187" spans="1:15" ht="15" thickBot="1" x14ac:dyDescent="0.4">
      <c r="A1187" t="str">
        <f t="shared" si="338"/>
        <v>FC226</v>
      </c>
      <c r="B1187" t="str">
        <f t="shared" si="336"/>
        <v>CPAC Northeast</v>
      </c>
      <c r="C1187" s="18"/>
      <c r="D1187" s="18"/>
      <c r="E1187" s="18"/>
      <c r="F1187" s="18"/>
      <c r="G1187" s="18"/>
      <c r="H1187" s="28"/>
      <c r="I1187" s="3" t="s">
        <v>20</v>
      </c>
      <c r="J1187" s="10">
        <v>24.2</v>
      </c>
      <c r="K1187" s="9">
        <v>30</v>
      </c>
      <c r="L1187" s="10">
        <v>18.3</v>
      </c>
      <c r="M1187" s="10">
        <v>21.4</v>
      </c>
      <c r="N1187" s="10">
        <v>23.5</v>
      </c>
      <c r="O1187" s="9">
        <v>32.6</v>
      </c>
    </row>
    <row r="1188" spans="1:15" ht="15" thickBot="1" x14ac:dyDescent="0.4">
      <c r="A1188" t="str">
        <f t="shared" si="339"/>
        <v>FC226</v>
      </c>
      <c r="B1188" t="str">
        <f t="shared" si="336"/>
        <v>CPAC Northeast</v>
      </c>
      <c r="C1188" s="18"/>
      <c r="D1188" s="18"/>
      <c r="E1188" s="18"/>
      <c r="F1188" s="18"/>
      <c r="G1188" s="18"/>
      <c r="H1188" s="28"/>
      <c r="I1188" s="5" t="s">
        <v>21</v>
      </c>
      <c r="J1188" s="10">
        <v>1.44</v>
      </c>
      <c r="K1188" s="10">
        <v>0.86</v>
      </c>
      <c r="L1188" s="10">
        <v>1.64</v>
      </c>
      <c r="M1188" s="10">
        <v>1.76</v>
      </c>
      <c r="N1188" s="10">
        <v>1.63</v>
      </c>
      <c r="O1188" s="9">
        <v>0.65</v>
      </c>
    </row>
    <row r="1189" spans="1:15" ht="15" thickBot="1" x14ac:dyDescent="0.4">
      <c r="A1189" t="str">
        <f t="shared" si="340"/>
        <v>FC226</v>
      </c>
      <c r="B1189" t="str">
        <f t="shared" si="336"/>
        <v>CPAC Northeast</v>
      </c>
      <c r="C1189" s="19"/>
      <c r="D1189" s="19"/>
      <c r="E1189" s="19"/>
      <c r="F1189" s="19"/>
      <c r="G1189" s="19"/>
      <c r="H1189" s="29"/>
      <c r="I1189" s="3" t="s">
        <v>22</v>
      </c>
      <c r="J1189" s="10" t="s">
        <v>24</v>
      </c>
      <c r="K1189" s="10" t="s">
        <v>24</v>
      </c>
      <c r="L1189" s="10" t="s">
        <v>24</v>
      </c>
      <c r="M1189" s="10" t="s">
        <v>24</v>
      </c>
      <c r="N1189" s="10" t="s">
        <v>24</v>
      </c>
      <c r="O1189" s="9" t="s">
        <v>25</v>
      </c>
    </row>
    <row r="1190" spans="1:15" ht="15" thickBot="1" x14ac:dyDescent="0.4">
      <c r="B1190" t="str">
        <f t="shared" si="336"/>
        <v>CPAC Northeast</v>
      </c>
      <c r="C1190" s="16"/>
      <c r="D1190" s="16"/>
      <c r="E1190" s="16"/>
      <c r="F1190" s="16" t="s">
        <v>282</v>
      </c>
      <c r="G1190" s="16" t="s">
        <v>283</v>
      </c>
      <c r="H1190" s="27" t="s">
        <v>34</v>
      </c>
      <c r="I1190" s="1"/>
      <c r="J1190" s="1"/>
      <c r="K1190" s="1"/>
      <c r="L1190" s="1"/>
      <c r="M1190" s="1"/>
      <c r="N1190" s="1"/>
      <c r="O1190" s="1"/>
    </row>
    <row r="1191" spans="1:15" ht="15" thickBot="1" x14ac:dyDescent="0.4">
      <c r="A1191" t="str">
        <f t="shared" si="335"/>
        <v>ZZP3</v>
      </c>
      <c r="B1191" t="str">
        <f t="shared" si="336"/>
        <v>CPAC Northeast</v>
      </c>
      <c r="C1191" s="18"/>
      <c r="D1191" s="18"/>
      <c r="E1191" s="18"/>
      <c r="F1191" s="18"/>
      <c r="G1191" s="18"/>
      <c r="H1191" s="28"/>
      <c r="I1191" s="3" t="s">
        <v>18</v>
      </c>
      <c r="J1191" s="4">
        <v>33</v>
      </c>
      <c r="K1191" s="4">
        <v>42</v>
      </c>
      <c r="L1191" s="4">
        <v>35</v>
      </c>
      <c r="M1191" s="4">
        <v>38</v>
      </c>
      <c r="N1191" s="4">
        <v>33</v>
      </c>
      <c r="O1191" s="4">
        <v>36</v>
      </c>
    </row>
    <row r="1192" spans="1:15" ht="15" thickBot="1" x14ac:dyDescent="0.4">
      <c r="A1192" t="str">
        <f t="shared" si="337"/>
        <v>ZZP3</v>
      </c>
      <c r="B1192" t="str">
        <f t="shared" si="336"/>
        <v>CPAC Northeast</v>
      </c>
      <c r="C1192" s="18"/>
      <c r="D1192" s="18"/>
      <c r="E1192" s="18"/>
      <c r="F1192" s="18"/>
      <c r="G1192" s="18"/>
      <c r="H1192" s="28"/>
      <c r="I1192" s="5" t="s">
        <v>19</v>
      </c>
      <c r="J1192" s="6">
        <v>65</v>
      </c>
      <c r="K1192" s="6">
        <v>65</v>
      </c>
      <c r="L1192" s="6">
        <v>56</v>
      </c>
      <c r="M1192" s="6">
        <v>63</v>
      </c>
      <c r="N1192" s="6">
        <v>64</v>
      </c>
      <c r="O1192" s="6">
        <v>60</v>
      </c>
    </row>
    <row r="1193" spans="1:15" ht="15" thickBot="1" x14ac:dyDescent="0.4">
      <c r="A1193" t="str">
        <f t="shared" si="338"/>
        <v>ZZP3</v>
      </c>
      <c r="B1193" t="str">
        <f t="shared" si="336"/>
        <v>CPAC Northeast</v>
      </c>
      <c r="C1193" s="18"/>
      <c r="D1193" s="18"/>
      <c r="E1193" s="18"/>
      <c r="F1193" s="18"/>
      <c r="G1193" s="18"/>
      <c r="H1193" s="28"/>
      <c r="I1193" s="3" t="s">
        <v>20</v>
      </c>
      <c r="J1193" s="10">
        <v>18.899999999999999</v>
      </c>
      <c r="K1193" s="10">
        <v>14.5</v>
      </c>
      <c r="L1193" s="10">
        <v>22</v>
      </c>
      <c r="M1193" s="10">
        <v>16.2</v>
      </c>
      <c r="N1193" s="10">
        <v>16.600000000000001</v>
      </c>
      <c r="O1193" s="10">
        <v>14.2</v>
      </c>
    </row>
    <row r="1194" spans="1:15" ht="15" thickBot="1" x14ac:dyDescent="0.4">
      <c r="A1194" t="str">
        <f t="shared" si="339"/>
        <v>ZZP3</v>
      </c>
      <c r="B1194" t="str">
        <f t="shared" si="336"/>
        <v>CPAC Northeast</v>
      </c>
      <c r="C1194" s="18"/>
      <c r="D1194" s="18"/>
      <c r="E1194" s="18"/>
      <c r="F1194" s="18"/>
      <c r="G1194" s="18"/>
      <c r="H1194" s="28"/>
      <c r="I1194" s="5" t="s">
        <v>21</v>
      </c>
      <c r="J1194" s="10">
        <v>1.1399999999999999</v>
      </c>
      <c r="K1194" s="10">
        <v>1.5</v>
      </c>
      <c r="L1194" s="10">
        <v>0.86</v>
      </c>
      <c r="M1194" s="10">
        <v>1.29</v>
      </c>
      <c r="N1194" s="10">
        <v>1.28</v>
      </c>
      <c r="O1194" s="10">
        <v>1.4</v>
      </c>
    </row>
    <row r="1195" spans="1:15" ht="15" thickBot="1" x14ac:dyDescent="0.4">
      <c r="A1195" t="str">
        <f t="shared" si="340"/>
        <v>ZZP3</v>
      </c>
      <c r="B1195" t="str">
        <f t="shared" si="336"/>
        <v>CPAC Northeast</v>
      </c>
      <c r="C1195" s="19"/>
      <c r="D1195" s="19"/>
      <c r="E1195" s="19"/>
      <c r="F1195" s="19"/>
      <c r="G1195" s="19"/>
      <c r="H1195" s="29"/>
      <c r="I1195" s="3" t="s">
        <v>22</v>
      </c>
      <c r="J1195" s="11"/>
      <c r="K1195" s="10" t="s">
        <v>24</v>
      </c>
      <c r="L1195" s="9" t="s">
        <v>25</v>
      </c>
      <c r="M1195" s="11"/>
      <c r="N1195" s="10" t="s">
        <v>24</v>
      </c>
      <c r="O1195" s="11"/>
    </row>
    <row r="1196" spans="1:15" ht="15" thickBot="1" x14ac:dyDescent="0.4">
      <c r="B1196" t="str">
        <f t="shared" si="336"/>
        <v>CPAC Northeast</v>
      </c>
      <c r="C1196" s="16"/>
      <c r="D1196" s="16"/>
      <c r="E1196" s="16"/>
      <c r="F1196" s="16"/>
      <c r="G1196" s="16" t="s">
        <v>284</v>
      </c>
      <c r="H1196" s="30" t="s">
        <v>39</v>
      </c>
      <c r="I1196" s="1"/>
      <c r="J1196" s="1"/>
      <c r="K1196" s="1"/>
      <c r="L1196" s="1"/>
      <c r="M1196" s="1"/>
      <c r="N1196" s="1"/>
      <c r="O1196" s="1"/>
    </row>
    <row r="1197" spans="1:15" ht="15" thickBot="1" x14ac:dyDescent="0.4">
      <c r="A1197" t="str">
        <f t="shared" si="335"/>
        <v>ZZP4</v>
      </c>
      <c r="B1197" t="str">
        <f t="shared" si="336"/>
        <v>CPAC Northeast</v>
      </c>
      <c r="C1197" s="18"/>
      <c r="D1197" s="18"/>
      <c r="E1197" s="18"/>
      <c r="F1197" s="18"/>
      <c r="G1197" s="18"/>
      <c r="H1197" s="31"/>
      <c r="I1197" s="3" t="s">
        <v>18</v>
      </c>
      <c r="J1197" s="4">
        <v>30</v>
      </c>
      <c r="K1197" s="4">
        <v>36</v>
      </c>
      <c r="L1197" s="4">
        <v>30</v>
      </c>
      <c r="M1197" s="4">
        <v>31</v>
      </c>
      <c r="N1197" s="4">
        <v>42</v>
      </c>
      <c r="O1197" s="4">
        <v>34</v>
      </c>
    </row>
    <row r="1198" spans="1:15" ht="15" thickBot="1" x14ac:dyDescent="0.4">
      <c r="A1198" t="str">
        <f t="shared" si="337"/>
        <v>ZZP4</v>
      </c>
      <c r="B1198" t="str">
        <f t="shared" si="336"/>
        <v>CPAC Northeast</v>
      </c>
      <c r="C1198" s="18"/>
      <c r="D1198" s="18"/>
      <c r="E1198" s="18"/>
      <c r="F1198" s="18"/>
      <c r="G1198" s="18"/>
      <c r="H1198" s="31"/>
      <c r="I1198" s="5" t="s">
        <v>19</v>
      </c>
      <c r="J1198" s="6">
        <v>62</v>
      </c>
      <c r="K1198" s="6">
        <v>62</v>
      </c>
      <c r="L1198" s="6">
        <v>63</v>
      </c>
      <c r="M1198" s="6">
        <v>65</v>
      </c>
      <c r="N1198" s="6">
        <v>63</v>
      </c>
      <c r="O1198" s="6">
        <v>56</v>
      </c>
    </row>
    <row r="1199" spans="1:15" ht="15" thickBot="1" x14ac:dyDescent="0.4">
      <c r="A1199" t="str">
        <f t="shared" si="338"/>
        <v>ZZP4</v>
      </c>
      <c r="B1199" t="str">
        <f t="shared" si="336"/>
        <v>CPAC Northeast</v>
      </c>
      <c r="C1199" s="18"/>
      <c r="D1199" s="18"/>
      <c r="E1199" s="18"/>
      <c r="F1199" s="18"/>
      <c r="G1199" s="18"/>
      <c r="H1199" s="31"/>
      <c r="I1199" s="3" t="s">
        <v>20</v>
      </c>
      <c r="J1199" s="10">
        <v>15.9</v>
      </c>
      <c r="K1199" s="10">
        <v>15.5</v>
      </c>
      <c r="L1199" s="10">
        <v>21.1</v>
      </c>
      <c r="M1199" s="10">
        <v>16.2</v>
      </c>
      <c r="N1199" s="10">
        <v>18.899999999999999</v>
      </c>
      <c r="O1199" s="10">
        <v>16</v>
      </c>
    </row>
    <row r="1200" spans="1:15" ht="15" thickBot="1" x14ac:dyDescent="0.4">
      <c r="A1200" t="str">
        <f t="shared" si="339"/>
        <v>ZZP4</v>
      </c>
      <c r="B1200" t="str">
        <f t="shared" si="336"/>
        <v>CPAC Northeast</v>
      </c>
      <c r="C1200" s="18"/>
      <c r="D1200" s="18"/>
      <c r="E1200" s="18"/>
      <c r="F1200" s="18"/>
      <c r="G1200" s="18"/>
      <c r="H1200" s="31"/>
      <c r="I1200" s="5" t="s">
        <v>21</v>
      </c>
      <c r="J1200" s="10">
        <v>1.29</v>
      </c>
      <c r="K1200" s="10">
        <v>1.33</v>
      </c>
      <c r="L1200" s="10">
        <v>1</v>
      </c>
      <c r="M1200" s="10">
        <v>1.33</v>
      </c>
      <c r="N1200" s="10">
        <v>1.1200000000000001</v>
      </c>
      <c r="O1200" s="10">
        <v>1.1599999999999999</v>
      </c>
    </row>
    <row r="1201" spans="1:15" ht="15" thickBot="1" x14ac:dyDescent="0.4">
      <c r="A1201" t="str">
        <f t="shared" si="340"/>
        <v>ZZP4</v>
      </c>
      <c r="B1201" t="str">
        <f t="shared" si="336"/>
        <v>CPAC Northeast</v>
      </c>
      <c r="C1201" s="19"/>
      <c r="D1201" s="19"/>
      <c r="E1201" s="19"/>
      <c r="F1201" s="19"/>
      <c r="G1201" s="19"/>
      <c r="H1201" s="32"/>
      <c r="I1201" s="3" t="s">
        <v>22</v>
      </c>
      <c r="J1201" s="11"/>
      <c r="K1201" s="10" t="s">
        <v>24</v>
      </c>
      <c r="L1201" s="10" t="s">
        <v>24</v>
      </c>
      <c r="M1201" s="10" t="s">
        <v>24</v>
      </c>
      <c r="N1201" s="10" t="s">
        <v>24</v>
      </c>
      <c r="O1201" s="10" t="s">
        <v>24</v>
      </c>
    </row>
    <row r="1202" spans="1:15" ht="15" thickBot="1" x14ac:dyDescent="0.4">
      <c r="B1202" t="str">
        <f t="shared" si="336"/>
        <v>CPAC Northeast</v>
      </c>
      <c r="C1202" s="16"/>
      <c r="D1202" s="16"/>
      <c r="E1202" s="16"/>
      <c r="F1202" s="16"/>
      <c r="G1202" s="16" t="s">
        <v>285</v>
      </c>
      <c r="H1202" s="27" t="s">
        <v>34</v>
      </c>
      <c r="I1202" s="1"/>
      <c r="J1202" s="1"/>
      <c r="K1202" s="1"/>
      <c r="L1202" s="1"/>
      <c r="M1202" s="1"/>
      <c r="N1202" s="1"/>
      <c r="O1202" s="1"/>
    </row>
    <row r="1203" spans="1:15" ht="15" thickBot="1" x14ac:dyDescent="0.4">
      <c r="A1203" t="str">
        <f t="shared" si="335"/>
        <v>ZZP5</v>
      </c>
      <c r="B1203" t="str">
        <f t="shared" si="336"/>
        <v>CPAC Northeast</v>
      </c>
      <c r="C1203" s="18"/>
      <c r="D1203" s="18"/>
      <c r="E1203" s="18"/>
      <c r="F1203" s="18"/>
      <c r="G1203" s="18"/>
      <c r="H1203" s="28"/>
      <c r="I1203" s="3" t="s">
        <v>18</v>
      </c>
      <c r="J1203" s="4">
        <v>36</v>
      </c>
      <c r="K1203" s="4">
        <v>36</v>
      </c>
      <c r="L1203" s="4">
        <v>38</v>
      </c>
      <c r="M1203" s="4">
        <v>36</v>
      </c>
      <c r="N1203" s="4">
        <v>36</v>
      </c>
      <c r="O1203" s="4">
        <v>35</v>
      </c>
    </row>
    <row r="1204" spans="1:15" ht="15" thickBot="1" x14ac:dyDescent="0.4">
      <c r="A1204" t="str">
        <f t="shared" si="337"/>
        <v>ZZP5</v>
      </c>
      <c r="B1204" t="str">
        <f t="shared" si="336"/>
        <v>CPAC Northeast</v>
      </c>
      <c r="C1204" s="18"/>
      <c r="D1204" s="18"/>
      <c r="E1204" s="18"/>
      <c r="F1204" s="18"/>
      <c r="G1204" s="18"/>
      <c r="H1204" s="28"/>
      <c r="I1204" s="5" t="s">
        <v>19</v>
      </c>
      <c r="J1204" s="6">
        <v>64</v>
      </c>
      <c r="K1204" s="6">
        <v>61</v>
      </c>
      <c r="L1204" s="6">
        <v>62</v>
      </c>
      <c r="M1204" s="6">
        <v>64</v>
      </c>
      <c r="N1204" s="6">
        <v>61</v>
      </c>
      <c r="O1204" s="6">
        <v>66</v>
      </c>
    </row>
    <row r="1205" spans="1:15" ht="15" thickBot="1" x14ac:dyDescent="0.4">
      <c r="A1205" t="str">
        <f t="shared" si="338"/>
        <v>ZZP5</v>
      </c>
      <c r="B1205" t="str">
        <f t="shared" si="336"/>
        <v>CPAC Northeast</v>
      </c>
      <c r="C1205" s="18"/>
      <c r="D1205" s="18"/>
      <c r="E1205" s="18"/>
      <c r="F1205" s="18"/>
      <c r="G1205" s="18"/>
      <c r="H1205" s="28"/>
      <c r="I1205" s="3" t="s">
        <v>20</v>
      </c>
      <c r="J1205" s="10">
        <v>17.5</v>
      </c>
      <c r="K1205" s="10">
        <v>23.3</v>
      </c>
      <c r="L1205" s="10">
        <v>15.9</v>
      </c>
      <c r="M1205" s="10">
        <v>19.899999999999999</v>
      </c>
      <c r="N1205" s="10">
        <v>17.100000000000001</v>
      </c>
      <c r="O1205" s="10">
        <v>17.8</v>
      </c>
    </row>
    <row r="1206" spans="1:15" ht="15" thickBot="1" x14ac:dyDescent="0.4">
      <c r="A1206" t="str">
        <f t="shared" si="339"/>
        <v>ZZP5</v>
      </c>
      <c r="B1206" t="str">
        <f t="shared" si="336"/>
        <v>CPAC Northeast</v>
      </c>
      <c r="C1206" s="18"/>
      <c r="D1206" s="18"/>
      <c r="E1206" s="18"/>
      <c r="F1206" s="18"/>
      <c r="G1206" s="18"/>
      <c r="H1206" s="28"/>
      <c r="I1206" s="5" t="s">
        <v>21</v>
      </c>
      <c r="J1206" s="10">
        <v>1.22</v>
      </c>
      <c r="K1206" s="10">
        <v>0.87</v>
      </c>
      <c r="L1206" s="10">
        <v>1.3</v>
      </c>
      <c r="M1206" s="10">
        <v>1.08</v>
      </c>
      <c r="N1206" s="10">
        <v>1.18</v>
      </c>
      <c r="O1206" s="10">
        <v>1.23</v>
      </c>
    </row>
    <row r="1207" spans="1:15" ht="15" thickBot="1" x14ac:dyDescent="0.4">
      <c r="A1207" t="str">
        <f t="shared" si="340"/>
        <v>ZZP5</v>
      </c>
      <c r="B1207" t="str">
        <f t="shared" si="336"/>
        <v>CPAC Northeast</v>
      </c>
      <c r="C1207" s="19"/>
      <c r="D1207" s="19"/>
      <c r="E1207" s="19"/>
      <c r="F1207" s="19"/>
      <c r="G1207" s="19"/>
      <c r="H1207" s="29"/>
      <c r="I1207" s="3" t="s">
        <v>22</v>
      </c>
      <c r="J1207" s="11"/>
      <c r="K1207" s="10" t="s">
        <v>24</v>
      </c>
      <c r="L1207" s="11"/>
      <c r="M1207" s="10" t="s">
        <v>24</v>
      </c>
      <c r="N1207" s="10" t="s">
        <v>24</v>
      </c>
      <c r="O1207" s="11"/>
    </row>
    <row r="1208" spans="1:15" ht="15" thickBot="1" x14ac:dyDescent="0.4">
      <c r="B1208" t="str">
        <f t="shared" si="336"/>
        <v>CPAC Northeast</v>
      </c>
      <c r="C1208" s="16"/>
      <c r="D1208" s="16"/>
      <c r="E1208" s="16"/>
      <c r="F1208" s="16"/>
      <c r="G1208" s="16" t="s">
        <v>286</v>
      </c>
      <c r="H1208" s="24" t="s">
        <v>30</v>
      </c>
      <c r="I1208" s="1"/>
      <c r="J1208" s="1"/>
      <c r="K1208" s="1"/>
      <c r="L1208" s="1"/>
      <c r="M1208" s="1"/>
      <c r="N1208" s="1"/>
      <c r="O1208" s="1"/>
    </row>
    <row r="1209" spans="1:15" ht="15" thickBot="1" x14ac:dyDescent="0.4">
      <c r="A1209" t="str">
        <f t="shared" si="335"/>
        <v>ZZS1</v>
      </c>
      <c r="B1209" t="str">
        <f t="shared" si="336"/>
        <v>CPAC Northeast</v>
      </c>
      <c r="C1209" s="18"/>
      <c r="D1209" s="18"/>
      <c r="E1209" s="18"/>
      <c r="F1209" s="18"/>
      <c r="G1209" s="18"/>
      <c r="H1209" s="25"/>
      <c r="I1209" s="3" t="s">
        <v>18</v>
      </c>
      <c r="J1209" s="11"/>
      <c r="K1209" s="11"/>
      <c r="L1209" s="11"/>
      <c r="M1209" s="11"/>
      <c r="N1209" s="11"/>
      <c r="O1209" s="11"/>
    </row>
    <row r="1210" spans="1:15" ht="15" thickBot="1" x14ac:dyDescent="0.4">
      <c r="A1210" t="str">
        <f t="shared" si="337"/>
        <v>ZZS1</v>
      </c>
      <c r="B1210" t="str">
        <f t="shared" si="336"/>
        <v>CPAC Northeast</v>
      </c>
      <c r="C1210" s="18"/>
      <c r="D1210" s="18"/>
      <c r="E1210" s="18"/>
      <c r="F1210" s="18"/>
      <c r="G1210" s="18"/>
      <c r="H1210" s="25"/>
      <c r="I1210" s="5" t="s">
        <v>19</v>
      </c>
      <c r="J1210" s="11"/>
      <c r="K1210" s="11"/>
      <c r="L1210" s="11"/>
      <c r="M1210" s="11"/>
      <c r="N1210" s="11"/>
      <c r="O1210" s="11"/>
    </row>
    <row r="1211" spans="1:15" ht="15" thickBot="1" x14ac:dyDescent="0.4">
      <c r="A1211" t="str">
        <f t="shared" si="338"/>
        <v>ZZS1</v>
      </c>
      <c r="B1211" t="str">
        <f t="shared" si="336"/>
        <v>CPAC Northeast</v>
      </c>
      <c r="C1211" s="18"/>
      <c r="D1211" s="18"/>
      <c r="E1211" s="18"/>
      <c r="F1211" s="18"/>
      <c r="G1211" s="18"/>
      <c r="H1211" s="25"/>
      <c r="I1211" s="3" t="s">
        <v>20</v>
      </c>
      <c r="J1211" s="11"/>
      <c r="K1211" s="11"/>
      <c r="L1211" s="11"/>
      <c r="M1211" s="11"/>
      <c r="N1211" s="11"/>
      <c r="O1211" s="11"/>
    </row>
    <row r="1212" spans="1:15" ht="15" thickBot="1" x14ac:dyDescent="0.4">
      <c r="A1212" t="str">
        <f t="shared" si="339"/>
        <v>ZZS1</v>
      </c>
      <c r="B1212" t="str">
        <f t="shared" si="336"/>
        <v>CPAC Northeast</v>
      </c>
      <c r="C1212" s="18"/>
      <c r="D1212" s="18"/>
      <c r="E1212" s="18"/>
      <c r="F1212" s="18"/>
      <c r="G1212" s="18"/>
      <c r="H1212" s="25"/>
      <c r="I1212" s="5" t="s">
        <v>21</v>
      </c>
      <c r="J1212" s="11"/>
      <c r="K1212" s="11"/>
      <c r="L1212" s="11"/>
      <c r="M1212" s="11"/>
      <c r="N1212" s="11"/>
      <c r="O1212" s="11"/>
    </row>
    <row r="1213" spans="1:15" ht="15" thickBot="1" x14ac:dyDescent="0.4">
      <c r="A1213" t="str">
        <f t="shared" si="340"/>
        <v>ZZS1</v>
      </c>
      <c r="B1213" t="str">
        <f t="shared" si="336"/>
        <v>CPAC Northeast</v>
      </c>
      <c r="C1213" s="19"/>
      <c r="D1213" s="19"/>
      <c r="E1213" s="19"/>
      <c r="F1213" s="19"/>
      <c r="G1213" s="19"/>
      <c r="H1213" s="26"/>
      <c r="I1213" s="3" t="s">
        <v>22</v>
      </c>
      <c r="J1213" s="11" t="s">
        <v>46</v>
      </c>
      <c r="K1213" s="11" t="s">
        <v>46</v>
      </c>
      <c r="L1213" s="11" t="s">
        <v>46</v>
      </c>
      <c r="M1213" s="11" t="s">
        <v>46</v>
      </c>
      <c r="N1213" s="11" t="s">
        <v>46</v>
      </c>
      <c r="O1213" s="11" t="s">
        <v>45</v>
      </c>
    </row>
    <row r="1214" spans="1:15" ht="15" thickBot="1" x14ac:dyDescent="0.4">
      <c r="B1214" t="str">
        <f t="shared" si="336"/>
        <v>CPAC Northeast</v>
      </c>
      <c r="C1214" s="16"/>
      <c r="D1214" s="16"/>
      <c r="E1214" s="16"/>
      <c r="F1214" s="16"/>
      <c r="G1214" s="16" t="s">
        <v>287</v>
      </c>
      <c r="H1214" s="27" t="s">
        <v>34</v>
      </c>
      <c r="I1214" s="1"/>
      <c r="J1214" s="1"/>
      <c r="K1214" s="1"/>
      <c r="L1214" s="1"/>
      <c r="M1214" s="1"/>
      <c r="N1214" s="1"/>
      <c r="O1214" s="1"/>
    </row>
    <row r="1215" spans="1:15" ht="15" thickBot="1" x14ac:dyDescent="0.4">
      <c r="A1215" t="str">
        <f t="shared" si="335"/>
        <v>ZZP8</v>
      </c>
      <c r="B1215" t="str">
        <f t="shared" si="336"/>
        <v>CPAC Northeast</v>
      </c>
      <c r="C1215" s="18"/>
      <c r="D1215" s="18"/>
      <c r="E1215" s="18"/>
      <c r="F1215" s="18"/>
      <c r="G1215" s="18"/>
      <c r="H1215" s="28"/>
      <c r="I1215" s="3" t="s">
        <v>18</v>
      </c>
      <c r="J1215" s="4">
        <v>33</v>
      </c>
      <c r="K1215" s="4">
        <v>42</v>
      </c>
      <c r="L1215" s="4">
        <v>33</v>
      </c>
      <c r="M1215" s="4">
        <v>33</v>
      </c>
      <c r="N1215" s="4">
        <v>35</v>
      </c>
      <c r="O1215" s="4">
        <v>36</v>
      </c>
    </row>
    <row r="1216" spans="1:15" ht="15" thickBot="1" x14ac:dyDescent="0.4">
      <c r="A1216" t="str">
        <f t="shared" si="337"/>
        <v>ZZP8</v>
      </c>
      <c r="B1216" t="str">
        <f t="shared" si="336"/>
        <v>CPAC Northeast</v>
      </c>
      <c r="C1216" s="18"/>
      <c r="D1216" s="18"/>
      <c r="E1216" s="18"/>
      <c r="F1216" s="18"/>
      <c r="G1216" s="18"/>
      <c r="H1216" s="28"/>
      <c r="I1216" s="5" t="s">
        <v>19</v>
      </c>
      <c r="J1216" s="6">
        <v>66</v>
      </c>
      <c r="K1216" s="6">
        <v>61</v>
      </c>
      <c r="L1216" s="6">
        <v>62</v>
      </c>
      <c r="M1216" s="6">
        <v>64</v>
      </c>
      <c r="N1216" s="6">
        <v>63</v>
      </c>
      <c r="O1216" s="7">
        <v>70</v>
      </c>
    </row>
    <row r="1217" spans="1:15" ht="15" thickBot="1" x14ac:dyDescent="0.4">
      <c r="A1217" t="str">
        <f t="shared" si="338"/>
        <v>ZZP8</v>
      </c>
      <c r="B1217" t="str">
        <f t="shared" si="336"/>
        <v>CPAC Northeast</v>
      </c>
      <c r="C1217" s="18"/>
      <c r="D1217" s="18"/>
      <c r="E1217" s="18"/>
      <c r="F1217" s="18"/>
      <c r="G1217" s="18"/>
      <c r="H1217" s="28"/>
      <c r="I1217" s="3" t="s">
        <v>20</v>
      </c>
      <c r="J1217" s="10">
        <v>20.100000000000001</v>
      </c>
      <c r="K1217" s="9">
        <v>33.299999999999997</v>
      </c>
      <c r="L1217" s="10">
        <v>17</v>
      </c>
      <c r="M1217" s="10">
        <v>15.8</v>
      </c>
      <c r="N1217" s="10">
        <v>18.5</v>
      </c>
      <c r="O1217" s="10">
        <v>26.1</v>
      </c>
    </row>
    <row r="1218" spans="1:15" ht="15" thickBot="1" x14ac:dyDescent="0.4">
      <c r="A1218" t="str">
        <f t="shared" si="339"/>
        <v>ZZP8</v>
      </c>
      <c r="B1218" t="str">
        <f t="shared" si="336"/>
        <v>CPAC Northeast</v>
      </c>
      <c r="C1218" s="18"/>
      <c r="D1218" s="18"/>
      <c r="E1218" s="18"/>
      <c r="F1218" s="18"/>
      <c r="G1218" s="18"/>
      <c r="H1218" s="28"/>
      <c r="I1218" s="5" t="s">
        <v>21</v>
      </c>
      <c r="J1218" s="10">
        <v>1.0900000000000001</v>
      </c>
      <c r="K1218" s="9">
        <v>0.61</v>
      </c>
      <c r="L1218" s="10">
        <v>1.22</v>
      </c>
      <c r="M1218" s="10">
        <v>1.35</v>
      </c>
      <c r="N1218" s="10">
        <v>1.1299999999999999</v>
      </c>
      <c r="O1218" s="10">
        <v>0.9</v>
      </c>
    </row>
    <row r="1219" spans="1:15" ht="15" thickBot="1" x14ac:dyDescent="0.4">
      <c r="A1219" t="str">
        <f t="shared" si="340"/>
        <v>ZZP8</v>
      </c>
      <c r="B1219" t="str">
        <f t="shared" si="336"/>
        <v>CPAC Northeast</v>
      </c>
      <c r="C1219" s="19"/>
      <c r="D1219" s="19"/>
      <c r="E1219" s="19"/>
      <c r="F1219" s="19"/>
      <c r="G1219" s="19"/>
      <c r="H1219" s="29"/>
      <c r="I1219" s="3" t="s">
        <v>22</v>
      </c>
      <c r="J1219" s="11"/>
      <c r="K1219" s="9" t="s">
        <v>25</v>
      </c>
      <c r="L1219" s="11"/>
      <c r="M1219" s="11"/>
      <c r="N1219" s="11"/>
      <c r="O1219" s="11"/>
    </row>
    <row r="1220" spans="1:15" ht="15" thickBot="1" x14ac:dyDescent="0.4">
      <c r="B1220" t="str">
        <f t="shared" si="336"/>
        <v>CPAC Northeast</v>
      </c>
      <c r="C1220" s="16"/>
      <c r="D1220" s="16"/>
      <c r="E1220" s="16"/>
      <c r="F1220" s="16"/>
      <c r="G1220" s="16" t="s">
        <v>288</v>
      </c>
      <c r="H1220" s="20" t="s">
        <v>17</v>
      </c>
      <c r="I1220" s="1"/>
      <c r="J1220" s="1"/>
      <c r="K1220" s="1"/>
      <c r="L1220" s="1"/>
      <c r="M1220" s="1"/>
      <c r="N1220" s="1"/>
      <c r="O1220" s="1"/>
    </row>
    <row r="1221" spans="1:15" ht="15" thickBot="1" x14ac:dyDescent="0.4">
      <c r="A1221" t="str">
        <f t="shared" si="335"/>
        <v>FC001</v>
      </c>
      <c r="B1221" t="str">
        <f t="shared" si="336"/>
        <v>CPAC Northeast</v>
      </c>
      <c r="C1221" s="18"/>
      <c r="D1221" s="18"/>
      <c r="E1221" s="18"/>
      <c r="F1221" s="18"/>
      <c r="G1221" s="18"/>
      <c r="H1221" s="22"/>
      <c r="I1221" s="3" t="s">
        <v>18</v>
      </c>
      <c r="J1221" s="8">
        <v>18</v>
      </c>
      <c r="K1221" s="8">
        <v>15</v>
      </c>
      <c r="L1221" s="4">
        <v>30</v>
      </c>
      <c r="M1221" s="4">
        <v>30</v>
      </c>
      <c r="N1221" s="8">
        <v>24</v>
      </c>
      <c r="O1221" s="8">
        <v>18</v>
      </c>
    </row>
    <row r="1222" spans="1:15" ht="15" thickBot="1" x14ac:dyDescent="0.4">
      <c r="A1222" t="str">
        <f t="shared" si="337"/>
        <v>FC001</v>
      </c>
      <c r="B1222" t="str">
        <f t="shared" si="336"/>
        <v>CPAC Northeast</v>
      </c>
      <c r="C1222" s="18"/>
      <c r="D1222" s="18"/>
      <c r="E1222" s="18"/>
      <c r="F1222" s="18"/>
      <c r="G1222" s="18"/>
      <c r="H1222" s="22"/>
      <c r="I1222" s="5" t="s">
        <v>19</v>
      </c>
      <c r="J1222" s="9">
        <v>109</v>
      </c>
      <c r="K1222" s="7">
        <v>90</v>
      </c>
      <c r="L1222" s="7">
        <v>87</v>
      </c>
      <c r="M1222" s="6">
        <v>53</v>
      </c>
      <c r="N1222" s="6">
        <v>59</v>
      </c>
      <c r="O1222" s="6">
        <v>61</v>
      </c>
    </row>
    <row r="1223" spans="1:15" ht="15" thickBot="1" x14ac:dyDescent="0.4">
      <c r="A1223" t="str">
        <f t="shared" si="338"/>
        <v>FC001</v>
      </c>
      <c r="B1223" t="str">
        <f t="shared" si="336"/>
        <v>CPAC Northeast</v>
      </c>
      <c r="C1223" s="18"/>
      <c r="D1223" s="18"/>
      <c r="E1223" s="18"/>
      <c r="F1223" s="18"/>
      <c r="G1223" s="18"/>
      <c r="H1223" s="22"/>
      <c r="I1223" s="3" t="s">
        <v>20</v>
      </c>
      <c r="J1223" s="10">
        <v>20.3</v>
      </c>
      <c r="K1223" s="10">
        <v>26.8</v>
      </c>
      <c r="L1223" s="7">
        <v>38.9</v>
      </c>
      <c r="M1223" s="10">
        <v>19.5</v>
      </c>
      <c r="N1223" s="8">
        <v>98.9</v>
      </c>
      <c r="O1223" s="10">
        <v>17.5</v>
      </c>
    </row>
    <row r="1224" spans="1:15" ht="15" thickBot="1" x14ac:dyDescent="0.4">
      <c r="A1224" t="str">
        <f t="shared" si="339"/>
        <v>FC001</v>
      </c>
      <c r="B1224" t="str">
        <f t="shared" si="336"/>
        <v>CPAC Northeast</v>
      </c>
      <c r="C1224" s="18"/>
      <c r="D1224" s="18"/>
      <c r="E1224" s="18"/>
      <c r="F1224" s="18"/>
      <c r="G1224" s="18"/>
      <c r="H1224" s="22"/>
      <c r="I1224" s="5" t="s">
        <v>21</v>
      </c>
      <c r="J1224" s="10">
        <v>1.79</v>
      </c>
      <c r="K1224" s="10">
        <v>1.1100000000000001</v>
      </c>
      <c r="L1224" s="9">
        <v>0.74</v>
      </c>
      <c r="M1224" s="10">
        <v>0.91</v>
      </c>
      <c r="N1224" s="8">
        <v>0.2</v>
      </c>
      <c r="O1224" s="10">
        <v>1.1499999999999999</v>
      </c>
    </row>
    <row r="1225" spans="1:15" ht="15" thickBot="1" x14ac:dyDescent="0.4">
      <c r="A1225" t="str">
        <f t="shared" si="340"/>
        <v>FC001</v>
      </c>
      <c r="B1225" t="str">
        <f t="shared" si="336"/>
        <v>CPAC Northeast</v>
      </c>
      <c r="C1225" s="19"/>
      <c r="D1225" s="19"/>
      <c r="E1225" s="19"/>
      <c r="F1225" s="19"/>
      <c r="G1225" s="19"/>
      <c r="H1225" s="23"/>
      <c r="I1225" s="3" t="s">
        <v>22</v>
      </c>
      <c r="J1225" s="10" t="s">
        <v>24</v>
      </c>
      <c r="K1225" s="10" t="s">
        <v>24</v>
      </c>
      <c r="L1225" s="10" t="s">
        <v>24</v>
      </c>
      <c r="M1225" s="11"/>
      <c r="N1225" s="8" t="s">
        <v>23</v>
      </c>
      <c r="O1225" s="10" t="s">
        <v>24</v>
      </c>
    </row>
    <row r="1226" spans="1:15" ht="15" thickBot="1" x14ac:dyDescent="0.4">
      <c r="B1226" t="str">
        <f t="shared" si="336"/>
        <v>CPAC Northeast</v>
      </c>
      <c r="C1226" s="16"/>
      <c r="D1226" s="16"/>
      <c r="E1226" s="16"/>
      <c r="F1226" s="16"/>
      <c r="G1226" s="16" t="s">
        <v>289</v>
      </c>
      <c r="H1226" s="30" t="s">
        <v>39</v>
      </c>
      <c r="I1226" s="1"/>
      <c r="J1226" s="1"/>
      <c r="K1226" s="1"/>
      <c r="L1226" s="1"/>
      <c r="M1226" s="1"/>
      <c r="N1226" s="1"/>
      <c r="O1226" s="1"/>
    </row>
    <row r="1227" spans="1:15" ht="15" thickBot="1" x14ac:dyDescent="0.4">
      <c r="A1227" t="str">
        <f t="shared" si="335"/>
        <v>FC243</v>
      </c>
      <c r="B1227" t="str">
        <f t="shared" si="336"/>
        <v>CPAC Northeast</v>
      </c>
      <c r="C1227" s="18"/>
      <c r="D1227" s="18"/>
      <c r="E1227" s="18"/>
      <c r="F1227" s="18"/>
      <c r="G1227" s="18"/>
      <c r="H1227" s="31"/>
      <c r="I1227" s="3" t="s">
        <v>18</v>
      </c>
      <c r="J1227" s="4">
        <v>30</v>
      </c>
      <c r="K1227" s="4">
        <v>30</v>
      </c>
      <c r="L1227" s="4">
        <v>30</v>
      </c>
      <c r="M1227" s="4">
        <v>36</v>
      </c>
      <c r="N1227" s="4">
        <v>30</v>
      </c>
      <c r="O1227" s="4">
        <v>36</v>
      </c>
    </row>
    <row r="1228" spans="1:15" ht="15" thickBot="1" x14ac:dyDescent="0.4">
      <c r="A1228" t="str">
        <f t="shared" si="337"/>
        <v>FC243</v>
      </c>
      <c r="B1228" t="str">
        <f t="shared" si="336"/>
        <v>CPAC Northeast</v>
      </c>
      <c r="C1228" s="18"/>
      <c r="D1228" s="18"/>
      <c r="E1228" s="18"/>
      <c r="F1228" s="18"/>
      <c r="G1228" s="18"/>
      <c r="H1228" s="31"/>
      <c r="I1228" s="5" t="s">
        <v>19</v>
      </c>
      <c r="J1228" s="9">
        <v>157</v>
      </c>
      <c r="K1228" s="9">
        <v>126</v>
      </c>
      <c r="L1228" s="9">
        <v>155</v>
      </c>
      <c r="M1228" s="9">
        <v>129</v>
      </c>
      <c r="N1228" s="9">
        <v>98</v>
      </c>
      <c r="O1228" s="7">
        <v>78</v>
      </c>
    </row>
    <row r="1229" spans="1:15" ht="15" thickBot="1" x14ac:dyDescent="0.4">
      <c r="A1229" t="str">
        <f t="shared" si="338"/>
        <v>FC243</v>
      </c>
      <c r="B1229" t="str">
        <f t="shared" si="336"/>
        <v>CPAC Northeast</v>
      </c>
      <c r="C1229" s="18"/>
      <c r="D1229" s="18"/>
      <c r="E1229" s="18"/>
      <c r="F1229" s="18"/>
      <c r="G1229" s="18"/>
      <c r="H1229" s="31"/>
      <c r="I1229" s="3" t="s">
        <v>20</v>
      </c>
      <c r="J1229" s="10">
        <v>28.2</v>
      </c>
      <c r="K1229" s="8">
        <v>54.6</v>
      </c>
      <c r="L1229" s="7">
        <v>35.299999999999997</v>
      </c>
      <c r="M1229" s="8">
        <v>50.8</v>
      </c>
      <c r="N1229" s="7">
        <v>41.6</v>
      </c>
      <c r="O1229" s="10">
        <v>17.5</v>
      </c>
    </row>
    <row r="1230" spans="1:15" ht="15" thickBot="1" x14ac:dyDescent="0.4">
      <c r="A1230" t="str">
        <f t="shared" si="339"/>
        <v>FC243</v>
      </c>
      <c r="B1230" t="str">
        <f t="shared" si="336"/>
        <v>CPAC Northeast</v>
      </c>
      <c r="C1230" s="18"/>
      <c r="D1230" s="18"/>
      <c r="E1230" s="18"/>
      <c r="F1230" s="18"/>
      <c r="G1230" s="18"/>
      <c r="H1230" s="31"/>
      <c r="I1230" s="5" t="s">
        <v>21</v>
      </c>
      <c r="J1230" s="10">
        <v>1.86</v>
      </c>
      <c r="K1230" s="9">
        <v>0.77</v>
      </c>
      <c r="L1230" s="10">
        <v>1.47</v>
      </c>
      <c r="M1230" s="10">
        <v>0.85</v>
      </c>
      <c r="N1230" s="10">
        <v>0.79</v>
      </c>
      <c r="O1230" s="10">
        <v>1.48</v>
      </c>
    </row>
    <row r="1231" spans="1:15" ht="15" thickBot="1" x14ac:dyDescent="0.4">
      <c r="A1231" t="str">
        <f t="shared" si="340"/>
        <v>FC243</v>
      </c>
      <c r="B1231" t="str">
        <f t="shared" ref="B1231:B1294" si="341">$D$974</f>
        <v>CPAC Northeast</v>
      </c>
      <c r="C1231" s="19"/>
      <c r="D1231" s="19"/>
      <c r="E1231" s="19"/>
      <c r="F1231" s="19"/>
      <c r="G1231" s="19"/>
      <c r="H1231" s="32"/>
      <c r="I1231" s="3" t="s">
        <v>22</v>
      </c>
      <c r="J1231" s="10" t="s">
        <v>24</v>
      </c>
      <c r="K1231" s="10" t="s">
        <v>24</v>
      </c>
      <c r="L1231" s="11"/>
      <c r="M1231" s="10" t="s">
        <v>24</v>
      </c>
      <c r="N1231" s="10" t="s">
        <v>24</v>
      </c>
      <c r="O1231" s="10" t="s">
        <v>24</v>
      </c>
    </row>
    <row r="1232" spans="1:15" ht="15" thickBot="1" x14ac:dyDescent="0.4">
      <c r="B1232" t="str">
        <f t="shared" si="341"/>
        <v>CPAC Northeast</v>
      </c>
      <c r="C1232" s="16"/>
      <c r="D1232" s="16"/>
      <c r="E1232" s="16"/>
      <c r="F1232" s="16" t="s">
        <v>290</v>
      </c>
      <c r="G1232" s="16" t="s">
        <v>291</v>
      </c>
      <c r="H1232" s="27" t="s">
        <v>34</v>
      </c>
      <c r="I1232" s="1"/>
      <c r="J1232" s="1"/>
      <c r="K1232" s="1"/>
      <c r="L1232" s="1"/>
      <c r="M1232" s="1"/>
      <c r="N1232" s="1"/>
      <c r="O1232" s="1"/>
    </row>
    <row r="1233" spans="1:15" ht="15" thickBot="1" x14ac:dyDescent="0.4">
      <c r="A1233" t="str">
        <f t="shared" ref="A1233:A1296" si="342">IF(LEFT(G1232,2)="FC",LEFT(G1232,5),LEFT(G1232,4))</f>
        <v>14H8</v>
      </c>
      <c r="B1233" t="str">
        <f t="shared" si="341"/>
        <v>CPAC Northeast</v>
      </c>
      <c r="C1233" s="18"/>
      <c r="D1233" s="18"/>
      <c r="E1233" s="18"/>
      <c r="F1233" s="18"/>
      <c r="G1233" s="18"/>
      <c r="H1233" s="28"/>
      <c r="I1233" s="3" t="s">
        <v>18</v>
      </c>
      <c r="J1233" s="4">
        <v>30</v>
      </c>
      <c r="K1233" s="4">
        <v>30</v>
      </c>
      <c r="L1233" s="4">
        <v>35</v>
      </c>
      <c r="M1233" s="4">
        <v>40</v>
      </c>
      <c r="N1233" s="4">
        <v>41</v>
      </c>
      <c r="O1233" s="4">
        <v>42</v>
      </c>
    </row>
    <row r="1234" spans="1:15" ht="15" thickBot="1" x14ac:dyDescent="0.4">
      <c r="A1234" t="str">
        <f t="shared" si="337"/>
        <v>14H8</v>
      </c>
      <c r="B1234" t="str">
        <f t="shared" si="341"/>
        <v>CPAC Northeast</v>
      </c>
      <c r="C1234" s="18"/>
      <c r="D1234" s="18"/>
      <c r="E1234" s="18"/>
      <c r="F1234" s="18"/>
      <c r="G1234" s="18"/>
      <c r="H1234" s="28"/>
      <c r="I1234" s="5" t="s">
        <v>19</v>
      </c>
      <c r="J1234" s="9">
        <v>100</v>
      </c>
      <c r="K1234" s="6">
        <v>63</v>
      </c>
      <c r="L1234" s="7">
        <v>73</v>
      </c>
      <c r="M1234" s="7">
        <v>74</v>
      </c>
      <c r="N1234" s="7">
        <v>76</v>
      </c>
      <c r="O1234" s="8">
        <v>44</v>
      </c>
    </row>
    <row r="1235" spans="1:15" ht="15" thickBot="1" x14ac:dyDescent="0.4">
      <c r="A1235" t="str">
        <f t="shared" si="338"/>
        <v>14H8</v>
      </c>
      <c r="B1235" t="str">
        <f t="shared" si="341"/>
        <v>CPAC Northeast</v>
      </c>
      <c r="C1235" s="18"/>
      <c r="D1235" s="18"/>
      <c r="E1235" s="18"/>
      <c r="F1235" s="18"/>
      <c r="G1235" s="18"/>
      <c r="H1235" s="28"/>
      <c r="I1235" s="3" t="s">
        <v>20</v>
      </c>
      <c r="J1235" s="9">
        <v>34.1</v>
      </c>
      <c r="K1235" s="10">
        <v>18.5</v>
      </c>
      <c r="L1235" s="9">
        <v>32.5</v>
      </c>
      <c r="M1235" s="10">
        <v>22.1</v>
      </c>
      <c r="N1235" s="7">
        <v>40.6</v>
      </c>
      <c r="O1235" s="10">
        <v>20</v>
      </c>
    </row>
    <row r="1236" spans="1:15" ht="15" thickBot="1" x14ac:dyDescent="0.4">
      <c r="A1236" t="str">
        <f t="shared" si="339"/>
        <v>14H8</v>
      </c>
      <c r="B1236" t="str">
        <f t="shared" si="341"/>
        <v>CPAC Northeast</v>
      </c>
      <c r="C1236" s="18"/>
      <c r="D1236" s="18"/>
      <c r="E1236" s="18"/>
      <c r="F1236" s="18"/>
      <c r="G1236" s="18"/>
      <c r="H1236" s="28"/>
      <c r="I1236" s="5" t="s">
        <v>21</v>
      </c>
      <c r="J1236" s="10">
        <v>0.98</v>
      </c>
      <c r="K1236" s="10">
        <v>1.1399999999999999</v>
      </c>
      <c r="L1236" s="9">
        <v>0.75</v>
      </c>
      <c r="M1236" s="10">
        <v>1.1100000000000001</v>
      </c>
      <c r="N1236" s="9">
        <v>0.62</v>
      </c>
      <c r="O1236" s="9">
        <v>0.74</v>
      </c>
    </row>
    <row r="1237" spans="1:15" ht="15" thickBot="1" x14ac:dyDescent="0.4">
      <c r="A1237" t="str">
        <f t="shared" si="340"/>
        <v>14H8</v>
      </c>
      <c r="B1237" t="str">
        <f t="shared" si="341"/>
        <v>CPAC Northeast</v>
      </c>
      <c r="C1237" s="19"/>
      <c r="D1237" s="19"/>
      <c r="E1237" s="19"/>
      <c r="F1237" s="19"/>
      <c r="G1237" s="19"/>
      <c r="H1237" s="29"/>
      <c r="I1237" s="3" t="s">
        <v>22</v>
      </c>
      <c r="J1237" s="10" t="s">
        <v>24</v>
      </c>
      <c r="K1237" s="11"/>
      <c r="L1237" s="9" t="s">
        <v>25</v>
      </c>
      <c r="M1237" s="11"/>
      <c r="N1237" s="9" t="s">
        <v>25</v>
      </c>
      <c r="O1237" s="9" t="s">
        <v>25</v>
      </c>
    </row>
    <row r="1238" spans="1:15" ht="15" thickBot="1" x14ac:dyDescent="0.4">
      <c r="B1238" t="str">
        <f t="shared" si="341"/>
        <v>CPAC Northeast</v>
      </c>
      <c r="C1238" s="16"/>
      <c r="D1238" s="16"/>
      <c r="E1238" s="16"/>
      <c r="F1238" s="16"/>
      <c r="G1238" s="16" t="s">
        <v>292</v>
      </c>
      <c r="H1238" s="27" t="s">
        <v>34</v>
      </c>
      <c r="I1238" s="1"/>
      <c r="J1238" s="1"/>
      <c r="K1238" s="1"/>
      <c r="L1238" s="1"/>
      <c r="M1238" s="1"/>
      <c r="N1238" s="1"/>
      <c r="O1238" s="1"/>
    </row>
    <row r="1239" spans="1:15" ht="15" thickBot="1" x14ac:dyDescent="0.4">
      <c r="A1239" t="str">
        <f t="shared" si="342"/>
        <v>FC387</v>
      </c>
      <c r="B1239" t="str">
        <f t="shared" si="341"/>
        <v>CPAC Northeast</v>
      </c>
      <c r="C1239" s="18"/>
      <c r="D1239" s="18"/>
      <c r="E1239" s="18"/>
      <c r="F1239" s="18"/>
      <c r="G1239" s="18"/>
      <c r="H1239" s="28"/>
      <c r="I1239" s="3" t="s">
        <v>18</v>
      </c>
      <c r="J1239" s="4">
        <v>30</v>
      </c>
      <c r="K1239" s="4">
        <v>30</v>
      </c>
      <c r="L1239" s="4">
        <v>30</v>
      </c>
      <c r="M1239" s="4">
        <v>30</v>
      </c>
      <c r="N1239" s="4">
        <v>30</v>
      </c>
      <c r="O1239" s="4">
        <v>30</v>
      </c>
    </row>
    <row r="1240" spans="1:15" ht="15" thickBot="1" x14ac:dyDescent="0.4">
      <c r="A1240" t="str">
        <f t="shared" ref="A1240:A1300" si="343">IF(LEFT(G1238,2)="FC",LEFT(G1238,5),LEFT(G1238,4))</f>
        <v>FC387</v>
      </c>
      <c r="B1240" t="str">
        <f t="shared" si="341"/>
        <v>CPAC Northeast</v>
      </c>
      <c r="C1240" s="18"/>
      <c r="D1240" s="18"/>
      <c r="E1240" s="18"/>
      <c r="F1240" s="18"/>
      <c r="G1240" s="18"/>
      <c r="H1240" s="28"/>
      <c r="I1240" s="5" t="s">
        <v>19</v>
      </c>
      <c r="J1240" s="9">
        <v>124</v>
      </c>
      <c r="K1240" s="9">
        <v>100</v>
      </c>
      <c r="L1240" s="7">
        <v>70</v>
      </c>
      <c r="M1240" s="9">
        <v>106</v>
      </c>
      <c r="N1240" s="9">
        <v>92</v>
      </c>
      <c r="O1240" s="9">
        <v>98</v>
      </c>
    </row>
    <row r="1241" spans="1:15" ht="15" thickBot="1" x14ac:dyDescent="0.4">
      <c r="A1241" t="str">
        <f t="shared" ref="A1241:A1301" si="344">IF(LEFT(G1238,2)="FC",LEFT(G1238,5),LEFT(G1238,4))</f>
        <v>FC387</v>
      </c>
      <c r="B1241" t="str">
        <f t="shared" si="341"/>
        <v>CPAC Northeast</v>
      </c>
      <c r="C1241" s="18"/>
      <c r="D1241" s="18"/>
      <c r="E1241" s="18"/>
      <c r="F1241" s="18"/>
      <c r="G1241" s="18"/>
      <c r="H1241" s="28"/>
      <c r="I1241" s="3" t="s">
        <v>20</v>
      </c>
      <c r="J1241" s="8">
        <v>57.7</v>
      </c>
      <c r="K1241" s="10">
        <v>28.4</v>
      </c>
      <c r="L1241" s="10">
        <v>18.7</v>
      </c>
      <c r="M1241" s="7">
        <v>39.700000000000003</v>
      </c>
      <c r="N1241" s="10">
        <v>25.8</v>
      </c>
      <c r="O1241" s="10">
        <v>15.4</v>
      </c>
    </row>
    <row r="1242" spans="1:15" ht="15" thickBot="1" x14ac:dyDescent="0.4">
      <c r="A1242" t="str">
        <f t="shared" ref="A1242:A1302" si="345">IF(LEFT(G1238,2)="FC",LEFT(G1238,5),LEFT(G1238,4))</f>
        <v>FC387</v>
      </c>
      <c r="B1242" t="str">
        <f t="shared" si="341"/>
        <v>CPAC Northeast</v>
      </c>
      <c r="C1242" s="18"/>
      <c r="D1242" s="18"/>
      <c r="E1242" s="18"/>
      <c r="F1242" s="18"/>
      <c r="G1242" s="18"/>
      <c r="H1242" s="28"/>
      <c r="I1242" s="5" t="s">
        <v>21</v>
      </c>
      <c r="J1242" s="9">
        <v>0.72</v>
      </c>
      <c r="K1242" s="10">
        <v>1.17</v>
      </c>
      <c r="L1242" s="10">
        <v>1.24</v>
      </c>
      <c r="M1242" s="10">
        <v>0.89</v>
      </c>
      <c r="N1242" s="10">
        <v>1.18</v>
      </c>
      <c r="O1242" s="10">
        <v>2.13</v>
      </c>
    </row>
    <row r="1243" spans="1:15" ht="15" thickBot="1" x14ac:dyDescent="0.4">
      <c r="A1243" t="str">
        <f t="shared" ref="A1243:A1303" si="346">IF(LEFT(G1238,2)="FC",LEFT(G1238,5),LEFT(G1238,4))</f>
        <v>FC387</v>
      </c>
      <c r="B1243" t="str">
        <f t="shared" si="341"/>
        <v>CPAC Northeast</v>
      </c>
      <c r="C1243" s="19"/>
      <c r="D1243" s="19"/>
      <c r="E1243" s="19"/>
      <c r="F1243" s="19"/>
      <c r="G1243" s="19"/>
      <c r="H1243" s="29"/>
      <c r="I1243" s="3" t="s">
        <v>22</v>
      </c>
      <c r="J1243" s="11"/>
      <c r="K1243" s="11"/>
      <c r="L1243" s="11"/>
      <c r="M1243" s="11"/>
      <c r="N1243" s="11"/>
      <c r="O1243" s="11"/>
    </row>
    <row r="1244" spans="1:15" ht="15" thickBot="1" x14ac:dyDescent="0.4">
      <c r="B1244" t="str">
        <f t="shared" si="341"/>
        <v>CPAC Northeast</v>
      </c>
      <c r="C1244" s="16"/>
      <c r="D1244" s="16"/>
      <c r="E1244" s="16"/>
      <c r="F1244" s="16"/>
      <c r="G1244" s="16" t="s">
        <v>293</v>
      </c>
      <c r="H1244" s="27" t="s">
        <v>34</v>
      </c>
      <c r="I1244" s="1"/>
      <c r="J1244" s="1"/>
      <c r="K1244" s="1"/>
      <c r="L1244" s="1"/>
      <c r="M1244" s="1"/>
      <c r="N1244" s="1"/>
      <c r="O1244" s="1"/>
    </row>
    <row r="1245" spans="1:15" ht="15" thickBot="1" x14ac:dyDescent="0.4">
      <c r="A1245" t="str">
        <f t="shared" si="342"/>
        <v>FC324</v>
      </c>
      <c r="B1245" t="str">
        <f t="shared" si="341"/>
        <v>CPAC Northeast</v>
      </c>
      <c r="C1245" s="18"/>
      <c r="D1245" s="18"/>
      <c r="E1245" s="18"/>
      <c r="F1245" s="18"/>
      <c r="G1245" s="18"/>
      <c r="H1245" s="28"/>
      <c r="I1245" s="3" t="s">
        <v>18</v>
      </c>
      <c r="J1245" s="4">
        <v>36</v>
      </c>
      <c r="K1245" s="4">
        <v>30</v>
      </c>
      <c r="L1245" s="4">
        <v>30</v>
      </c>
      <c r="M1245" s="4">
        <v>42</v>
      </c>
      <c r="N1245" s="4">
        <v>30</v>
      </c>
      <c r="O1245" s="4">
        <v>30</v>
      </c>
    </row>
    <row r="1246" spans="1:15" ht="15" thickBot="1" x14ac:dyDescent="0.4">
      <c r="A1246" t="str">
        <f t="shared" si="343"/>
        <v>FC324</v>
      </c>
      <c r="B1246" t="str">
        <f t="shared" si="341"/>
        <v>CPAC Northeast</v>
      </c>
      <c r="C1246" s="18"/>
      <c r="D1246" s="18"/>
      <c r="E1246" s="18"/>
      <c r="F1246" s="18"/>
      <c r="G1246" s="18"/>
      <c r="H1246" s="28"/>
      <c r="I1246" s="5" t="s">
        <v>19</v>
      </c>
      <c r="J1246" s="6">
        <v>50</v>
      </c>
      <c r="K1246" s="8">
        <v>49</v>
      </c>
      <c r="L1246" s="8">
        <v>38</v>
      </c>
      <c r="M1246" s="7">
        <v>87</v>
      </c>
      <c r="N1246" s="8">
        <v>39</v>
      </c>
      <c r="O1246" s="7">
        <v>78</v>
      </c>
    </row>
    <row r="1247" spans="1:15" ht="15" thickBot="1" x14ac:dyDescent="0.4">
      <c r="A1247" t="str">
        <f t="shared" si="344"/>
        <v>FC324</v>
      </c>
      <c r="B1247" t="str">
        <f t="shared" si="341"/>
        <v>CPAC Northeast</v>
      </c>
      <c r="C1247" s="18"/>
      <c r="D1247" s="18"/>
      <c r="E1247" s="18"/>
      <c r="F1247" s="18"/>
      <c r="G1247" s="18"/>
      <c r="H1247" s="28"/>
      <c r="I1247" s="3" t="s">
        <v>20</v>
      </c>
      <c r="J1247" s="10">
        <v>19.2</v>
      </c>
      <c r="K1247" s="10">
        <v>25.7</v>
      </c>
      <c r="L1247" s="10">
        <v>16.899999999999999</v>
      </c>
      <c r="M1247" s="6">
        <v>46.7</v>
      </c>
      <c r="N1247" s="10">
        <v>14.5</v>
      </c>
      <c r="O1247" s="7">
        <v>38.299999999999997</v>
      </c>
    </row>
    <row r="1248" spans="1:15" ht="15" thickBot="1" x14ac:dyDescent="0.4">
      <c r="A1248" t="str">
        <f t="shared" si="345"/>
        <v>FC324</v>
      </c>
      <c r="B1248" t="str">
        <f t="shared" si="341"/>
        <v>CPAC Northeast</v>
      </c>
      <c r="C1248" s="18"/>
      <c r="D1248" s="18"/>
      <c r="E1248" s="18"/>
      <c r="F1248" s="18"/>
      <c r="G1248" s="18"/>
      <c r="H1248" s="28"/>
      <c r="I1248" s="5" t="s">
        <v>21</v>
      </c>
      <c r="J1248" s="10">
        <v>0.86</v>
      </c>
      <c r="K1248" s="9">
        <v>0.63</v>
      </c>
      <c r="L1248" s="9">
        <v>0.75</v>
      </c>
      <c r="M1248" s="9">
        <v>0.62</v>
      </c>
      <c r="N1248" s="10">
        <v>0.91</v>
      </c>
      <c r="O1248" s="9">
        <v>0.68</v>
      </c>
    </row>
    <row r="1249" spans="1:15" ht="15" thickBot="1" x14ac:dyDescent="0.4">
      <c r="A1249" t="str">
        <f t="shared" si="346"/>
        <v>FC324</v>
      </c>
      <c r="B1249" t="str">
        <f t="shared" si="341"/>
        <v>CPAC Northeast</v>
      </c>
      <c r="C1249" s="19"/>
      <c r="D1249" s="19"/>
      <c r="E1249" s="19"/>
      <c r="F1249" s="19"/>
      <c r="G1249" s="19"/>
      <c r="H1249" s="29"/>
      <c r="I1249" s="3" t="s">
        <v>22</v>
      </c>
      <c r="J1249" s="9" t="s">
        <v>25</v>
      </c>
      <c r="K1249" s="9" t="s">
        <v>25</v>
      </c>
      <c r="L1249" s="9" t="s">
        <v>25</v>
      </c>
      <c r="M1249" s="9" t="s">
        <v>25</v>
      </c>
      <c r="N1249" s="9" t="s">
        <v>25</v>
      </c>
      <c r="O1249" s="11"/>
    </row>
    <row r="1250" spans="1:15" ht="15" thickBot="1" x14ac:dyDescent="0.4">
      <c r="B1250" t="str">
        <f t="shared" si="341"/>
        <v>CPAC Northeast</v>
      </c>
      <c r="C1250" s="16"/>
      <c r="D1250" s="16"/>
      <c r="E1250" s="16"/>
      <c r="F1250" s="16"/>
      <c r="G1250" s="16" t="s">
        <v>294</v>
      </c>
      <c r="H1250" s="27" t="s">
        <v>34</v>
      </c>
      <c r="I1250" s="1"/>
      <c r="J1250" s="1"/>
      <c r="K1250" s="1"/>
      <c r="L1250" s="1"/>
      <c r="M1250" s="1"/>
      <c r="N1250" s="1"/>
      <c r="O1250" s="1"/>
    </row>
    <row r="1251" spans="1:15" ht="15" thickBot="1" x14ac:dyDescent="0.4">
      <c r="A1251" t="str">
        <f t="shared" si="342"/>
        <v>FC335</v>
      </c>
      <c r="B1251" t="str">
        <f t="shared" si="341"/>
        <v>CPAC Northeast</v>
      </c>
      <c r="C1251" s="18"/>
      <c r="D1251" s="18"/>
      <c r="E1251" s="18"/>
      <c r="F1251" s="18"/>
      <c r="G1251" s="18"/>
      <c r="H1251" s="28"/>
      <c r="I1251" s="3" t="s">
        <v>18</v>
      </c>
      <c r="J1251" s="4">
        <v>36</v>
      </c>
      <c r="K1251" s="4">
        <v>36</v>
      </c>
      <c r="L1251" s="4">
        <v>36</v>
      </c>
      <c r="M1251" s="8">
        <v>20</v>
      </c>
      <c r="N1251" s="4">
        <v>36</v>
      </c>
      <c r="O1251" s="4">
        <v>36</v>
      </c>
    </row>
    <row r="1252" spans="1:15" ht="15" thickBot="1" x14ac:dyDescent="0.4">
      <c r="A1252" t="str">
        <f t="shared" si="343"/>
        <v>FC335</v>
      </c>
      <c r="B1252" t="str">
        <f t="shared" si="341"/>
        <v>CPAC Northeast</v>
      </c>
      <c r="C1252" s="18"/>
      <c r="D1252" s="18"/>
      <c r="E1252" s="18"/>
      <c r="F1252" s="18"/>
      <c r="G1252" s="18"/>
      <c r="H1252" s="28"/>
      <c r="I1252" s="5" t="s">
        <v>19</v>
      </c>
      <c r="J1252" s="6">
        <v>62</v>
      </c>
      <c r="K1252" s="6">
        <v>59</v>
      </c>
      <c r="L1252" s="7">
        <v>77</v>
      </c>
      <c r="M1252" s="9">
        <v>123</v>
      </c>
      <c r="N1252" s="7">
        <v>83</v>
      </c>
      <c r="O1252" s="6">
        <v>59</v>
      </c>
    </row>
    <row r="1253" spans="1:15" ht="15" thickBot="1" x14ac:dyDescent="0.4">
      <c r="A1253" t="str">
        <f t="shared" si="344"/>
        <v>FC335</v>
      </c>
      <c r="B1253" t="str">
        <f t="shared" si="341"/>
        <v>CPAC Northeast</v>
      </c>
      <c r="C1253" s="18"/>
      <c r="D1253" s="18"/>
      <c r="E1253" s="18"/>
      <c r="F1253" s="18"/>
      <c r="G1253" s="18"/>
      <c r="H1253" s="28"/>
      <c r="I1253" s="3" t="s">
        <v>20</v>
      </c>
      <c r="J1253" s="10">
        <v>20.399999999999999</v>
      </c>
      <c r="K1253" s="10">
        <v>21</v>
      </c>
      <c r="L1253" s="10">
        <v>18</v>
      </c>
      <c r="M1253" s="10">
        <v>15.1</v>
      </c>
      <c r="N1253" s="10">
        <v>27.6</v>
      </c>
      <c r="O1253" s="10">
        <v>23</v>
      </c>
    </row>
    <row r="1254" spans="1:15" ht="15" thickBot="1" x14ac:dyDescent="0.4">
      <c r="A1254" t="str">
        <f t="shared" si="345"/>
        <v>FC335</v>
      </c>
      <c r="B1254" t="str">
        <f t="shared" si="341"/>
        <v>CPAC Northeast</v>
      </c>
      <c r="C1254" s="18"/>
      <c r="D1254" s="18"/>
      <c r="E1254" s="18"/>
      <c r="F1254" s="18"/>
      <c r="G1254" s="18"/>
      <c r="H1254" s="28"/>
      <c r="I1254" s="5" t="s">
        <v>21</v>
      </c>
      <c r="J1254" s="10">
        <v>1.01</v>
      </c>
      <c r="K1254" s="10">
        <v>0.95</v>
      </c>
      <c r="L1254" s="10">
        <v>1.43</v>
      </c>
      <c r="M1254" s="10">
        <v>2.72</v>
      </c>
      <c r="N1254" s="10">
        <v>1</v>
      </c>
      <c r="O1254" s="10">
        <v>0.85</v>
      </c>
    </row>
    <row r="1255" spans="1:15" ht="15" thickBot="1" x14ac:dyDescent="0.4">
      <c r="A1255" t="str">
        <f t="shared" si="346"/>
        <v>FC335</v>
      </c>
      <c r="B1255" t="str">
        <f t="shared" si="341"/>
        <v>CPAC Northeast</v>
      </c>
      <c r="C1255" s="19"/>
      <c r="D1255" s="19"/>
      <c r="E1255" s="19"/>
      <c r="F1255" s="19"/>
      <c r="G1255" s="19"/>
      <c r="H1255" s="29"/>
      <c r="I1255" s="3" t="s">
        <v>22</v>
      </c>
      <c r="J1255" s="11"/>
      <c r="K1255" s="11"/>
      <c r="L1255" s="11"/>
      <c r="M1255" s="10" t="s">
        <v>24</v>
      </c>
      <c r="N1255" s="11"/>
      <c r="O1255" s="11"/>
    </row>
    <row r="1256" spans="1:15" ht="15" thickBot="1" x14ac:dyDescent="0.4">
      <c r="B1256" t="str">
        <f t="shared" si="341"/>
        <v>CPAC Northeast</v>
      </c>
      <c r="C1256" s="16"/>
      <c r="D1256" s="16"/>
      <c r="E1256" s="16"/>
      <c r="F1256" s="16"/>
      <c r="G1256" s="16" t="s">
        <v>295</v>
      </c>
      <c r="H1256" s="27" t="s">
        <v>34</v>
      </c>
      <c r="I1256" s="1"/>
      <c r="J1256" s="1"/>
      <c r="K1256" s="1"/>
      <c r="L1256" s="1"/>
      <c r="M1256" s="1"/>
      <c r="N1256" s="1"/>
      <c r="O1256" s="1"/>
    </row>
    <row r="1257" spans="1:15" ht="15" thickBot="1" x14ac:dyDescent="0.4">
      <c r="A1257" t="str">
        <f t="shared" si="342"/>
        <v>FC329</v>
      </c>
      <c r="B1257" t="str">
        <f t="shared" si="341"/>
        <v>CPAC Northeast</v>
      </c>
      <c r="C1257" s="18"/>
      <c r="D1257" s="18"/>
      <c r="E1257" s="18"/>
      <c r="F1257" s="18"/>
      <c r="G1257" s="18"/>
      <c r="H1257" s="28"/>
      <c r="I1257" s="3" t="s">
        <v>18</v>
      </c>
      <c r="J1257" s="4">
        <v>30</v>
      </c>
      <c r="K1257" s="4">
        <v>30</v>
      </c>
      <c r="L1257" s="4">
        <v>30</v>
      </c>
      <c r="M1257" s="4">
        <v>30</v>
      </c>
      <c r="N1257" s="4">
        <v>30</v>
      </c>
      <c r="O1257" s="4">
        <v>42</v>
      </c>
    </row>
    <row r="1258" spans="1:15" ht="15" thickBot="1" x14ac:dyDescent="0.4">
      <c r="A1258" t="str">
        <f t="shared" si="343"/>
        <v>FC329</v>
      </c>
      <c r="B1258" t="str">
        <f t="shared" si="341"/>
        <v>CPAC Northeast</v>
      </c>
      <c r="C1258" s="18"/>
      <c r="D1258" s="18"/>
      <c r="E1258" s="18"/>
      <c r="F1258" s="18"/>
      <c r="G1258" s="18"/>
      <c r="H1258" s="28"/>
      <c r="I1258" s="5" t="s">
        <v>19</v>
      </c>
      <c r="J1258" s="9">
        <v>139</v>
      </c>
      <c r="K1258" s="9">
        <v>119</v>
      </c>
      <c r="L1258" s="9">
        <v>112</v>
      </c>
      <c r="M1258" s="9">
        <v>108</v>
      </c>
      <c r="N1258" s="9">
        <v>115</v>
      </c>
      <c r="O1258" s="7">
        <v>85</v>
      </c>
    </row>
    <row r="1259" spans="1:15" ht="15" thickBot="1" x14ac:dyDescent="0.4">
      <c r="A1259" t="str">
        <f t="shared" si="344"/>
        <v>FC329</v>
      </c>
      <c r="B1259" t="str">
        <f t="shared" si="341"/>
        <v>CPAC Northeast</v>
      </c>
      <c r="C1259" s="18"/>
      <c r="D1259" s="18"/>
      <c r="E1259" s="18"/>
      <c r="F1259" s="18"/>
      <c r="G1259" s="18"/>
      <c r="H1259" s="28"/>
      <c r="I1259" s="3" t="s">
        <v>20</v>
      </c>
      <c r="J1259" s="10">
        <v>14.9</v>
      </c>
      <c r="K1259" s="9">
        <v>29.6</v>
      </c>
      <c r="L1259" s="7">
        <v>36.9</v>
      </c>
      <c r="M1259" s="10">
        <v>21</v>
      </c>
      <c r="N1259" s="10">
        <v>23.6</v>
      </c>
      <c r="O1259" s="10">
        <v>21.4</v>
      </c>
    </row>
    <row r="1260" spans="1:15" ht="15" thickBot="1" x14ac:dyDescent="0.4">
      <c r="A1260" t="str">
        <f t="shared" si="345"/>
        <v>FC329</v>
      </c>
      <c r="B1260" t="str">
        <f t="shared" si="341"/>
        <v>CPAC Northeast</v>
      </c>
      <c r="C1260" s="18"/>
      <c r="D1260" s="18"/>
      <c r="E1260" s="18"/>
      <c r="F1260" s="18"/>
      <c r="G1260" s="18"/>
      <c r="H1260" s="28"/>
      <c r="I1260" s="5" t="s">
        <v>21</v>
      </c>
      <c r="J1260" s="10">
        <v>3.1</v>
      </c>
      <c r="K1260" s="10">
        <v>1.34</v>
      </c>
      <c r="L1260" s="10">
        <v>1.01</v>
      </c>
      <c r="M1260" s="10">
        <v>1.71</v>
      </c>
      <c r="N1260" s="10">
        <v>1.62</v>
      </c>
      <c r="O1260" s="10">
        <v>1.31</v>
      </c>
    </row>
    <row r="1261" spans="1:15" ht="15" thickBot="1" x14ac:dyDescent="0.4">
      <c r="A1261" t="str">
        <f t="shared" si="346"/>
        <v>FC329</v>
      </c>
      <c r="B1261" t="str">
        <f t="shared" si="341"/>
        <v>CPAC Northeast</v>
      </c>
      <c r="C1261" s="19"/>
      <c r="D1261" s="19"/>
      <c r="E1261" s="19"/>
      <c r="F1261" s="19"/>
      <c r="G1261" s="19"/>
      <c r="H1261" s="29"/>
      <c r="I1261" s="3" t="s">
        <v>22</v>
      </c>
      <c r="J1261" s="10" t="s">
        <v>24</v>
      </c>
      <c r="K1261" s="11"/>
      <c r="L1261" s="10" t="s">
        <v>24</v>
      </c>
      <c r="M1261" s="10" t="s">
        <v>24</v>
      </c>
      <c r="N1261" s="10" t="s">
        <v>24</v>
      </c>
      <c r="O1261" s="11"/>
    </row>
    <row r="1262" spans="1:15" ht="15" thickBot="1" x14ac:dyDescent="0.4">
      <c r="B1262" t="str">
        <f t="shared" si="341"/>
        <v>CPAC Northeast</v>
      </c>
      <c r="C1262" s="16"/>
      <c r="D1262" s="16"/>
      <c r="E1262" s="16"/>
      <c r="F1262" s="16"/>
      <c r="G1262" s="16" t="s">
        <v>296</v>
      </c>
      <c r="H1262" s="27" t="s">
        <v>34</v>
      </c>
      <c r="I1262" s="1"/>
      <c r="J1262" s="1"/>
      <c r="K1262" s="1"/>
      <c r="L1262" s="1"/>
      <c r="M1262" s="1"/>
      <c r="N1262" s="1"/>
      <c r="O1262" s="1"/>
    </row>
    <row r="1263" spans="1:15" ht="15" thickBot="1" x14ac:dyDescent="0.4">
      <c r="A1263" t="str">
        <f t="shared" si="342"/>
        <v>FC313</v>
      </c>
      <c r="B1263" t="str">
        <f t="shared" si="341"/>
        <v>CPAC Northeast</v>
      </c>
      <c r="C1263" s="18"/>
      <c r="D1263" s="18"/>
      <c r="E1263" s="18"/>
      <c r="F1263" s="18"/>
      <c r="G1263" s="18"/>
      <c r="H1263" s="28"/>
      <c r="I1263" s="3" t="s">
        <v>18</v>
      </c>
      <c r="J1263" s="4">
        <v>30</v>
      </c>
      <c r="K1263" s="4">
        <v>33</v>
      </c>
      <c r="L1263" s="4">
        <v>30</v>
      </c>
      <c r="M1263" s="8">
        <v>18</v>
      </c>
      <c r="N1263" s="4">
        <v>33</v>
      </c>
      <c r="O1263" s="4">
        <v>30</v>
      </c>
    </row>
    <row r="1264" spans="1:15" ht="15" thickBot="1" x14ac:dyDescent="0.4">
      <c r="A1264" t="str">
        <f t="shared" si="343"/>
        <v>FC313</v>
      </c>
      <c r="B1264" t="str">
        <f t="shared" si="341"/>
        <v>CPAC Northeast</v>
      </c>
      <c r="C1264" s="18"/>
      <c r="D1264" s="18"/>
      <c r="E1264" s="18"/>
      <c r="F1264" s="18"/>
      <c r="G1264" s="18"/>
      <c r="H1264" s="28"/>
      <c r="I1264" s="5" t="s">
        <v>19</v>
      </c>
      <c r="J1264" s="6">
        <v>65</v>
      </c>
      <c r="K1264" s="9">
        <v>144</v>
      </c>
      <c r="L1264" s="9">
        <v>113</v>
      </c>
      <c r="M1264" s="6">
        <v>69</v>
      </c>
      <c r="N1264" s="7">
        <v>86</v>
      </c>
      <c r="O1264" s="6">
        <v>65</v>
      </c>
    </row>
    <row r="1265" spans="1:15" ht="15" thickBot="1" x14ac:dyDescent="0.4">
      <c r="A1265" t="str">
        <f t="shared" si="344"/>
        <v>FC313</v>
      </c>
      <c r="B1265" t="str">
        <f t="shared" si="341"/>
        <v>CPAC Northeast</v>
      </c>
      <c r="C1265" s="18"/>
      <c r="D1265" s="18"/>
      <c r="E1265" s="18"/>
      <c r="F1265" s="18"/>
      <c r="G1265" s="18"/>
      <c r="H1265" s="28"/>
      <c r="I1265" s="3" t="s">
        <v>20</v>
      </c>
      <c r="J1265" s="10">
        <v>22.1</v>
      </c>
      <c r="K1265" s="10">
        <v>19.899999999999999</v>
      </c>
      <c r="L1265" s="10">
        <v>24.9</v>
      </c>
      <c r="M1265" s="9">
        <v>34.5</v>
      </c>
      <c r="N1265" s="7">
        <v>40.5</v>
      </c>
      <c r="O1265" s="7">
        <v>38</v>
      </c>
    </row>
    <row r="1266" spans="1:15" ht="15" thickBot="1" x14ac:dyDescent="0.4">
      <c r="A1266" t="str">
        <f t="shared" si="345"/>
        <v>FC313</v>
      </c>
      <c r="B1266" t="str">
        <f t="shared" si="341"/>
        <v>CPAC Northeast</v>
      </c>
      <c r="C1266" s="18"/>
      <c r="D1266" s="18"/>
      <c r="E1266" s="18"/>
      <c r="F1266" s="18"/>
      <c r="G1266" s="18"/>
      <c r="H1266" s="28"/>
      <c r="I1266" s="5" t="s">
        <v>21</v>
      </c>
      <c r="J1266" s="10">
        <v>0.98</v>
      </c>
      <c r="K1266" s="10">
        <v>2.4</v>
      </c>
      <c r="L1266" s="10">
        <v>1.51</v>
      </c>
      <c r="M1266" s="9">
        <v>0.66</v>
      </c>
      <c r="N1266" s="9">
        <v>0.71</v>
      </c>
      <c r="O1266" s="9">
        <v>0.56999999999999995</v>
      </c>
    </row>
    <row r="1267" spans="1:15" ht="15" thickBot="1" x14ac:dyDescent="0.4">
      <c r="A1267" t="str">
        <f t="shared" si="346"/>
        <v>FC313</v>
      </c>
      <c r="B1267" t="str">
        <f t="shared" si="341"/>
        <v>CPAC Northeast</v>
      </c>
      <c r="C1267" s="19"/>
      <c r="D1267" s="19"/>
      <c r="E1267" s="19"/>
      <c r="F1267" s="19"/>
      <c r="G1267" s="19"/>
      <c r="H1267" s="29"/>
      <c r="I1267" s="3" t="s">
        <v>22</v>
      </c>
      <c r="J1267" s="11"/>
      <c r="K1267" s="11"/>
      <c r="L1267" s="11"/>
      <c r="M1267" s="9" t="s">
        <v>25</v>
      </c>
      <c r="N1267" s="9" t="s">
        <v>25</v>
      </c>
      <c r="O1267" s="9" t="s">
        <v>25</v>
      </c>
    </row>
    <row r="1268" spans="1:15" ht="15" thickBot="1" x14ac:dyDescent="0.4">
      <c r="B1268" t="str">
        <f t="shared" si="341"/>
        <v>CPAC Northeast</v>
      </c>
      <c r="C1268" s="16"/>
      <c r="D1268" s="16"/>
      <c r="E1268" s="16"/>
      <c r="F1268" s="16"/>
      <c r="G1268" s="16" t="s">
        <v>297</v>
      </c>
      <c r="H1268" s="20" t="s">
        <v>17</v>
      </c>
      <c r="I1268" s="1"/>
      <c r="J1268" s="1"/>
      <c r="K1268" s="1"/>
      <c r="L1268" s="1"/>
      <c r="M1268" s="1"/>
      <c r="N1268" s="1"/>
      <c r="O1268" s="1"/>
    </row>
    <row r="1269" spans="1:15" ht="15" thickBot="1" x14ac:dyDescent="0.4">
      <c r="A1269" t="str">
        <f t="shared" si="342"/>
        <v>FC292</v>
      </c>
      <c r="B1269" t="str">
        <f t="shared" si="341"/>
        <v>CPAC Northeast</v>
      </c>
      <c r="C1269" s="18"/>
      <c r="D1269" s="18"/>
      <c r="E1269" s="18"/>
      <c r="F1269" s="18"/>
      <c r="G1269" s="18"/>
      <c r="H1269" s="22"/>
      <c r="I1269" s="3" t="s">
        <v>18</v>
      </c>
      <c r="J1269" s="4">
        <v>36</v>
      </c>
      <c r="K1269" s="4">
        <v>36</v>
      </c>
      <c r="L1269" s="4">
        <v>36</v>
      </c>
      <c r="M1269" s="4">
        <v>36</v>
      </c>
      <c r="N1269" s="8">
        <v>21</v>
      </c>
      <c r="O1269" s="4">
        <v>39</v>
      </c>
    </row>
    <row r="1270" spans="1:15" ht="15" thickBot="1" x14ac:dyDescent="0.4">
      <c r="A1270" t="str">
        <f t="shared" si="343"/>
        <v>FC292</v>
      </c>
      <c r="B1270" t="str">
        <f t="shared" si="341"/>
        <v>CPAC Northeast</v>
      </c>
      <c r="C1270" s="18"/>
      <c r="D1270" s="18"/>
      <c r="E1270" s="18"/>
      <c r="F1270" s="18"/>
      <c r="G1270" s="18"/>
      <c r="H1270" s="22"/>
      <c r="I1270" s="5" t="s">
        <v>19</v>
      </c>
      <c r="J1270" s="9">
        <v>137</v>
      </c>
      <c r="K1270" s="9">
        <v>196</v>
      </c>
      <c r="L1270" s="9">
        <v>170</v>
      </c>
      <c r="M1270" s="9">
        <v>106</v>
      </c>
      <c r="N1270" s="7">
        <v>76</v>
      </c>
      <c r="O1270" s="9">
        <v>141</v>
      </c>
    </row>
    <row r="1271" spans="1:15" ht="15" thickBot="1" x14ac:dyDescent="0.4">
      <c r="A1271" t="str">
        <f t="shared" si="344"/>
        <v>FC292</v>
      </c>
      <c r="B1271" t="str">
        <f t="shared" si="341"/>
        <v>CPAC Northeast</v>
      </c>
      <c r="C1271" s="18"/>
      <c r="D1271" s="18"/>
      <c r="E1271" s="18"/>
      <c r="F1271" s="18"/>
      <c r="G1271" s="18"/>
      <c r="H1271" s="22"/>
      <c r="I1271" s="3" t="s">
        <v>20</v>
      </c>
      <c r="J1271" s="7">
        <v>35.799999999999997</v>
      </c>
      <c r="K1271" s="6">
        <v>43.5</v>
      </c>
      <c r="L1271" s="10">
        <v>19.899999999999999</v>
      </c>
      <c r="M1271" s="8">
        <v>52</v>
      </c>
      <c r="N1271" s="8">
        <v>67.8</v>
      </c>
      <c r="O1271" s="7">
        <v>41.2</v>
      </c>
    </row>
    <row r="1272" spans="1:15" ht="15" thickBot="1" x14ac:dyDescent="0.4">
      <c r="A1272" t="str">
        <f t="shared" si="345"/>
        <v>FC292</v>
      </c>
      <c r="B1272" t="str">
        <f t="shared" si="341"/>
        <v>CPAC Northeast</v>
      </c>
      <c r="C1272" s="18"/>
      <c r="D1272" s="18"/>
      <c r="E1272" s="18"/>
      <c r="F1272" s="18"/>
      <c r="G1272" s="18"/>
      <c r="H1272" s="22"/>
      <c r="I1272" s="5" t="s">
        <v>21</v>
      </c>
      <c r="J1272" s="10">
        <v>1.27</v>
      </c>
      <c r="K1272" s="10">
        <v>1.5</v>
      </c>
      <c r="L1272" s="10">
        <v>2.85</v>
      </c>
      <c r="M1272" s="9">
        <v>0.68</v>
      </c>
      <c r="N1272" s="8">
        <v>0.37</v>
      </c>
      <c r="O1272" s="10">
        <v>1.1399999999999999</v>
      </c>
    </row>
    <row r="1273" spans="1:15" ht="15" thickBot="1" x14ac:dyDescent="0.4">
      <c r="A1273" t="str">
        <f t="shared" si="346"/>
        <v>FC292</v>
      </c>
      <c r="B1273" t="str">
        <f t="shared" si="341"/>
        <v>CPAC Northeast</v>
      </c>
      <c r="C1273" s="19"/>
      <c r="D1273" s="19"/>
      <c r="E1273" s="19"/>
      <c r="F1273" s="19"/>
      <c r="G1273" s="19"/>
      <c r="H1273" s="23"/>
      <c r="I1273" s="3" t="s">
        <v>22</v>
      </c>
      <c r="J1273" s="11"/>
      <c r="K1273" s="11"/>
      <c r="L1273" s="11"/>
      <c r="M1273" s="11"/>
      <c r="N1273" s="8" t="s">
        <v>23</v>
      </c>
      <c r="O1273" s="11"/>
    </row>
    <row r="1274" spans="1:15" ht="15" thickBot="1" x14ac:dyDescent="0.4">
      <c r="B1274" t="str">
        <f t="shared" si="341"/>
        <v>CPAC Northeast</v>
      </c>
      <c r="C1274" s="16"/>
      <c r="D1274" s="16"/>
      <c r="E1274" s="16"/>
      <c r="F1274" s="16"/>
      <c r="G1274" s="16" t="s">
        <v>298</v>
      </c>
      <c r="H1274" s="27" t="s">
        <v>34</v>
      </c>
      <c r="I1274" s="1"/>
      <c r="J1274" s="1"/>
      <c r="K1274" s="1"/>
      <c r="L1274" s="1"/>
      <c r="M1274" s="1"/>
      <c r="N1274" s="1"/>
      <c r="O1274" s="1"/>
    </row>
    <row r="1275" spans="1:15" ht="15" thickBot="1" x14ac:dyDescent="0.4">
      <c r="A1275" t="str">
        <f t="shared" si="342"/>
        <v>FC350</v>
      </c>
      <c r="B1275" t="str">
        <f t="shared" si="341"/>
        <v>CPAC Northeast</v>
      </c>
      <c r="C1275" s="18"/>
      <c r="D1275" s="18"/>
      <c r="E1275" s="18"/>
      <c r="F1275" s="18"/>
      <c r="G1275" s="18"/>
      <c r="H1275" s="28"/>
      <c r="I1275" s="3" t="s">
        <v>18</v>
      </c>
      <c r="J1275" s="4">
        <v>36</v>
      </c>
      <c r="K1275" s="8">
        <v>18</v>
      </c>
      <c r="L1275" s="4">
        <v>39</v>
      </c>
      <c r="M1275" s="4">
        <v>30</v>
      </c>
      <c r="N1275" s="4">
        <v>30</v>
      </c>
      <c r="O1275" s="4">
        <v>30</v>
      </c>
    </row>
    <row r="1276" spans="1:15" ht="15" thickBot="1" x14ac:dyDescent="0.4">
      <c r="A1276" t="str">
        <f t="shared" si="343"/>
        <v>FC350</v>
      </c>
      <c r="B1276" t="str">
        <f t="shared" si="341"/>
        <v>CPAC Northeast</v>
      </c>
      <c r="C1276" s="18"/>
      <c r="D1276" s="18"/>
      <c r="E1276" s="18"/>
      <c r="F1276" s="18"/>
      <c r="G1276" s="18"/>
      <c r="H1276" s="28"/>
      <c r="I1276" s="5" t="s">
        <v>19</v>
      </c>
      <c r="J1276" s="9">
        <v>217</v>
      </c>
      <c r="K1276" s="9">
        <v>98</v>
      </c>
      <c r="L1276" s="9">
        <v>131</v>
      </c>
      <c r="M1276" s="9">
        <v>128</v>
      </c>
      <c r="N1276" s="9">
        <v>116</v>
      </c>
      <c r="O1276" s="9">
        <v>141</v>
      </c>
    </row>
    <row r="1277" spans="1:15" ht="15" thickBot="1" x14ac:dyDescent="0.4">
      <c r="A1277" t="str">
        <f t="shared" si="344"/>
        <v>FC350</v>
      </c>
      <c r="B1277" t="str">
        <f t="shared" si="341"/>
        <v>CPAC Northeast</v>
      </c>
      <c r="C1277" s="18"/>
      <c r="D1277" s="18"/>
      <c r="E1277" s="18"/>
      <c r="F1277" s="18"/>
      <c r="G1277" s="18"/>
      <c r="H1277" s="28"/>
      <c r="I1277" s="3" t="s">
        <v>20</v>
      </c>
      <c r="J1277" s="8">
        <v>55.2</v>
      </c>
      <c r="K1277" s="10">
        <v>25.9</v>
      </c>
      <c r="L1277" s="10">
        <v>26.3</v>
      </c>
      <c r="M1277" s="10">
        <v>14.4</v>
      </c>
      <c r="N1277" s="10">
        <v>14.5</v>
      </c>
      <c r="O1277" s="10">
        <v>23.6</v>
      </c>
    </row>
    <row r="1278" spans="1:15" ht="15" thickBot="1" x14ac:dyDescent="0.4">
      <c r="A1278" t="str">
        <f t="shared" si="345"/>
        <v>FC350</v>
      </c>
      <c r="B1278" t="str">
        <f t="shared" si="341"/>
        <v>CPAC Northeast</v>
      </c>
      <c r="C1278" s="18"/>
      <c r="D1278" s="18"/>
      <c r="E1278" s="18"/>
      <c r="F1278" s="18"/>
      <c r="G1278" s="18"/>
      <c r="H1278" s="28"/>
      <c r="I1278" s="5" t="s">
        <v>21</v>
      </c>
      <c r="J1278" s="10">
        <v>1.31</v>
      </c>
      <c r="K1278" s="10">
        <v>1.26</v>
      </c>
      <c r="L1278" s="10">
        <v>1.66</v>
      </c>
      <c r="M1278" s="10">
        <v>2.97</v>
      </c>
      <c r="N1278" s="10">
        <v>2.65</v>
      </c>
      <c r="O1278" s="10">
        <v>2</v>
      </c>
    </row>
    <row r="1279" spans="1:15" ht="15" thickBot="1" x14ac:dyDescent="0.4">
      <c r="A1279" t="str">
        <f t="shared" si="346"/>
        <v>FC350</v>
      </c>
      <c r="B1279" t="str">
        <f t="shared" si="341"/>
        <v>CPAC Northeast</v>
      </c>
      <c r="C1279" s="19"/>
      <c r="D1279" s="19"/>
      <c r="E1279" s="19"/>
      <c r="F1279" s="19"/>
      <c r="G1279" s="19"/>
      <c r="H1279" s="29"/>
      <c r="I1279" s="3" t="s">
        <v>22</v>
      </c>
      <c r="J1279" s="11"/>
      <c r="K1279" s="10" t="s">
        <v>24</v>
      </c>
      <c r="L1279" s="11"/>
      <c r="M1279" s="11"/>
      <c r="N1279" s="11"/>
      <c r="O1279" s="11"/>
    </row>
    <row r="1280" spans="1:15" ht="15" thickBot="1" x14ac:dyDescent="0.4">
      <c r="B1280" t="str">
        <f t="shared" si="341"/>
        <v>CPAC Northeast</v>
      </c>
      <c r="C1280" s="16"/>
      <c r="D1280" s="16"/>
      <c r="E1280" s="16"/>
      <c r="F1280" s="16"/>
      <c r="G1280" s="16" t="s">
        <v>299</v>
      </c>
      <c r="H1280" s="20" t="s">
        <v>17</v>
      </c>
      <c r="I1280" s="1"/>
      <c r="J1280" s="1"/>
      <c r="K1280" s="1"/>
      <c r="L1280" s="1"/>
      <c r="M1280" s="1"/>
      <c r="N1280" s="1"/>
      <c r="O1280" s="1"/>
    </row>
    <row r="1281" spans="1:15" ht="15" thickBot="1" x14ac:dyDescent="0.4">
      <c r="A1281" t="str">
        <f t="shared" si="342"/>
        <v>FC351</v>
      </c>
      <c r="B1281" t="str">
        <f t="shared" si="341"/>
        <v>CPAC Northeast</v>
      </c>
      <c r="C1281" s="18"/>
      <c r="D1281" s="18"/>
      <c r="E1281" s="18"/>
      <c r="F1281" s="18"/>
      <c r="G1281" s="18"/>
      <c r="H1281" s="22"/>
      <c r="I1281" s="3" t="s">
        <v>18</v>
      </c>
      <c r="J1281" s="4">
        <v>30</v>
      </c>
      <c r="K1281" s="8">
        <v>15</v>
      </c>
      <c r="L1281" s="4">
        <v>39</v>
      </c>
      <c r="M1281" s="4">
        <v>33</v>
      </c>
      <c r="N1281" s="8">
        <v>18</v>
      </c>
      <c r="O1281" s="8">
        <v>15</v>
      </c>
    </row>
    <row r="1282" spans="1:15" ht="15" thickBot="1" x14ac:dyDescent="0.4">
      <c r="A1282" t="str">
        <f t="shared" si="343"/>
        <v>FC351</v>
      </c>
      <c r="B1282" t="str">
        <f t="shared" si="341"/>
        <v>CPAC Northeast</v>
      </c>
      <c r="C1282" s="18"/>
      <c r="D1282" s="18"/>
      <c r="E1282" s="18"/>
      <c r="F1282" s="18"/>
      <c r="G1282" s="18"/>
      <c r="H1282" s="22"/>
      <c r="I1282" s="5" t="s">
        <v>19</v>
      </c>
      <c r="J1282" s="9">
        <v>111</v>
      </c>
      <c r="K1282" s="8">
        <v>37</v>
      </c>
      <c r="L1282" s="7">
        <v>76</v>
      </c>
      <c r="M1282" s="6">
        <v>63</v>
      </c>
      <c r="N1282" s="9">
        <v>144</v>
      </c>
      <c r="O1282" s="8">
        <v>36</v>
      </c>
    </row>
    <row r="1283" spans="1:15" ht="15" thickBot="1" x14ac:dyDescent="0.4">
      <c r="A1283" t="str">
        <f t="shared" si="344"/>
        <v>FC351</v>
      </c>
      <c r="B1283" t="str">
        <f t="shared" si="341"/>
        <v>CPAC Northeast</v>
      </c>
      <c r="C1283" s="18"/>
      <c r="D1283" s="18"/>
      <c r="E1283" s="18"/>
      <c r="F1283" s="18"/>
      <c r="G1283" s="18"/>
      <c r="H1283" s="22"/>
      <c r="I1283" s="3" t="s">
        <v>20</v>
      </c>
      <c r="J1283" s="7">
        <v>36.299999999999997</v>
      </c>
      <c r="K1283" s="10">
        <v>11.3</v>
      </c>
      <c r="L1283" s="7">
        <v>37.299999999999997</v>
      </c>
      <c r="M1283" s="10">
        <v>14.4</v>
      </c>
      <c r="N1283" s="10">
        <v>13.5</v>
      </c>
      <c r="O1283" s="10">
        <v>25.6</v>
      </c>
    </row>
    <row r="1284" spans="1:15" ht="15" thickBot="1" x14ac:dyDescent="0.4">
      <c r="A1284" t="str">
        <f t="shared" si="345"/>
        <v>FC351</v>
      </c>
      <c r="B1284" t="str">
        <f t="shared" si="341"/>
        <v>CPAC Northeast</v>
      </c>
      <c r="C1284" s="18"/>
      <c r="D1284" s="18"/>
      <c r="E1284" s="18"/>
      <c r="F1284" s="18"/>
      <c r="G1284" s="18"/>
      <c r="H1284" s="22"/>
      <c r="I1284" s="5" t="s">
        <v>21</v>
      </c>
      <c r="J1284" s="10">
        <v>1.01</v>
      </c>
      <c r="K1284" s="10">
        <v>1.1100000000000001</v>
      </c>
      <c r="L1284" s="9">
        <v>0.68</v>
      </c>
      <c r="M1284" s="10">
        <v>1.45</v>
      </c>
      <c r="N1284" s="10">
        <v>3.55</v>
      </c>
      <c r="O1284" s="8">
        <v>0.47</v>
      </c>
    </row>
    <row r="1285" spans="1:15" ht="15" thickBot="1" x14ac:dyDescent="0.4">
      <c r="A1285" t="str">
        <f t="shared" si="346"/>
        <v>FC351</v>
      </c>
      <c r="B1285" t="str">
        <f t="shared" si="341"/>
        <v>CPAC Northeast</v>
      </c>
      <c r="C1285" s="19"/>
      <c r="D1285" s="19"/>
      <c r="E1285" s="19"/>
      <c r="F1285" s="19"/>
      <c r="G1285" s="19"/>
      <c r="H1285" s="23"/>
      <c r="I1285" s="3" t="s">
        <v>22</v>
      </c>
      <c r="J1285" s="11"/>
      <c r="K1285" s="9" t="s">
        <v>25</v>
      </c>
      <c r="L1285" s="9" t="s">
        <v>25</v>
      </c>
      <c r="M1285" s="11"/>
      <c r="N1285" s="10" t="s">
        <v>24</v>
      </c>
      <c r="O1285" s="8" t="s">
        <v>23</v>
      </c>
    </row>
    <row r="1286" spans="1:15" ht="15" thickBot="1" x14ac:dyDescent="0.4">
      <c r="B1286" t="str">
        <f t="shared" si="341"/>
        <v>CPAC Northeast</v>
      </c>
      <c r="C1286" s="16"/>
      <c r="D1286" s="16"/>
      <c r="E1286" s="16"/>
      <c r="F1286" s="16" t="s">
        <v>300</v>
      </c>
      <c r="G1286" s="16" t="s">
        <v>301</v>
      </c>
      <c r="H1286" s="27" t="s">
        <v>34</v>
      </c>
      <c r="I1286" s="1"/>
      <c r="J1286" s="1"/>
      <c r="K1286" s="1"/>
      <c r="L1286" s="1"/>
      <c r="M1286" s="1"/>
      <c r="N1286" s="1"/>
      <c r="O1286" s="1"/>
    </row>
    <row r="1287" spans="1:15" ht="15" thickBot="1" x14ac:dyDescent="0.4">
      <c r="A1287" t="str">
        <f t="shared" si="342"/>
        <v>FC377</v>
      </c>
      <c r="B1287" t="str">
        <f t="shared" si="341"/>
        <v>CPAC Northeast</v>
      </c>
      <c r="C1287" s="18"/>
      <c r="D1287" s="18"/>
      <c r="E1287" s="18"/>
      <c r="F1287" s="18"/>
      <c r="G1287" s="18"/>
      <c r="H1287" s="28"/>
      <c r="I1287" s="3" t="s">
        <v>18</v>
      </c>
      <c r="J1287" s="8">
        <v>18</v>
      </c>
      <c r="K1287" s="8">
        <v>18</v>
      </c>
      <c r="L1287" s="8">
        <v>18</v>
      </c>
      <c r="M1287" s="8">
        <v>18</v>
      </c>
      <c r="N1287" s="8">
        <v>18</v>
      </c>
      <c r="O1287" s="8">
        <v>24</v>
      </c>
    </row>
    <row r="1288" spans="1:15" ht="15" thickBot="1" x14ac:dyDescent="0.4">
      <c r="A1288" t="str">
        <f t="shared" si="343"/>
        <v>FC377</v>
      </c>
      <c r="B1288" t="str">
        <f t="shared" si="341"/>
        <v>CPAC Northeast</v>
      </c>
      <c r="C1288" s="18"/>
      <c r="D1288" s="18"/>
      <c r="E1288" s="18"/>
      <c r="F1288" s="18"/>
      <c r="G1288" s="18"/>
      <c r="H1288" s="28"/>
      <c r="I1288" s="5" t="s">
        <v>19</v>
      </c>
      <c r="J1288" s="9">
        <v>105</v>
      </c>
      <c r="K1288" s="9">
        <v>163</v>
      </c>
      <c r="L1288" s="9">
        <v>92</v>
      </c>
      <c r="M1288" s="9">
        <v>132</v>
      </c>
      <c r="N1288" s="7">
        <v>74</v>
      </c>
      <c r="O1288" s="7">
        <v>80</v>
      </c>
    </row>
    <row r="1289" spans="1:15" ht="15" thickBot="1" x14ac:dyDescent="0.4">
      <c r="A1289" t="str">
        <f t="shared" si="344"/>
        <v>FC377</v>
      </c>
      <c r="B1289" t="str">
        <f t="shared" si="341"/>
        <v>CPAC Northeast</v>
      </c>
      <c r="C1289" s="18"/>
      <c r="D1289" s="18"/>
      <c r="E1289" s="18"/>
      <c r="F1289" s="18"/>
      <c r="G1289" s="18"/>
      <c r="H1289" s="28"/>
      <c r="I1289" s="3" t="s">
        <v>20</v>
      </c>
      <c r="J1289" s="10">
        <v>16.8</v>
      </c>
      <c r="K1289" s="10">
        <v>24.5</v>
      </c>
      <c r="L1289" s="6">
        <v>45.6</v>
      </c>
      <c r="M1289" s="9">
        <v>32.200000000000003</v>
      </c>
      <c r="N1289" s="10">
        <v>27</v>
      </c>
      <c r="O1289" s="7">
        <v>39.1</v>
      </c>
    </row>
    <row r="1290" spans="1:15" ht="15" thickBot="1" x14ac:dyDescent="0.4">
      <c r="A1290" t="str">
        <f t="shared" si="345"/>
        <v>FC377</v>
      </c>
      <c r="B1290" t="str">
        <f t="shared" si="341"/>
        <v>CPAC Northeast</v>
      </c>
      <c r="C1290" s="18"/>
      <c r="D1290" s="18"/>
      <c r="E1290" s="18"/>
      <c r="F1290" s="18"/>
      <c r="G1290" s="18"/>
      <c r="H1290" s="28"/>
      <c r="I1290" s="5" t="s">
        <v>21</v>
      </c>
      <c r="J1290" s="10">
        <v>2.0699999999999998</v>
      </c>
      <c r="K1290" s="10">
        <v>2.2200000000000002</v>
      </c>
      <c r="L1290" s="9">
        <v>0.67</v>
      </c>
      <c r="M1290" s="10">
        <v>1.37</v>
      </c>
      <c r="N1290" s="10">
        <v>0.91</v>
      </c>
      <c r="O1290" s="9">
        <v>0.68</v>
      </c>
    </row>
    <row r="1291" spans="1:15" ht="15" thickBot="1" x14ac:dyDescent="0.4">
      <c r="A1291" t="str">
        <f t="shared" si="346"/>
        <v>FC377</v>
      </c>
      <c r="B1291" t="str">
        <f t="shared" si="341"/>
        <v>CPAC Northeast</v>
      </c>
      <c r="C1291" s="19"/>
      <c r="D1291" s="19"/>
      <c r="E1291" s="19"/>
      <c r="F1291" s="19"/>
      <c r="G1291" s="19"/>
      <c r="H1291" s="29"/>
      <c r="I1291" s="3" t="s">
        <v>22</v>
      </c>
      <c r="J1291" s="10" t="s">
        <v>24</v>
      </c>
      <c r="K1291" s="10" t="s">
        <v>24</v>
      </c>
      <c r="L1291" s="9" t="s">
        <v>25</v>
      </c>
      <c r="M1291" s="10" t="s">
        <v>24</v>
      </c>
      <c r="N1291" s="10" t="s">
        <v>24</v>
      </c>
      <c r="O1291" s="9" t="s">
        <v>25</v>
      </c>
    </row>
    <row r="1292" spans="1:15" ht="15" thickBot="1" x14ac:dyDescent="0.4">
      <c r="B1292" t="str">
        <f t="shared" si="341"/>
        <v>CPAC Northeast</v>
      </c>
      <c r="C1292" s="16"/>
      <c r="D1292" s="16"/>
      <c r="E1292" s="16"/>
      <c r="F1292" s="16"/>
      <c r="G1292" s="16" t="s">
        <v>302</v>
      </c>
      <c r="H1292" s="27" t="s">
        <v>34</v>
      </c>
      <c r="I1292" s="1"/>
      <c r="J1292" s="1"/>
      <c r="K1292" s="1"/>
      <c r="L1292" s="1"/>
      <c r="M1292" s="1"/>
      <c r="N1292" s="1"/>
      <c r="O1292" s="1"/>
    </row>
    <row r="1293" spans="1:15" ht="15" thickBot="1" x14ac:dyDescent="0.4">
      <c r="A1293" t="str">
        <f t="shared" si="342"/>
        <v>FC380</v>
      </c>
      <c r="B1293" t="str">
        <f t="shared" si="341"/>
        <v>CPAC Northeast</v>
      </c>
      <c r="C1293" s="18"/>
      <c r="D1293" s="18"/>
      <c r="E1293" s="18"/>
      <c r="F1293" s="18"/>
      <c r="G1293" s="18"/>
      <c r="H1293" s="28"/>
      <c r="I1293" s="3" t="s">
        <v>18</v>
      </c>
      <c r="J1293" s="4">
        <v>30</v>
      </c>
      <c r="K1293" s="4">
        <v>30</v>
      </c>
      <c r="L1293" s="4">
        <v>30</v>
      </c>
      <c r="M1293" s="4">
        <v>36</v>
      </c>
      <c r="N1293" s="4">
        <v>39</v>
      </c>
      <c r="O1293" s="4">
        <v>36</v>
      </c>
    </row>
    <row r="1294" spans="1:15" ht="15" thickBot="1" x14ac:dyDescent="0.4">
      <c r="A1294" t="str">
        <f t="shared" si="343"/>
        <v>FC380</v>
      </c>
      <c r="B1294" t="str">
        <f t="shared" si="341"/>
        <v>CPAC Northeast</v>
      </c>
      <c r="C1294" s="18"/>
      <c r="D1294" s="18"/>
      <c r="E1294" s="18"/>
      <c r="F1294" s="18"/>
      <c r="G1294" s="18"/>
      <c r="H1294" s="28"/>
      <c r="I1294" s="5" t="s">
        <v>19</v>
      </c>
      <c r="J1294" s="9">
        <v>210</v>
      </c>
      <c r="K1294" s="9">
        <v>200</v>
      </c>
      <c r="L1294" s="9">
        <v>104</v>
      </c>
      <c r="M1294" s="9">
        <v>121</v>
      </c>
      <c r="N1294" s="9">
        <v>94</v>
      </c>
      <c r="O1294" s="7">
        <v>70</v>
      </c>
    </row>
    <row r="1295" spans="1:15" ht="15" thickBot="1" x14ac:dyDescent="0.4">
      <c r="A1295" t="str">
        <f t="shared" si="344"/>
        <v>FC380</v>
      </c>
      <c r="B1295" t="str">
        <f t="shared" ref="B1295:B1358" si="347">$D$974</f>
        <v>CPAC Northeast</v>
      </c>
      <c r="C1295" s="18"/>
      <c r="D1295" s="18"/>
      <c r="E1295" s="18"/>
      <c r="F1295" s="18"/>
      <c r="G1295" s="18"/>
      <c r="H1295" s="28"/>
      <c r="I1295" s="3" t="s">
        <v>20</v>
      </c>
      <c r="J1295" s="10">
        <v>25.5</v>
      </c>
      <c r="K1295" s="10">
        <v>25.1</v>
      </c>
      <c r="L1295" s="10">
        <v>24.3</v>
      </c>
      <c r="M1295" s="7">
        <v>37.799999999999997</v>
      </c>
      <c r="N1295" s="10">
        <v>22.8</v>
      </c>
      <c r="O1295" s="10">
        <v>22.9</v>
      </c>
    </row>
    <row r="1296" spans="1:15" ht="15" thickBot="1" x14ac:dyDescent="0.4">
      <c r="A1296" t="str">
        <f t="shared" si="345"/>
        <v>FC380</v>
      </c>
      <c r="B1296" t="str">
        <f t="shared" si="347"/>
        <v>CPAC Northeast</v>
      </c>
      <c r="C1296" s="18"/>
      <c r="D1296" s="18"/>
      <c r="E1296" s="18"/>
      <c r="F1296" s="18"/>
      <c r="G1296" s="18"/>
      <c r="H1296" s="28"/>
      <c r="I1296" s="5" t="s">
        <v>21</v>
      </c>
      <c r="J1296" s="10">
        <v>2.74</v>
      </c>
      <c r="K1296" s="10">
        <v>2.66</v>
      </c>
      <c r="L1296" s="10">
        <v>1.43</v>
      </c>
      <c r="M1296" s="10">
        <v>1.07</v>
      </c>
      <c r="N1296" s="10">
        <v>1.38</v>
      </c>
      <c r="O1296" s="10">
        <v>1.03</v>
      </c>
    </row>
    <row r="1297" spans="1:15" ht="15" thickBot="1" x14ac:dyDescent="0.4">
      <c r="A1297" t="str">
        <f t="shared" si="346"/>
        <v>FC380</v>
      </c>
      <c r="B1297" t="str">
        <f t="shared" si="347"/>
        <v>CPAC Northeast</v>
      </c>
      <c r="C1297" s="19"/>
      <c r="D1297" s="19"/>
      <c r="E1297" s="19"/>
      <c r="F1297" s="19"/>
      <c r="G1297" s="19"/>
      <c r="H1297" s="29"/>
      <c r="I1297" s="3" t="s">
        <v>22</v>
      </c>
      <c r="J1297" s="10" t="s">
        <v>24</v>
      </c>
      <c r="K1297" s="10" t="s">
        <v>24</v>
      </c>
      <c r="L1297" s="10" t="s">
        <v>24</v>
      </c>
      <c r="M1297" s="11"/>
      <c r="N1297" s="11"/>
      <c r="O1297" s="11"/>
    </row>
    <row r="1298" spans="1:15" ht="15" thickBot="1" x14ac:dyDescent="0.4">
      <c r="B1298" t="str">
        <f t="shared" si="347"/>
        <v>CPAC Northeast</v>
      </c>
      <c r="C1298" s="16"/>
      <c r="D1298" s="16"/>
      <c r="E1298" s="16"/>
      <c r="F1298" s="16"/>
      <c r="G1298" s="16" t="s">
        <v>303</v>
      </c>
      <c r="H1298" s="27" t="s">
        <v>34</v>
      </c>
      <c r="I1298" s="1"/>
      <c r="J1298" s="1"/>
      <c r="K1298" s="1"/>
      <c r="L1298" s="1"/>
      <c r="M1298" s="1"/>
      <c r="N1298" s="1"/>
      <c r="O1298" s="1"/>
    </row>
    <row r="1299" spans="1:15" ht="15" thickBot="1" x14ac:dyDescent="0.4">
      <c r="A1299" t="str">
        <f t="shared" ref="A1299:A1362" si="348">IF(LEFT(G1298,2)="FC",LEFT(G1298,5),LEFT(G1298,4))</f>
        <v>FC232</v>
      </c>
      <c r="B1299" t="str">
        <f t="shared" si="347"/>
        <v>CPAC Northeast</v>
      </c>
      <c r="C1299" s="18"/>
      <c r="D1299" s="18"/>
      <c r="E1299" s="18"/>
      <c r="F1299" s="18"/>
      <c r="G1299" s="18"/>
      <c r="H1299" s="28"/>
      <c r="I1299" s="3" t="s">
        <v>18</v>
      </c>
      <c r="J1299" s="8">
        <v>18</v>
      </c>
      <c r="K1299" s="8">
        <v>27</v>
      </c>
      <c r="L1299" s="4">
        <v>60</v>
      </c>
      <c r="M1299" s="8">
        <v>18</v>
      </c>
      <c r="N1299" s="8">
        <v>18</v>
      </c>
      <c r="O1299" s="8">
        <v>18</v>
      </c>
    </row>
    <row r="1300" spans="1:15" ht="15" thickBot="1" x14ac:dyDescent="0.4">
      <c r="A1300" t="str">
        <f t="shared" si="343"/>
        <v>FC232</v>
      </c>
      <c r="B1300" t="str">
        <f t="shared" si="347"/>
        <v>CPAC Northeast</v>
      </c>
      <c r="C1300" s="18"/>
      <c r="D1300" s="18"/>
      <c r="E1300" s="18"/>
      <c r="F1300" s="18"/>
      <c r="G1300" s="18"/>
      <c r="H1300" s="28"/>
      <c r="I1300" s="5" t="s">
        <v>19</v>
      </c>
      <c r="J1300" s="9">
        <v>96</v>
      </c>
      <c r="K1300" s="6">
        <v>64</v>
      </c>
      <c r="L1300" s="8">
        <v>47</v>
      </c>
      <c r="M1300" s="7">
        <v>88</v>
      </c>
      <c r="N1300" s="7">
        <v>83</v>
      </c>
      <c r="O1300" s="8">
        <v>35</v>
      </c>
    </row>
    <row r="1301" spans="1:15" ht="15" thickBot="1" x14ac:dyDescent="0.4">
      <c r="A1301" t="str">
        <f t="shared" si="344"/>
        <v>FC232</v>
      </c>
      <c r="B1301" t="str">
        <f t="shared" si="347"/>
        <v>CPAC Northeast</v>
      </c>
      <c r="C1301" s="18"/>
      <c r="D1301" s="18"/>
      <c r="E1301" s="18"/>
      <c r="F1301" s="18"/>
      <c r="G1301" s="18"/>
      <c r="H1301" s="28"/>
      <c r="I1301" s="3" t="s">
        <v>20</v>
      </c>
      <c r="J1301" s="10">
        <v>20.2</v>
      </c>
      <c r="K1301" s="9">
        <v>33.6</v>
      </c>
      <c r="L1301" s="10">
        <v>23.4</v>
      </c>
      <c r="M1301" s="10">
        <v>18.2</v>
      </c>
      <c r="N1301" s="10">
        <v>22.8</v>
      </c>
      <c r="O1301" s="10">
        <v>14.3</v>
      </c>
    </row>
    <row r="1302" spans="1:15" ht="15" thickBot="1" x14ac:dyDescent="0.4">
      <c r="A1302" t="str">
        <f t="shared" si="345"/>
        <v>FC232</v>
      </c>
      <c r="B1302" t="str">
        <f t="shared" si="347"/>
        <v>CPAC Northeast</v>
      </c>
      <c r="C1302" s="18"/>
      <c r="D1302" s="18"/>
      <c r="E1302" s="18"/>
      <c r="F1302" s="18"/>
      <c r="G1302" s="18"/>
      <c r="H1302" s="28"/>
      <c r="I1302" s="5" t="s">
        <v>21</v>
      </c>
      <c r="J1302" s="10">
        <v>1.59</v>
      </c>
      <c r="K1302" s="9">
        <v>0.64</v>
      </c>
      <c r="L1302" s="9">
        <v>0.67</v>
      </c>
      <c r="M1302" s="10">
        <v>1.62</v>
      </c>
      <c r="N1302" s="10">
        <v>1.22</v>
      </c>
      <c r="O1302" s="10">
        <v>0.82</v>
      </c>
    </row>
    <row r="1303" spans="1:15" ht="15" thickBot="1" x14ac:dyDescent="0.4">
      <c r="A1303" t="str">
        <f t="shared" si="346"/>
        <v>FC232</v>
      </c>
      <c r="B1303" t="str">
        <f t="shared" si="347"/>
        <v>CPAC Northeast</v>
      </c>
      <c r="C1303" s="19"/>
      <c r="D1303" s="19"/>
      <c r="E1303" s="19"/>
      <c r="F1303" s="19"/>
      <c r="G1303" s="19"/>
      <c r="H1303" s="29"/>
      <c r="I1303" s="3" t="s">
        <v>22</v>
      </c>
      <c r="J1303" s="10" t="s">
        <v>24</v>
      </c>
      <c r="K1303" s="9" t="s">
        <v>25</v>
      </c>
      <c r="L1303" s="11"/>
      <c r="M1303" s="10" t="s">
        <v>24</v>
      </c>
      <c r="N1303" s="10" t="s">
        <v>24</v>
      </c>
      <c r="O1303" s="9" t="s">
        <v>25</v>
      </c>
    </row>
    <row r="1304" spans="1:15" ht="15" thickBot="1" x14ac:dyDescent="0.4">
      <c r="B1304" t="str">
        <f t="shared" si="347"/>
        <v>CPAC Northeast</v>
      </c>
      <c r="C1304" s="16"/>
      <c r="D1304" s="16"/>
      <c r="E1304" s="16"/>
      <c r="F1304" s="16"/>
      <c r="G1304" s="16" t="s">
        <v>304</v>
      </c>
      <c r="H1304" s="27" t="s">
        <v>34</v>
      </c>
      <c r="I1304" s="1"/>
      <c r="J1304" s="1"/>
      <c r="K1304" s="1"/>
      <c r="L1304" s="1"/>
      <c r="M1304" s="1"/>
      <c r="N1304" s="1"/>
      <c r="O1304" s="1"/>
    </row>
    <row r="1305" spans="1:15" ht="15" thickBot="1" x14ac:dyDescent="0.4">
      <c r="A1305" t="str">
        <f t="shared" si="348"/>
        <v>FC305</v>
      </c>
      <c r="B1305" t="str">
        <f t="shared" si="347"/>
        <v>CPAC Northeast</v>
      </c>
      <c r="C1305" s="18"/>
      <c r="D1305" s="18"/>
      <c r="E1305" s="18"/>
      <c r="F1305" s="18"/>
      <c r="G1305" s="18"/>
      <c r="H1305" s="28"/>
      <c r="I1305" s="3" t="s">
        <v>18</v>
      </c>
      <c r="J1305" s="4">
        <v>52</v>
      </c>
      <c r="K1305" s="4">
        <v>30</v>
      </c>
      <c r="L1305" s="4">
        <v>36</v>
      </c>
      <c r="M1305" s="4">
        <v>36</v>
      </c>
      <c r="N1305" s="8">
        <v>18</v>
      </c>
      <c r="O1305" s="4">
        <v>36</v>
      </c>
    </row>
    <row r="1306" spans="1:15" ht="15" thickBot="1" x14ac:dyDescent="0.4">
      <c r="A1306" t="str">
        <f t="shared" ref="A1306:A1366" si="349">IF(LEFT(G1304,2)="FC",LEFT(G1304,5),LEFT(G1304,4))</f>
        <v>FC305</v>
      </c>
      <c r="B1306" t="str">
        <f t="shared" si="347"/>
        <v>CPAC Northeast</v>
      </c>
      <c r="C1306" s="18"/>
      <c r="D1306" s="18"/>
      <c r="E1306" s="18"/>
      <c r="F1306" s="18"/>
      <c r="G1306" s="18"/>
      <c r="H1306" s="28"/>
      <c r="I1306" s="5" t="s">
        <v>19</v>
      </c>
      <c r="J1306" s="9">
        <v>135</v>
      </c>
      <c r="K1306" s="9">
        <v>140</v>
      </c>
      <c r="L1306" s="9">
        <v>198</v>
      </c>
      <c r="M1306" s="9">
        <v>120</v>
      </c>
      <c r="N1306" s="9">
        <v>143</v>
      </c>
      <c r="O1306" s="9">
        <v>106</v>
      </c>
    </row>
    <row r="1307" spans="1:15" ht="15" thickBot="1" x14ac:dyDescent="0.4">
      <c r="A1307" t="str">
        <f t="shared" ref="A1307:A1367" si="350">IF(LEFT(G1304,2)="FC",LEFT(G1304,5),LEFT(G1304,4))</f>
        <v>FC305</v>
      </c>
      <c r="B1307" t="str">
        <f t="shared" si="347"/>
        <v>CPAC Northeast</v>
      </c>
      <c r="C1307" s="18"/>
      <c r="D1307" s="18"/>
      <c r="E1307" s="18"/>
      <c r="F1307" s="18"/>
      <c r="G1307" s="18"/>
      <c r="H1307" s="28"/>
      <c r="I1307" s="3" t="s">
        <v>20</v>
      </c>
      <c r="J1307" s="8">
        <v>72.3</v>
      </c>
      <c r="K1307" s="8">
        <v>56.6</v>
      </c>
      <c r="L1307" s="8">
        <v>53.3</v>
      </c>
      <c r="M1307" s="8">
        <v>61.2</v>
      </c>
      <c r="N1307" s="10">
        <v>14.5</v>
      </c>
      <c r="O1307" s="9">
        <v>31.3</v>
      </c>
    </row>
    <row r="1308" spans="1:15" ht="15" thickBot="1" x14ac:dyDescent="0.4">
      <c r="A1308" t="str">
        <f t="shared" ref="A1308:A1368" si="351">IF(LEFT(G1304,2)="FC",LEFT(G1304,5),LEFT(G1304,4))</f>
        <v>FC305</v>
      </c>
      <c r="B1308" t="str">
        <f t="shared" si="347"/>
        <v>CPAC Northeast</v>
      </c>
      <c r="C1308" s="18"/>
      <c r="D1308" s="18"/>
      <c r="E1308" s="18"/>
      <c r="F1308" s="18"/>
      <c r="G1308" s="18"/>
      <c r="H1308" s="28"/>
      <c r="I1308" s="5" t="s">
        <v>21</v>
      </c>
      <c r="J1308" s="9">
        <v>0.62</v>
      </c>
      <c r="K1308" s="10">
        <v>0.83</v>
      </c>
      <c r="L1308" s="10">
        <v>1.24</v>
      </c>
      <c r="M1308" s="9">
        <v>0.66</v>
      </c>
      <c r="N1308" s="10">
        <v>3.28</v>
      </c>
      <c r="O1308" s="10">
        <v>1.1299999999999999</v>
      </c>
    </row>
    <row r="1309" spans="1:15" ht="15" thickBot="1" x14ac:dyDescent="0.4">
      <c r="A1309" t="str">
        <f t="shared" ref="A1309:A1369" si="352">IF(LEFT(G1304,2)="FC",LEFT(G1304,5),LEFT(G1304,4))</f>
        <v>FC305</v>
      </c>
      <c r="B1309" t="str">
        <f t="shared" si="347"/>
        <v>CPAC Northeast</v>
      </c>
      <c r="C1309" s="19"/>
      <c r="D1309" s="19"/>
      <c r="E1309" s="19"/>
      <c r="F1309" s="19"/>
      <c r="G1309" s="19"/>
      <c r="H1309" s="29"/>
      <c r="I1309" s="3" t="s">
        <v>22</v>
      </c>
      <c r="J1309" s="9" t="s">
        <v>25</v>
      </c>
      <c r="K1309" s="10" t="s">
        <v>24</v>
      </c>
      <c r="L1309" s="10" t="s">
        <v>24</v>
      </c>
      <c r="M1309" s="9" t="s">
        <v>25</v>
      </c>
      <c r="N1309" s="10" t="s">
        <v>24</v>
      </c>
      <c r="O1309" s="10" t="s">
        <v>24</v>
      </c>
    </row>
    <row r="1310" spans="1:15" ht="15" thickBot="1" x14ac:dyDescent="0.4">
      <c r="B1310" t="str">
        <f t="shared" si="347"/>
        <v>CPAC Northeast</v>
      </c>
      <c r="C1310" s="16"/>
      <c r="D1310" s="16"/>
      <c r="E1310" s="16"/>
      <c r="F1310" s="16"/>
      <c r="G1310" s="16" t="s">
        <v>305</v>
      </c>
      <c r="H1310" s="27" t="s">
        <v>34</v>
      </c>
      <c r="I1310" s="1"/>
      <c r="J1310" s="1"/>
      <c r="K1310" s="1"/>
      <c r="L1310" s="1"/>
      <c r="M1310" s="1"/>
      <c r="N1310" s="1"/>
      <c r="O1310" s="1"/>
    </row>
    <row r="1311" spans="1:15" ht="15" thickBot="1" x14ac:dyDescent="0.4">
      <c r="A1311" t="str">
        <f t="shared" si="348"/>
        <v>FC260</v>
      </c>
      <c r="B1311" t="str">
        <f t="shared" si="347"/>
        <v>CPAC Northeast</v>
      </c>
      <c r="C1311" s="18"/>
      <c r="D1311" s="18"/>
      <c r="E1311" s="18"/>
      <c r="F1311" s="18"/>
      <c r="G1311" s="18"/>
      <c r="H1311" s="28"/>
      <c r="I1311" s="3" t="s">
        <v>18</v>
      </c>
      <c r="J1311" s="4">
        <v>36</v>
      </c>
      <c r="K1311" s="4">
        <v>30</v>
      </c>
      <c r="L1311" s="8">
        <v>15</v>
      </c>
      <c r="M1311" s="4">
        <v>42</v>
      </c>
      <c r="N1311" s="4">
        <v>30</v>
      </c>
      <c r="O1311" s="4">
        <v>45</v>
      </c>
    </row>
    <row r="1312" spans="1:15" ht="15" thickBot="1" x14ac:dyDescent="0.4">
      <c r="A1312" t="str">
        <f t="shared" si="349"/>
        <v>FC260</v>
      </c>
      <c r="B1312" t="str">
        <f t="shared" si="347"/>
        <v>CPAC Northeast</v>
      </c>
      <c r="C1312" s="18"/>
      <c r="D1312" s="18"/>
      <c r="E1312" s="18"/>
      <c r="F1312" s="18"/>
      <c r="G1312" s="18"/>
      <c r="H1312" s="28"/>
      <c r="I1312" s="5" t="s">
        <v>19</v>
      </c>
      <c r="J1312" s="9">
        <v>101</v>
      </c>
      <c r="K1312" s="9">
        <v>95</v>
      </c>
      <c r="L1312" s="9">
        <v>141</v>
      </c>
      <c r="M1312" s="7">
        <v>75</v>
      </c>
      <c r="N1312" s="8">
        <v>34</v>
      </c>
      <c r="O1312" s="8">
        <v>35</v>
      </c>
    </row>
    <row r="1313" spans="1:15" ht="15" thickBot="1" x14ac:dyDescent="0.4">
      <c r="A1313" t="str">
        <f t="shared" si="350"/>
        <v>FC260</v>
      </c>
      <c r="B1313" t="str">
        <f t="shared" si="347"/>
        <v>CPAC Northeast</v>
      </c>
      <c r="C1313" s="18"/>
      <c r="D1313" s="18"/>
      <c r="E1313" s="18"/>
      <c r="F1313" s="18"/>
      <c r="G1313" s="18"/>
      <c r="H1313" s="28"/>
      <c r="I1313" s="3" t="s">
        <v>20</v>
      </c>
      <c r="J1313" s="7">
        <v>36.6</v>
      </c>
      <c r="K1313" s="7">
        <v>37.799999999999997</v>
      </c>
      <c r="L1313" s="8">
        <v>56.8</v>
      </c>
      <c r="M1313" s="9">
        <v>29</v>
      </c>
      <c r="N1313" s="10">
        <v>14.9</v>
      </c>
      <c r="O1313" s="10">
        <v>21.2</v>
      </c>
    </row>
    <row r="1314" spans="1:15" ht="15" thickBot="1" x14ac:dyDescent="0.4">
      <c r="A1314" t="str">
        <f t="shared" si="351"/>
        <v>FC260</v>
      </c>
      <c r="B1314" t="str">
        <f t="shared" si="347"/>
        <v>CPAC Northeast</v>
      </c>
      <c r="C1314" s="18"/>
      <c r="D1314" s="18"/>
      <c r="E1314" s="18"/>
      <c r="F1314" s="18"/>
      <c r="G1314" s="18"/>
      <c r="H1314" s="28"/>
      <c r="I1314" s="5" t="s">
        <v>21</v>
      </c>
      <c r="J1314" s="10">
        <v>0.92</v>
      </c>
      <c r="K1314" s="10">
        <v>0.84</v>
      </c>
      <c r="L1314" s="10">
        <v>0.83</v>
      </c>
      <c r="M1314" s="10">
        <v>0.86</v>
      </c>
      <c r="N1314" s="9">
        <v>0.77</v>
      </c>
      <c r="O1314" s="9">
        <v>0.56000000000000005</v>
      </c>
    </row>
    <row r="1315" spans="1:15" ht="15" thickBot="1" x14ac:dyDescent="0.4">
      <c r="A1315" t="str">
        <f t="shared" si="352"/>
        <v>FC260</v>
      </c>
      <c r="B1315" t="str">
        <f t="shared" si="347"/>
        <v>CPAC Northeast</v>
      </c>
      <c r="C1315" s="19"/>
      <c r="D1315" s="19"/>
      <c r="E1315" s="19"/>
      <c r="F1315" s="19"/>
      <c r="G1315" s="19"/>
      <c r="H1315" s="29"/>
      <c r="I1315" s="3" t="s">
        <v>22</v>
      </c>
      <c r="J1315" s="10" t="s">
        <v>24</v>
      </c>
      <c r="K1315" s="11"/>
      <c r="L1315" s="10" t="s">
        <v>24</v>
      </c>
      <c r="M1315" s="10" t="s">
        <v>24</v>
      </c>
      <c r="N1315" s="11"/>
      <c r="O1315" s="9" t="s">
        <v>25</v>
      </c>
    </row>
    <row r="1316" spans="1:15" ht="15" thickBot="1" x14ac:dyDescent="0.4">
      <c r="B1316" t="str">
        <f t="shared" si="347"/>
        <v>CPAC Northeast</v>
      </c>
      <c r="C1316" s="16"/>
      <c r="D1316" s="16"/>
      <c r="E1316" s="16"/>
      <c r="F1316" s="16"/>
      <c r="G1316" s="16" t="s">
        <v>306</v>
      </c>
      <c r="H1316" s="27" t="s">
        <v>34</v>
      </c>
      <c r="I1316" s="1"/>
      <c r="J1316" s="1"/>
      <c r="K1316" s="1"/>
      <c r="L1316" s="1"/>
      <c r="M1316" s="1"/>
      <c r="N1316" s="1"/>
      <c r="O1316" s="1"/>
    </row>
    <row r="1317" spans="1:15" ht="15" thickBot="1" x14ac:dyDescent="0.4">
      <c r="A1317" t="str">
        <f t="shared" si="348"/>
        <v>FC395</v>
      </c>
      <c r="B1317" t="str">
        <f t="shared" si="347"/>
        <v>CPAC Northeast</v>
      </c>
      <c r="C1317" s="18"/>
      <c r="D1317" s="18"/>
      <c r="E1317" s="18"/>
      <c r="F1317" s="18"/>
      <c r="G1317" s="18"/>
      <c r="H1317" s="28"/>
      <c r="I1317" s="3" t="s">
        <v>18</v>
      </c>
      <c r="J1317" s="4">
        <v>45</v>
      </c>
      <c r="K1317" s="4">
        <v>30</v>
      </c>
      <c r="L1317" s="4">
        <v>30</v>
      </c>
      <c r="M1317" s="4">
        <v>36</v>
      </c>
      <c r="N1317" s="4">
        <v>30</v>
      </c>
      <c r="O1317" s="4">
        <v>30</v>
      </c>
    </row>
    <row r="1318" spans="1:15" ht="15" thickBot="1" x14ac:dyDescent="0.4">
      <c r="A1318" t="str">
        <f t="shared" si="349"/>
        <v>FC395</v>
      </c>
      <c r="B1318" t="str">
        <f t="shared" si="347"/>
        <v>CPAC Northeast</v>
      </c>
      <c r="C1318" s="18"/>
      <c r="D1318" s="18"/>
      <c r="E1318" s="18"/>
      <c r="F1318" s="18"/>
      <c r="G1318" s="18"/>
      <c r="H1318" s="28"/>
      <c r="I1318" s="5" t="s">
        <v>19</v>
      </c>
      <c r="J1318" s="7">
        <v>74</v>
      </c>
      <c r="K1318" s="9">
        <v>117</v>
      </c>
      <c r="L1318" s="9">
        <v>109</v>
      </c>
      <c r="M1318" s="7">
        <v>89</v>
      </c>
      <c r="N1318" s="9">
        <v>114</v>
      </c>
      <c r="O1318" s="9">
        <v>97</v>
      </c>
    </row>
    <row r="1319" spans="1:15" ht="15" thickBot="1" x14ac:dyDescent="0.4">
      <c r="A1319" t="str">
        <f t="shared" si="350"/>
        <v>FC395</v>
      </c>
      <c r="B1319" t="str">
        <f t="shared" si="347"/>
        <v>CPAC Northeast</v>
      </c>
      <c r="C1319" s="18"/>
      <c r="D1319" s="18"/>
      <c r="E1319" s="18"/>
      <c r="F1319" s="18"/>
      <c r="G1319" s="18"/>
      <c r="H1319" s="28"/>
      <c r="I1319" s="3" t="s">
        <v>20</v>
      </c>
      <c r="J1319" s="7">
        <v>35.9</v>
      </c>
      <c r="K1319" s="10">
        <v>15.9</v>
      </c>
      <c r="L1319" s="10">
        <v>27.5</v>
      </c>
      <c r="M1319" s="7">
        <v>39.799999999999997</v>
      </c>
      <c r="N1319" s="10">
        <v>16</v>
      </c>
      <c r="O1319" s="9">
        <v>31.7</v>
      </c>
    </row>
    <row r="1320" spans="1:15" ht="15" thickBot="1" x14ac:dyDescent="0.4">
      <c r="A1320" t="str">
        <f t="shared" si="351"/>
        <v>FC395</v>
      </c>
      <c r="B1320" t="str">
        <f t="shared" si="347"/>
        <v>CPAC Northeast</v>
      </c>
      <c r="C1320" s="18"/>
      <c r="D1320" s="18"/>
      <c r="E1320" s="18"/>
      <c r="F1320" s="18"/>
      <c r="G1320" s="18"/>
      <c r="H1320" s="28"/>
      <c r="I1320" s="5" t="s">
        <v>21</v>
      </c>
      <c r="J1320" s="9">
        <v>0.68</v>
      </c>
      <c r="K1320" s="10">
        <v>2.4500000000000002</v>
      </c>
      <c r="L1320" s="10">
        <v>1.32</v>
      </c>
      <c r="M1320" s="9">
        <v>0.75</v>
      </c>
      <c r="N1320" s="10">
        <v>2.38</v>
      </c>
      <c r="O1320" s="10">
        <v>1.02</v>
      </c>
    </row>
    <row r="1321" spans="1:15" ht="15" thickBot="1" x14ac:dyDescent="0.4">
      <c r="A1321" t="str">
        <f t="shared" si="352"/>
        <v>FC395</v>
      </c>
      <c r="B1321" t="str">
        <f t="shared" si="347"/>
        <v>CPAC Northeast</v>
      </c>
      <c r="C1321" s="19"/>
      <c r="D1321" s="19"/>
      <c r="E1321" s="19"/>
      <c r="F1321" s="19"/>
      <c r="G1321" s="19"/>
      <c r="H1321" s="29"/>
      <c r="I1321" s="3" t="s">
        <v>22</v>
      </c>
      <c r="J1321" s="11"/>
      <c r="K1321" s="11"/>
      <c r="L1321" s="10" t="s">
        <v>24</v>
      </c>
      <c r="M1321" s="11"/>
      <c r="N1321" s="11"/>
      <c r="O1321" s="10" t="s">
        <v>24</v>
      </c>
    </row>
    <row r="1322" spans="1:15" ht="15" thickBot="1" x14ac:dyDescent="0.4">
      <c r="B1322" t="str">
        <f t="shared" si="347"/>
        <v>CPAC Northeast</v>
      </c>
      <c r="C1322" s="16"/>
      <c r="D1322" s="16"/>
      <c r="E1322" s="16"/>
      <c r="F1322" s="16"/>
      <c r="G1322" s="16" t="s">
        <v>307</v>
      </c>
      <c r="H1322" s="20" t="s">
        <v>17</v>
      </c>
      <c r="I1322" s="1"/>
      <c r="J1322" s="1"/>
      <c r="K1322" s="1"/>
      <c r="L1322" s="1"/>
      <c r="M1322" s="1"/>
      <c r="N1322" s="1"/>
      <c r="O1322" s="1"/>
    </row>
    <row r="1323" spans="1:15" ht="15" thickBot="1" x14ac:dyDescent="0.4">
      <c r="A1323" t="str">
        <f t="shared" si="348"/>
        <v>FC412</v>
      </c>
      <c r="B1323" t="str">
        <f t="shared" si="347"/>
        <v>CPAC Northeast</v>
      </c>
      <c r="C1323" s="18"/>
      <c r="D1323" s="18"/>
      <c r="E1323" s="18"/>
      <c r="F1323" s="18"/>
      <c r="G1323" s="18"/>
      <c r="H1323" s="22"/>
      <c r="I1323" s="3" t="s">
        <v>18</v>
      </c>
      <c r="J1323" s="4">
        <v>30</v>
      </c>
      <c r="K1323" s="4">
        <v>30</v>
      </c>
      <c r="L1323" s="4">
        <v>30</v>
      </c>
      <c r="M1323" s="4">
        <v>30</v>
      </c>
      <c r="N1323" s="4">
        <v>30</v>
      </c>
      <c r="O1323" s="11"/>
    </row>
    <row r="1324" spans="1:15" ht="15" thickBot="1" x14ac:dyDescent="0.4">
      <c r="A1324" t="str">
        <f t="shared" si="349"/>
        <v>FC412</v>
      </c>
      <c r="B1324" t="str">
        <f t="shared" si="347"/>
        <v>CPAC Northeast</v>
      </c>
      <c r="C1324" s="18"/>
      <c r="D1324" s="18"/>
      <c r="E1324" s="18"/>
      <c r="F1324" s="18"/>
      <c r="G1324" s="18"/>
      <c r="H1324" s="22"/>
      <c r="I1324" s="5" t="s">
        <v>19</v>
      </c>
      <c r="J1324" s="9">
        <v>122</v>
      </c>
      <c r="K1324" s="9">
        <v>101</v>
      </c>
      <c r="L1324" s="9">
        <v>161</v>
      </c>
      <c r="M1324" s="9">
        <v>160</v>
      </c>
      <c r="N1324" s="9">
        <v>121</v>
      </c>
      <c r="O1324" s="11"/>
    </row>
    <row r="1325" spans="1:15" ht="15" thickBot="1" x14ac:dyDescent="0.4">
      <c r="A1325" t="str">
        <f t="shared" si="350"/>
        <v>FC412</v>
      </c>
      <c r="B1325" t="str">
        <f t="shared" si="347"/>
        <v>CPAC Northeast</v>
      </c>
      <c r="C1325" s="18"/>
      <c r="D1325" s="18"/>
      <c r="E1325" s="18"/>
      <c r="F1325" s="18"/>
      <c r="G1325" s="18"/>
      <c r="H1325" s="22"/>
      <c r="I1325" s="3" t="s">
        <v>20</v>
      </c>
      <c r="J1325" s="10">
        <v>27.5</v>
      </c>
      <c r="K1325" s="7">
        <v>38</v>
      </c>
      <c r="L1325" s="6">
        <v>43.6</v>
      </c>
      <c r="M1325" s="7">
        <v>36.1</v>
      </c>
      <c r="N1325" s="10">
        <v>13</v>
      </c>
      <c r="O1325" s="11"/>
    </row>
    <row r="1326" spans="1:15" ht="15" thickBot="1" x14ac:dyDescent="0.4">
      <c r="A1326" t="str">
        <f t="shared" si="351"/>
        <v>FC412</v>
      </c>
      <c r="B1326" t="str">
        <f t="shared" si="347"/>
        <v>CPAC Northeast</v>
      </c>
      <c r="C1326" s="18"/>
      <c r="D1326" s="18"/>
      <c r="E1326" s="18"/>
      <c r="F1326" s="18"/>
      <c r="G1326" s="18"/>
      <c r="H1326" s="22"/>
      <c r="I1326" s="5" t="s">
        <v>21</v>
      </c>
      <c r="J1326" s="10">
        <v>1.48</v>
      </c>
      <c r="K1326" s="10">
        <v>0.89</v>
      </c>
      <c r="L1326" s="10">
        <v>1.23</v>
      </c>
      <c r="M1326" s="10">
        <v>1.48</v>
      </c>
      <c r="N1326" s="10">
        <v>3.11</v>
      </c>
      <c r="O1326" s="11"/>
    </row>
    <row r="1327" spans="1:15" ht="15" thickBot="1" x14ac:dyDescent="0.4">
      <c r="A1327" t="str">
        <f t="shared" si="352"/>
        <v>FC412</v>
      </c>
      <c r="B1327" t="str">
        <f t="shared" si="347"/>
        <v>CPAC Northeast</v>
      </c>
      <c r="C1327" s="19"/>
      <c r="D1327" s="19"/>
      <c r="E1327" s="19"/>
      <c r="F1327" s="19"/>
      <c r="G1327" s="19"/>
      <c r="H1327" s="23"/>
      <c r="I1327" s="3" t="s">
        <v>22</v>
      </c>
      <c r="J1327" s="11"/>
      <c r="K1327" s="11"/>
      <c r="L1327" s="11"/>
      <c r="M1327" s="11"/>
      <c r="N1327" s="11"/>
      <c r="O1327" s="11" t="s">
        <v>27</v>
      </c>
    </row>
    <row r="1328" spans="1:15" ht="15" thickBot="1" x14ac:dyDescent="0.4">
      <c r="B1328" t="str">
        <f t="shared" si="347"/>
        <v>CPAC Northeast</v>
      </c>
      <c r="C1328" s="16"/>
      <c r="D1328" s="16"/>
      <c r="E1328" s="16"/>
      <c r="F1328" s="16"/>
      <c r="G1328" s="16" t="s">
        <v>308</v>
      </c>
      <c r="H1328" s="27" t="s">
        <v>34</v>
      </c>
      <c r="I1328" s="1"/>
      <c r="J1328" s="1"/>
      <c r="K1328" s="1"/>
      <c r="L1328" s="1"/>
      <c r="M1328" s="1"/>
      <c r="N1328" s="1"/>
      <c r="O1328" s="1"/>
    </row>
    <row r="1329" spans="1:15" ht="15" thickBot="1" x14ac:dyDescent="0.4">
      <c r="A1329" t="str">
        <f t="shared" si="348"/>
        <v>ZZS4</v>
      </c>
      <c r="B1329" t="str">
        <f t="shared" si="347"/>
        <v>CPAC Northeast</v>
      </c>
      <c r="C1329" s="18"/>
      <c r="D1329" s="18"/>
      <c r="E1329" s="18"/>
      <c r="F1329" s="18"/>
      <c r="G1329" s="18"/>
      <c r="H1329" s="28"/>
      <c r="I1329" s="3" t="s">
        <v>18</v>
      </c>
      <c r="J1329" s="4">
        <v>30</v>
      </c>
      <c r="K1329" s="4">
        <v>30</v>
      </c>
      <c r="L1329" s="4">
        <v>30</v>
      </c>
      <c r="M1329" s="4">
        <v>30</v>
      </c>
      <c r="N1329" s="4">
        <v>30</v>
      </c>
      <c r="O1329" s="4">
        <v>30</v>
      </c>
    </row>
    <row r="1330" spans="1:15" ht="15" thickBot="1" x14ac:dyDescent="0.4">
      <c r="A1330" t="str">
        <f t="shared" si="349"/>
        <v>ZZS4</v>
      </c>
      <c r="B1330" t="str">
        <f t="shared" si="347"/>
        <v>CPAC Northeast</v>
      </c>
      <c r="C1330" s="18"/>
      <c r="D1330" s="18"/>
      <c r="E1330" s="18"/>
      <c r="F1330" s="18"/>
      <c r="G1330" s="18"/>
      <c r="H1330" s="28"/>
      <c r="I1330" s="5" t="s">
        <v>19</v>
      </c>
      <c r="J1330" s="9">
        <v>97</v>
      </c>
      <c r="K1330" s="6">
        <v>65</v>
      </c>
      <c r="L1330" s="7">
        <v>71</v>
      </c>
      <c r="M1330" s="7">
        <v>87</v>
      </c>
      <c r="N1330" s="6">
        <v>64</v>
      </c>
      <c r="O1330" s="7">
        <v>81</v>
      </c>
    </row>
    <row r="1331" spans="1:15" ht="15" thickBot="1" x14ac:dyDescent="0.4">
      <c r="A1331" t="str">
        <f t="shared" si="350"/>
        <v>ZZS4</v>
      </c>
      <c r="B1331" t="str">
        <f t="shared" si="347"/>
        <v>CPAC Northeast</v>
      </c>
      <c r="C1331" s="18"/>
      <c r="D1331" s="18"/>
      <c r="E1331" s="18"/>
      <c r="F1331" s="18"/>
      <c r="G1331" s="18"/>
      <c r="H1331" s="28"/>
      <c r="I1331" s="3" t="s">
        <v>20</v>
      </c>
      <c r="J1331" s="10">
        <v>21</v>
      </c>
      <c r="K1331" s="10">
        <v>15</v>
      </c>
      <c r="L1331" s="7">
        <v>41.4</v>
      </c>
      <c r="M1331" s="6">
        <v>41.9</v>
      </c>
      <c r="N1331" s="10">
        <v>20.399999999999999</v>
      </c>
      <c r="O1331" s="6">
        <v>47</v>
      </c>
    </row>
    <row r="1332" spans="1:15" ht="15" thickBot="1" x14ac:dyDescent="0.4">
      <c r="A1332" t="str">
        <f t="shared" si="351"/>
        <v>ZZS4</v>
      </c>
      <c r="B1332" t="str">
        <f t="shared" si="347"/>
        <v>CPAC Northeast</v>
      </c>
      <c r="C1332" s="18"/>
      <c r="D1332" s="18"/>
      <c r="E1332" s="18"/>
      <c r="F1332" s="18"/>
      <c r="G1332" s="18"/>
      <c r="H1332" s="28"/>
      <c r="I1332" s="5" t="s">
        <v>21</v>
      </c>
      <c r="J1332" s="10">
        <v>1.53</v>
      </c>
      <c r="K1332" s="10">
        <v>1.45</v>
      </c>
      <c r="L1332" s="9">
        <v>0.56999999999999995</v>
      </c>
      <c r="M1332" s="9">
        <v>0.69</v>
      </c>
      <c r="N1332" s="10">
        <v>1.04</v>
      </c>
      <c r="O1332" s="9">
        <v>0.56999999999999995</v>
      </c>
    </row>
    <row r="1333" spans="1:15" ht="15" thickBot="1" x14ac:dyDescent="0.4">
      <c r="A1333" t="str">
        <f t="shared" si="352"/>
        <v>ZZS4</v>
      </c>
      <c r="B1333" t="str">
        <f t="shared" si="347"/>
        <v>CPAC Northeast</v>
      </c>
      <c r="C1333" s="19"/>
      <c r="D1333" s="19"/>
      <c r="E1333" s="19"/>
      <c r="F1333" s="19"/>
      <c r="G1333" s="19"/>
      <c r="H1333" s="29"/>
      <c r="I1333" s="3" t="s">
        <v>22</v>
      </c>
      <c r="J1333" s="10" t="s">
        <v>24</v>
      </c>
      <c r="K1333" s="10" t="s">
        <v>24</v>
      </c>
      <c r="L1333" s="9" t="s">
        <v>25</v>
      </c>
      <c r="M1333" s="9" t="s">
        <v>25</v>
      </c>
      <c r="N1333" s="10" t="s">
        <v>24</v>
      </c>
      <c r="O1333" s="9" t="s">
        <v>25</v>
      </c>
    </row>
    <row r="1334" spans="1:15" ht="15" thickBot="1" x14ac:dyDescent="0.4">
      <c r="B1334" t="str">
        <f t="shared" si="347"/>
        <v>CPAC Northeast</v>
      </c>
      <c r="C1334" s="16"/>
      <c r="D1334" s="16"/>
      <c r="E1334" s="16"/>
      <c r="F1334" s="16"/>
      <c r="G1334" s="16" t="s">
        <v>309</v>
      </c>
      <c r="H1334" s="27" t="s">
        <v>34</v>
      </c>
      <c r="I1334" s="1"/>
      <c r="J1334" s="1"/>
      <c r="K1334" s="1"/>
      <c r="L1334" s="1"/>
      <c r="M1334" s="1"/>
      <c r="N1334" s="1"/>
      <c r="O1334" s="1"/>
    </row>
    <row r="1335" spans="1:15" ht="15" thickBot="1" x14ac:dyDescent="0.4">
      <c r="A1335" t="str">
        <f t="shared" si="348"/>
        <v>ZZS5</v>
      </c>
      <c r="B1335" t="str">
        <f t="shared" si="347"/>
        <v>CPAC Northeast</v>
      </c>
      <c r="C1335" s="18"/>
      <c r="D1335" s="18"/>
      <c r="E1335" s="18"/>
      <c r="F1335" s="18"/>
      <c r="G1335" s="18"/>
      <c r="H1335" s="28"/>
      <c r="I1335" s="3" t="s">
        <v>18</v>
      </c>
      <c r="J1335" s="8">
        <v>18</v>
      </c>
      <c r="K1335" s="4">
        <v>38</v>
      </c>
      <c r="L1335" s="4">
        <v>30</v>
      </c>
      <c r="M1335" s="4">
        <v>30</v>
      </c>
      <c r="N1335" s="4">
        <v>36</v>
      </c>
      <c r="O1335" s="4">
        <v>30</v>
      </c>
    </row>
    <row r="1336" spans="1:15" ht="15" thickBot="1" x14ac:dyDescent="0.4">
      <c r="A1336" t="str">
        <f t="shared" si="349"/>
        <v>ZZS5</v>
      </c>
      <c r="B1336" t="str">
        <f t="shared" si="347"/>
        <v>CPAC Northeast</v>
      </c>
      <c r="C1336" s="18"/>
      <c r="D1336" s="18"/>
      <c r="E1336" s="18"/>
      <c r="F1336" s="18"/>
      <c r="G1336" s="18"/>
      <c r="H1336" s="28"/>
      <c r="I1336" s="5" t="s">
        <v>19</v>
      </c>
      <c r="J1336" s="9">
        <v>135</v>
      </c>
      <c r="K1336" s="9">
        <v>109</v>
      </c>
      <c r="L1336" s="7">
        <v>87</v>
      </c>
      <c r="M1336" s="9">
        <v>93</v>
      </c>
      <c r="N1336" s="7">
        <v>70</v>
      </c>
      <c r="O1336" s="6">
        <v>54</v>
      </c>
    </row>
    <row r="1337" spans="1:15" ht="15" thickBot="1" x14ac:dyDescent="0.4">
      <c r="A1337" t="str">
        <f t="shared" si="350"/>
        <v>ZZS5</v>
      </c>
      <c r="B1337" t="str">
        <f t="shared" si="347"/>
        <v>CPAC Northeast</v>
      </c>
      <c r="C1337" s="18"/>
      <c r="D1337" s="18"/>
      <c r="E1337" s="18"/>
      <c r="F1337" s="18"/>
      <c r="G1337" s="18"/>
      <c r="H1337" s="28"/>
      <c r="I1337" s="3" t="s">
        <v>20</v>
      </c>
      <c r="J1337" s="7">
        <v>35.200000000000003</v>
      </c>
      <c r="K1337" s="9">
        <v>29.7</v>
      </c>
      <c r="L1337" s="10">
        <v>27.5</v>
      </c>
      <c r="M1337" s="10">
        <v>22.7</v>
      </c>
      <c r="N1337" s="7">
        <v>39.200000000000003</v>
      </c>
      <c r="O1337" s="9">
        <v>29.2</v>
      </c>
    </row>
    <row r="1338" spans="1:15" ht="15" thickBot="1" x14ac:dyDescent="0.4">
      <c r="A1338" t="str">
        <f t="shared" si="351"/>
        <v>ZZS5</v>
      </c>
      <c r="B1338" t="str">
        <f t="shared" si="347"/>
        <v>CPAC Northeast</v>
      </c>
      <c r="C1338" s="18"/>
      <c r="D1338" s="18"/>
      <c r="E1338" s="18"/>
      <c r="F1338" s="18"/>
      <c r="G1338" s="18"/>
      <c r="H1338" s="28"/>
      <c r="I1338" s="5" t="s">
        <v>21</v>
      </c>
      <c r="J1338" s="10">
        <v>1.28</v>
      </c>
      <c r="K1338" s="10">
        <v>1.22</v>
      </c>
      <c r="L1338" s="10">
        <v>1.05</v>
      </c>
      <c r="M1338" s="10">
        <v>1.36</v>
      </c>
      <c r="N1338" s="9">
        <v>0.59</v>
      </c>
      <c r="O1338" s="9">
        <v>0.62</v>
      </c>
    </row>
    <row r="1339" spans="1:15" ht="15" thickBot="1" x14ac:dyDescent="0.4">
      <c r="A1339" t="str">
        <f t="shared" si="352"/>
        <v>ZZS5</v>
      </c>
      <c r="B1339" t="str">
        <f t="shared" si="347"/>
        <v>CPAC Northeast</v>
      </c>
      <c r="C1339" s="19"/>
      <c r="D1339" s="19"/>
      <c r="E1339" s="19"/>
      <c r="F1339" s="19"/>
      <c r="G1339" s="19"/>
      <c r="H1339" s="29"/>
      <c r="I1339" s="3" t="s">
        <v>22</v>
      </c>
      <c r="J1339" s="10" t="s">
        <v>24</v>
      </c>
      <c r="K1339" s="11"/>
      <c r="L1339" s="10" t="s">
        <v>24</v>
      </c>
      <c r="M1339" s="10" t="s">
        <v>24</v>
      </c>
      <c r="N1339" s="11"/>
      <c r="O1339" s="9" t="s">
        <v>25</v>
      </c>
    </row>
    <row r="1340" spans="1:15" ht="15" thickBot="1" x14ac:dyDescent="0.4">
      <c r="B1340" t="str">
        <f t="shared" si="347"/>
        <v>CPAC Northeast</v>
      </c>
      <c r="C1340" s="16"/>
      <c r="D1340" s="16"/>
      <c r="E1340" s="16"/>
      <c r="F1340" s="16"/>
      <c r="G1340" s="16" t="s">
        <v>310</v>
      </c>
      <c r="H1340" s="20" t="s">
        <v>17</v>
      </c>
      <c r="I1340" s="1"/>
      <c r="J1340" s="1"/>
      <c r="K1340" s="1"/>
      <c r="L1340" s="1"/>
      <c r="M1340" s="1"/>
      <c r="N1340" s="1"/>
      <c r="O1340" s="1"/>
    </row>
    <row r="1341" spans="1:15" ht="15" thickBot="1" x14ac:dyDescent="0.4">
      <c r="A1341" t="str">
        <f t="shared" si="348"/>
        <v>14H5</v>
      </c>
      <c r="B1341" t="str">
        <f t="shared" si="347"/>
        <v>CPAC Northeast</v>
      </c>
      <c r="C1341" s="18"/>
      <c r="D1341" s="18"/>
      <c r="E1341" s="18"/>
      <c r="F1341" s="18"/>
      <c r="G1341" s="18"/>
      <c r="H1341" s="22"/>
      <c r="I1341" s="3" t="s">
        <v>18</v>
      </c>
      <c r="J1341" s="4">
        <v>30</v>
      </c>
      <c r="K1341" s="4">
        <v>45</v>
      </c>
      <c r="L1341" s="4">
        <v>30</v>
      </c>
      <c r="M1341" s="8">
        <v>18</v>
      </c>
      <c r="N1341" s="8">
        <v>18</v>
      </c>
      <c r="O1341" s="8">
        <v>18</v>
      </c>
    </row>
    <row r="1342" spans="1:15" ht="15" thickBot="1" x14ac:dyDescent="0.4">
      <c r="A1342" t="str">
        <f t="shared" si="349"/>
        <v>14H5</v>
      </c>
      <c r="B1342" t="str">
        <f t="shared" si="347"/>
        <v>CPAC Northeast</v>
      </c>
      <c r="C1342" s="18"/>
      <c r="D1342" s="18"/>
      <c r="E1342" s="18"/>
      <c r="F1342" s="18"/>
      <c r="G1342" s="18"/>
      <c r="H1342" s="22"/>
      <c r="I1342" s="5" t="s">
        <v>19</v>
      </c>
      <c r="J1342" s="7">
        <v>74</v>
      </c>
      <c r="K1342" s="9">
        <v>112</v>
      </c>
      <c r="L1342" s="9">
        <v>245</v>
      </c>
      <c r="M1342" s="9">
        <v>160</v>
      </c>
      <c r="N1342" s="8">
        <v>-5</v>
      </c>
      <c r="O1342" s="9">
        <v>163</v>
      </c>
    </row>
    <row r="1343" spans="1:15" ht="15" thickBot="1" x14ac:dyDescent="0.4">
      <c r="A1343" t="str">
        <f t="shared" si="350"/>
        <v>14H5</v>
      </c>
      <c r="B1343" t="str">
        <f t="shared" si="347"/>
        <v>CPAC Northeast</v>
      </c>
      <c r="C1343" s="18"/>
      <c r="D1343" s="18"/>
      <c r="E1343" s="18"/>
      <c r="F1343" s="18"/>
      <c r="G1343" s="18"/>
      <c r="H1343" s="22"/>
      <c r="I1343" s="3" t="s">
        <v>20</v>
      </c>
      <c r="J1343" s="10">
        <v>19.2</v>
      </c>
      <c r="K1343" s="8">
        <v>59.4</v>
      </c>
      <c r="L1343" s="10">
        <v>28.4</v>
      </c>
      <c r="M1343" s="10">
        <v>27.9</v>
      </c>
      <c r="N1343" s="7">
        <v>36.799999999999997</v>
      </c>
      <c r="O1343" s="8">
        <v>55.1</v>
      </c>
    </row>
    <row r="1344" spans="1:15" ht="15" thickBot="1" x14ac:dyDescent="0.4">
      <c r="A1344" t="str">
        <f t="shared" si="351"/>
        <v>14H5</v>
      </c>
      <c r="B1344" t="str">
        <f t="shared" si="347"/>
        <v>CPAC Northeast</v>
      </c>
      <c r="C1344" s="18"/>
      <c r="D1344" s="18"/>
      <c r="E1344" s="18"/>
      <c r="F1344" s="18"/>
      <c r="G1344" s="18"/>
      <c r="H1344" s="22"/>
      <c r="I1344" s="5" t="s">
        <v>21</v>
      </c>
      <c r="J1344" s="10">
        <v>1.29</v>
      </c>
      <c r="K1344" s="9">
        <v>0.63</v>
      </c>
      <c r="L1344" s="10">
        <v>2.88</v>
      </c>
      <c r="M1344" s="10">
        <v>1.91</v>
      </c>
      <c r="N1344" s="8">
        <v>-0.05</v>
      </c>
      <c r="O1344" s="10">
        <v>0.99</v>
      </c>
    </row>
    <row r="1345" spans="1:15" ht="15" thickBot="1" x14ac:dyDescent="0.4">
      <c r="A1345" t="str">
        <f t="shared" si="352"/>
        <v>14H5</v>
      </c>
      <c r="B1345" t="str">
        <f t="shared" si="347"/>
        <v>CPAC Northeast</v>
      </c>
      <c r="C1345" s="19"/>
      <c r="D1345" s="19"/>
      <c r="E1345" s="19"/>
      <c r="F1345" s="19"/>
      <c r="G1345" s="19"/>
      <c r="H1345" s="23"/>
      <c r="I1345" s="3" t="s">
        <v>22</v>
      </c>
      <c r="J1345" s="10" t="s">
        <v>24</v>
      </c>
      <c r="K1345" s="11"/>
      <c r="L1345" s="10" t="s">
        <v>24</v>
      </c>
      <c r="M1345" s="10" t="s">
        <v>24</v>
      </c>
      <c r="N1345" s="8" t="s">
        <v>23</v>
      </c>
      <c r="O1345" s="10" t="s">
        <v>24</v>
      </c>
    </row>
    <row r="1346" spans="1:15" ht="15" thickBot="1" x14ac:dyDescent="0.4">
      <c r="B1346" t="str">
        <f t="shared" si="347"/>
        <v>CPAC Northeast</v>
      </c>
      <c r="C1346" s="16"/>
      <c r="D1346" s="16"/>
      <c r="E1346" s="16"/>
      <c r="F1346" s="16"/>
      <c r="G1346" s="16" t="s">
        <v>311</v>
      </c>
      <c r="H1346" s="30" t="s">
        <v>39</v>
      </c>
      <c r="I1346" s="1"/>
      <c r="J1346" s="1"/>
      <c r="K1346" s="1"/>
      <c r="L1346" s="1"/>
      <c r="M1346" s="1"/>
      <c r="N1346" s="1"/>
      <c r="O1346" s="1"/>
    </row>
    <row r="1347" spans="1:15" ht="15" thickBot="1" x14ac:dyDescent="0.4">
      <c r="A1347" t="str">
        <f t="shared" si="348"/>
        <v>14H4</v>
      </c>
      <c r="B1347" t="str">
        <f t="shared" si="347"/>
        <v>CPAC Northeast</v>
      </c>
      <c r="C1347" s="18"/>
      <c r="D1347" s="18"/>
      <c r="E1347" s="18"/>
      <c r="F1347" s="18"/>
      <c r="G1347" s="18"/>
      <c r="H1347" s="31"/>
      <c r="I1347" s="3" t="s">
        <v>18</v>
      </c>
      <c r="J1347" s="4">
        <v>30</v>
      </c>
      <c r="K1347" s="4">
        <v>30</v>
      </c>
      <c r="L1347" s="4">
        <v>30</v>
      </c>
      <c r="M1347" s="4">
        <v>30</v>
      </c>
      <c r="N1347" s="4">
        <v>30</v>
      </c>
      <c r="O1347" s="4">
        <v>30</v>
      </c>
    </row>
    <row r="1348" spans="1:15" ht="15" thickBot="1" x14ac:dyDescent="0.4">
      <c r="A1348" t="str">
        <f t="shared" si="349"/>
        <v>14H4</v>
      </c>
      <c r="B1348" t="str">
        <f t="shared" si="347"/>
        <v>CPAC Northeast</v>
      </c>
      <c r="C1348" s="18"/>
      <c r="D1348" s="18"/>
      <c r="E1348" s="18"/>
      <c r="F1348" s="18"/>
      <c r="G1348" s="18"/>
      <c r="H1348" s="31"/>
      <c r="I1348" s="5" t="s">
        <v>19</v>
      </c>
      <c r="J1348" s="9">
        <v>150</v>
      </c>
      <c r="K1348" s="9">
        <v>93</v>
      </c>
      <c r="L1348" s="9">
        <v>121</v>
      </c>
      <c r="M1348" s="7">
        <v>83</v>
      </c>
      <c r="N1348" s="9">
        <v>105</v>
      </c>
      <c r="O1348" s="9">
        <v>95</v>
      </c>
    </row>
    <row r="1349" spans="1:15" ht="15" thickBot="1" x14ac:dyDescent="0.4">
      <c r="A1349" t="str">
        <f t="shared" si="350"/>
        <v>14H4</v>
      </c>
      <c r="B1349" t="str">
        <f t="shared" si="347"/>
        <v>CPAC Northeast</v>
      </c>
      <c r="C1349" s="18"/>
      <c r="D1349" s="18"/>
      <c r="E1349" s="18"/>
      <c r="F1349" s="18"/>
      <c r="G1349" s="18"/>
      <c r="H1349" s="31"/>
      <c r="I1349" s="3" t="s">
        <v>20</v>
      </c>
      <c r="J1349" s="10">
        <v>25.4</v>
      </c>
      <c r="K1349" s="10">
        <v>19.600000000000001</v>
      </c>
      <c r="L1349" s="7">
        <v>38.200000000000003</v>
      </c>
      <c r="M1349" s="10">
        <v>15.1</v>
      </c>
      <c r="N1349" s="7">
        <v>36.1</v>
      </c>
      <c r="O1349" s="10">
        <v>13.1</v>
      </c>
    </row>
    <row r="1350" spans="1:15" ht="15" thickBot="1" x14ac:dyDescent="0.4">
      <c r="A1350" t="str">
        <f t="shared" si="351"/>
        <v>14H4</v>
      </c>
      <c r="B1350" t="str">
        <f t="shared" si="347"/>
        <v>CPAC Northeast</v>
      </c>
      <c r="C1350" s="18"/>
      <c r="D1350" s="18"/>
      <c r="E1350" s="18"/>
      <c r="F1350" s="18"/>
      <c r="G1350" s="18"/>
      <c r="H1350" s="31"/>
      <c r="I1350" s="5" t="s">
        <v>21</v>
      </c>
      <c r="J1350" s="10">
        <v>1.97</v>
      </c>
      <c r="K1350" s="10">
        <v>1.58</v>
      </c>
      <c r="L1350" s="10">
        <v>1.06</v>
      </c>
      <c r="M1350" s="10">
        <v>1.82</v>
      </c>
      <c r="N1350" s="10">
        <v>0.97</v>
      </c>
      <c r="O1350" s="10">
        <v>2.41</v>
      </c>
    </row>
    <row r="1351" spans="1:15" ht="15" thickBot="1" x14ac:dyDescent="0.4">
      <c r="A1351" t="str">
        <f t="shared" si="352"/>
        <v>14H4</v>
      </c>
      <c r="B1351" t="str">
        <f t="shared" si="347"/>
        <v>CPAC Northeast</v>
      </c>
      <c r="C1351" s="19"/>
      <c r="D1351" s="19"/>
      <c r="E1351" s="19"/>
      <c r="F1351" s="19"/>
      <c r="G1351" s="19"/>
      <c r="H1351" s="32"/>
      <c r="I1351" s="3" t="s">
        <v>22</v>
      </c>
      <c r="J1351" s="10" t="s">
        <v>24</v>
      </c>
      <c r="K1351" s="10" t="s">
        <v>24</v>
      </c>
      <c r="L1351" s="10" t="s">
        <v>24</v>
      </c>
      <c r="M1351" s="10" t="s">
        <v>24</v>
      </c>
      <c r="N1351" s="10" t="s">
        <v>24</v>
      </c>
      <c r="O1351" s="10" t="s">
        <v>24</v>
      </c>
    </row>
    <row r="1352" spans="1:15" ht="15" thickBot="1" x14ac:dyDescent="0.4">
      <c r="B1352" t="str">
        <f t="shared" si="347"/>
        <v>CPAC Northeast</v>
      </c>
      <c r="C1352" s="16"/>
      <c r="D1352" s="16"/>
      <c r="E1352" s="16"/>
      <c r="F1352" s="16"/>
      <c r="G1352" s="16" t="s">
        <v>312</v>
      </c>
      <c r="H1352" s="27" t="s">
        <v>34</v>
      </c>
      <c r="I1352" s="1"/>
      <c r="J1352" s="1"/>
      <c r="K1352" s="1"/>
      <c r="L1352" s="1"/>
      <c r="M1352" s="1"/>
      <c r="N1352" s="1"/>
      <c r="O1352" s="1"/>
    </row>
    <row r="1353" spans="1:15" ht="15" thickBot="1" x14ac:dyDescent="0.4">
      <c r="A1353" t="str">
        <f t="shared" si="348"/>
        <v>31P2</v>
      </c>
      <c r="B1353" t="str">
        <f t="shared" si="347"/>
        <v>CPAC Northeast</v>
      </c>
      <c r="C1353" s="18"/>
      <c r="D1353" s="18"/>
      <c r="E1353" s="18"/>
      <c r="F1353" s="18"/>
      <c r="G1353" s="18"/>
      <c r="H1353" s="28"/>
      <c r="I1353" s="3" t="s">
        <v>18</v>
      </c>
      <c r="J1353" s="4">
        <v>31</v>
      </c>
      <c r="K1353" s="8">
        <v>18</v>
      </c>
      <c r="L1353" s="8">
        <v>22</v>
      </c>
      <c r="M1353" s="8">
        <v>18</v>
      </c>
      <c r="N1353" s="4">
        <v>30</v>
      </c>
      <c r="O1353" s="8">
        <v>18</v>
      </c>
    </row>
    <row r="1354" spans="1:15" ht="15" thickBot="1" x14ac:dyDescent="0.4">
      <c r="A1354" t="str">
        <f t="shared" si="349"/>
        <v>31P2</v>
      </c>
      <c r="B1354" t="str">
        <f t="shared" si="347"/>
        <v>CPAC Northeast</v>
      </c>
      <c r="C1354" s="18"/>
      <c r="D1354" s="18"/>
      <c r="E1354" s="18"/>
      <c r="F1354" s="18"/>
      <c r="G1354" s="18"/>
      <c r="H1354" s="28"/>
      <c r="I1354" s="5" t="s">
        <v>19</v>
      </c>
      <c r="J1354" s="6">
        <v>64</v>
      </c>
      <c r="K1354" s="9">
        <v>141</v>
      </c>
      <c r="L1354" s="9">
        <v>182</v>
      </c>
      <c r="M1354" s="9">
        <v>158</v>
      </c>
      <c r="N1354" s="6">
        <v>63</v>
      </c>
      <c r="O1354" s="9">
        <v>160</v>
      </c>
    </row>
    <row r="1355" spans="1:15" ht="15" thickBot="1" x14ac:dyDescent="0.4">
      <c r="A1355" t="str">
        <f t="shared" si="350"/>
        <v>31P2</v>
      </c>
      <c r="B1355" t="str">
        <f t="shared" si="347"/>
        <v>CPAC Northeast</v>
      </c>
      <c r="C1355" s="18"/>
      <c r="D1355" s="18"/>
      <c r="E1355" s="18"/>
      <c r="F1355" s="18"/>
      <c r="G1355" s="18"/>
      <c r="H1355" s="28"/>
      <c r="I1355" s="3" t="s">
        <v>20</v>
      </c>
      <c r="J1355" s="6">
        <v>45.2</v>
      </c>
      <c r="K1355" s="8">
        <v>54.5</v>
      </c>
      <c r="L1355" s="8">
        <v>68.7</v>
      </c>
      <c r="M1355" s="7">
        <v>39.4</v>
      </c>
      <c r="N1355" s="9">
        <v>28.6</v>
      </c>
      <c r="O1355" s="7">
        <v>37.700000000000003</v>
      </c>
    </row>
    <row r="1356" spans="1:15" ht="15" thickBot="1" x14ac:dyDescent="0.4">
      <c r="A1356" t="str">
        <f t="shared" si="351"/>
        <v>31P2</v>
      </c>
      <c r="B1356" t="str">
        <f t="shared" si="347"/>
        <v>CPAC Northeast</v>
      </c>
      <c r="C1356" s="18"/>
      <c r="D1356" s="18"/>
      <c r="E1356" s="18"/>
      <c r="F1356" s="18"/>
      <c r="G1356" s="18"/>
      <c r="H1356" s="28"/>
      <c r="I1356" s="5" t="s">
        <v>21</v>
      </c>
      <c r="J1356" s="8">
        <v>0.47</v>
      </c>
      <c r="K1356" s="10">
        <v>0.86</v>
      </c>
      <c r="L1356" s="10">
        <v>0.88</v>
      </c>
      <c r="M1356" s="10">
        <v>1.34</v>
      </c>
      <c r="N1356" s="9">
        <v>0.74</v>
      </c>
      <c r="O1356" s="10">
        <v>1.41</v>
      </c>
    </row>
    <row r="1357" spans="1:15" ht="15" thickBot="1" x14ac:dyDescent="0.4">
      <c r="A1357" t="str">
        <f t="shared" si="352"/>
        <v>31P2</v>
      </c>
      <c r="B1357" t="str">
        <f t="shared" si="347"/>
        <v>CPAC Northeast</v>
      </c>
      <c r="C1357" s="19"/>
      <c r="D1357" s="19"/>
      <c r="E1357" s="19"/>
      <c r="F1357" s="19"/>
      <c r="G1357" s="19"/>
      <c r="H1357" s="29"/>
      <c r="I1357" s="3" t="s">
        <v>22</v>
      </c>
      <c r="J1357" s="8" t="s">
        <v>23</v>
      </c>
      <c r="K1357" s="10" t="s">
        <v>24</v>
      </c>
      <c r="L1357" s="10" t="s">
        <v>24</v>
      </c>
      <c r="M1357" s="10" t="s">
        <v>24</v>
      </c>
      <c r="N1357" s="11"/>
      <c r="O1357" s="10" t="s">
        <v>24</v>
      </c>
    </row>
    <row r="1358" spans="1:15" ht="15" thickBot="1" x14ac:dyDescent="0.4">
      <c r="B1358" t="str">
        <f t="shared" si="347"/>
        <v>CPAC Northeast</v>
      </c>
      <c r="C1358" s="16"/>
      <c r="D1358" s="16"/>
      <c r="E1358" s="16"/>
      <c r="F1358" s="16"/>
      <c r="G1358" s="16" t="s">
        <v>313</v>
      </c>
      <c r="H1358" s="27" t="s">
        <v>34</v>
      </c>
      <c r="I1358" s="1"/>
      <c r="J1358" s="1"/>
      <c r="K1358" s="1"/>
      <c r="L1358" s="1"/>
      <c r="M1358" s="1"/>
      <c r="N1358" s="1"/>
      <c r="O1358" s="1"/>
    </row>
    <row r="1359" spans="1:15" ht="15" thickBot="1" x14ac:dyDescent="0.4">
      <c r="A1359" t="str">
        <f t="shared" si="348"/>
        <v>FC325</v>
      </c>
      <c r="B1359" t="str">
        <f t="shared" ref="B1359:B1422" si="353">$D$974</f>
        <v>CPAC Northeast</v>
      </c>
      <c r="C1359" s="18"/>
      <c r="D1359" s="18"/>
      <c r="E1359" s="18"/>
      <c r="F1359" s="18"/>
      <c r="G1359" s="18"/>
      <c r="H1359" s="28"/>
      <c r="I1359" s="3" t="s">
        <v>18</v>
      </c>
      <c r="J1359" s="4">
        <v>36</v>
      </c>
      <c r="K1359" s="8">
        <v>18</v>
      </c>
      <c r="L1359" s="4">
        <v>36</v>
      </c>
      <c r="M1359" s="8">
        <v>18</v>
      </c>
      <c r="N1359" s="4">
        <v>36</v>
      </c>
      <c r="O1359" s="4">
        <v>36</v>
      </c>
    </row>
    <row r="1360" spans="1:15" ht="15" thickBot="1" x14ac:dyDescent="0.4">
      <c r="A1360" t="str">
        <f t="shared" si="349"/>
        <v>FC325</v>
      </c>
      <c r="B1360" t="str">
        <f t="shared" si="353"/>
        <v>CPAC Northeast</v>
      </c>
      <c r="C1360" s="18"/>
      <c r="D1360" s="18"/>
      <c r="E1360" s="18"/>
      <c r="F1360" s="18"/>
      <c r="G1360" s="18"/>
      <c r="H1360" s="28"/>
      <c r="I1360" s="5" t="s">
        <v>19</v>
      </c>
      <c r="J1360" s="7">
        <v>79</v>
      </c>
      <c r="K1360" s="9">
        <v>128</v>
      </c>
      <c r="L1360" s="6">
        <v>54</v>
      </c>
      <c r="M1360" s="9">
        <v>178</v>
      </c>
      <c r="N1360" s="9">
        <v>133</v>
      </c>
      <c r="O1360" s="8">
        <v>22</v>
      </c>
    </row>
    <row r="1361" spans="1:15" ht="15" thickBot="1" x14ac:dyDescent="0.4">
      <c r="A1361" t="str">
        <f t="shared" si="350"/>
        <v>FC325</v>
      </c>
      <c r="B1361" t="str">
        <f t="shared" si="353"/>
        <v>CPAC Northeast</v>
      </c>
      <c r="C1361" s="18"/>
      <c r="D1361" s="18"/>
      <c r="E1361" s="18"/>
      <c r="F1361" s="18"/>
      <c r="G1361" s="18"/>
      <c r="H1361" s="28"/>
      <c r="I1361" s="3" t="s">
        <v>20</v>
      </c>
      <c r="J1361" s="9">
        <v>30.5</v>
      </c>
      <c r="K1361" s="7">
        <v>39.799999999999997</v>
      </c>
      <c r="L1361" s="10">
        <v>11.1</v>
      </c>
      <c r="M1361" s="8">
        <v>54.4</v>
      </c>
      <c r="N1361" s="8">
        <v>55.9</v>
      </c>
      <c r="O1361" s="10">
        <v>12.2</v>
      </c>
    </row>
    <row r="1362" spans="1:15" ht="15" thickBot="1" x14ac:dyDescent="0.4">
      <c r="A1362" t="str">
        <f t="shared" si="351"/>
        <v>FC325</v>
      </c>
      <c r="B1362" t="str">
        <f t="shared" si="353"/>
        <v>CPAC Northeast</v>
      </c>
      <c r="C1362" s="18"/>
      <c r="D1362" s="18"/>
      <c r="E1362" s="18"/>
      <c r="F1362" s="18"/>
      <c r="G1362" s="18"/>
      <c r="H1362" s="28"/>
      <c r="I1362" s="5" t="s">
        <v>21</v>
      </c>
      <c r="J1362" s="10">
        <v>0.87</v>
      </c>
      <c r="K1362" s="10">
        <v>1.07</v>
      </c>
      <c r="L1362" s="10">
        <v>1.63</v>
      </c>
      <c r="M1362" s="10">
        <v>1.0900000000000001</v>
      </c>
      <c r="N1362" s="10">
        <v>0.8</v>
      </c>
      <c r="O1362" s="9">
        <v>0.6</v>
      </c>
    </row>
    <row r="1363" spans="1:15" ht="15" thickBot="1" x14ac:dyDescent="0.4">
      <c r="A1363" t="str">
        <f t="shared" si="352"/>
        <v>FC325</v>
      </c>
      <c r="B1363" t="str">
        <f t="shared" si="353"/>
        <v>CPAC Northeast</v>
      </c>
      <c r="C1363" s="19"/>
      <c r="D1363" s="19"/>
      <c r="E1363" s="19"/>
      <c r="F1363" s="19"/>
      <c r="G1363" s="19"/>
      <c r="H1363" s="29"/>
      <c r="I1363" s="3" t="s">
        <v>22</v>
      </c>
      <c r="J1363" s="11"/>
      <c r="K1363" s="10" t="s">
        <v>24</v>
      </c>
      <c r="L1363" s="11"/>
      <c r="M1363" s="10" t="s">
        <v>24</v>
      </c>
      <c r="N1363" s="11"/>
      <c r="O1363" s="11"/>
    </row>
    <row r="1364" spans="1:15" ht="15" thickBot="1" x14ac:dyDescent="0.4">
      <c r="B1364" t="str">
        <f t="shared" si="353"/>
        <v>CPAC Northeast</v>
      </c>
      <c r="C1364" s="16"/>
      <c r="D1364" s="16"/>
      <c r="E1364" s="16"/>
      <c r="F1364" s="16"/>
      <c r="G1364" s="16" t="s">
        <v>314</v>
      </c>
      <c r="H1364" s="27" t="s">
        <v>34</v>
      </c>
      <c r="I1364" s="1"/>
      <c r="J1364" s="1"/>
      <c r="K1364" s="1"/>
      <c r="L1364" s="1"/>
      <c r="M1364" s="1"/>
      <c r="N1364" s="1"/>
      <c r="O1364" s="1"/>
    </row>
    <row r="1365" spans="1:15" ht="15" thickBot="1" x14ac:dyDescent="0.4">
      <c r="A1365" t="str">
        <f t="shared" ref="A1365:A1428" si="354">IF(LEFT(G1364,2)="FC",LEFT(G1364,5),LEFT(G1364,4))</f>
        <v>ZZTA</v>
      </c>
      <c r="B1365" t="str">
        <f t="shared" si="353"/>
        <v>CPAC Northeast</v>
      </c>
      <c r="C1365" s="18"/>
      <c r="D1365" s="18"/>
      <c r="E1365" s="18"/>
      <c r="F1365" s="18"/>
      <c r="G1365" s="18"/>
      <c r="H1365" s="28"/>
      <c r="I1365" s="3" t="s">
        <v>18</v>
      </c>
      <c r="J1365" s="4">
        <v>30</v>
      </c>
      <c r="K1365" s="4">
        <v>35</v>
      </c>
      <c r="L1365" s="4">
        <v>36</v>
      </c>
      <c r="M1365" s="4">
        <v>33</v>
      </c>
      <c r="N1365" s="4">
        <v>36</v>
      </c>
      <c r="O1365" s="4">
        <v>36</v>
      </c>
    </row>
    <row r="1366" spans="1:15" ht="15" thickBot="1" x14ac:dyDescent="0.4">
      <c r="A1366" t="str">
        <f t="shared" si="349"/>
        <v>ZZTA</v>
      </c>
      <c r="B1366" t="str">
        <f t="shared" si="353"/>
        <v>CPAC Northeast</v>
      </c>
      <c r="C1366" s="18"/>
      <c r="D1366" s="18"/>
      <c r="E1366" s="18"/>
      <c r="F1366" s="18"/>
      <c r="G1366" s="18"/>
      <c r="H1366" s="28"/>
      <c r="I1366" s="5" t="s">
        <v>19</v>
      </c>
      <c r="J1366" s="6">
        <v>58</v>
      </c>
      <c r="K1366" s="6">
        <v>63</v>
      </c>
      <c r="L1366" s="6">
        <v>59</v>
      </c>
      <c r="M1366" s="6">
        <v>68</v>
      </c>
      <c r="N1366" s="6">
        <v>62</v>
      </c>
      <c r="O1366" s="6">
        <v>60</v>
      </c>
    </row>
    <row r="1367" spans="1:15" ht="15" thickBot="1" x14ac:dyDescent="0.4">
      <c r="A1367" t="str">
        <f t="shared" si="350"/>
        <v>ZZTA</v>
      </c>
      <c r="B1367" t="str">
        <f t="shared" si="353"/>
        <v>CPAC Northeast</v>
      </c>
      <c r="C1367" s="18"/>
      <c r="D1367" s="18"/>
      <c r="E1367" s="18"/>
      <c r="F1367" s="18"/>
      <c r="G1367" s="18"/>
      <c r="H1367" s="28"/>
      <c r="I1367" s="3" t="s">
        <v>20</v>
      </c>
      <c r="J1367" s="10">
        <v>15.8</v>
      </c>
      <c r="K1367" s="9">
        <v>29.3</v>
      </c>
      <c r="L1367" s="10">
        <v>20.9</v>
      </c>
      <c r="M1367" s="10">
        <v>19</v>
      </c>
      <c r="N1367" s="10">
        <v>16.8</v>
      </c>
      <c r="O1367" s="10">
        <v>17.8</v>
      </c>
    </row>
    <row r="1368" spans="1:15" ht="15" thickBot="1" x14ac:dyDescent="0.4">
      <c r="A1368" t="str">
        <f t="shared" si="351"/>
        <v>ZZTA</v>
      </c>
      <c r="B1368" t="str">
        <f t="shared" si="353"/>
        <v>CPAC Northeast</v>
      </c>
      <c r="C1368" s="18"/>
      <c r="D1368" s="18"/>
      <c r="E1368" s="18"/>
      <c r="F1368" s="18"/>
      <c r="G1368" s="18"/>
      <c r="H1368" s="28"/>
      <c r="I1368" s="5" t="s">
        <v>21</v>
      </c>
      <c r="J1368" s="10">
        <v>1.23</v>
      </c>
      <c r="K1368" s="9">
        <v>0.72</v>
      </c>
      <c r="L1368" s="10">
        <v>0.93</v>
      </c>
      <c r="M1368" s="10">
        <v>1.19</v>
      </c>
      <c r="N1368" s="10">
        <v>1.22</v>
      </c>
      <c r="O1368" s="10">
        <v>1.1200000000000001</v>
      </c>
    </row>
    <row r="1369" spans="1:15" ht="15" thickBot="1" x14ac:dyDescent="0.4">
      <c r="A1369" t="str">
        <f t="shared" si="352"/>
        <v>ZZTA</v>
      </c>
      <c r="B1369" t="str">
        <f t="shared" si="353"/>
        <v>CPAC Northeast</v>
      </c>
      <c r="C1369" s="19"/>
      <c r="D1369" s="19"/>
      <c r="E1369" s="19"/>
      <c r="F1369" s="19"/>
      <c r="G1369" s="19"/>
      <c r="H1369" s="29"/>
      <c r="I1369" s="3" t="s">
        <v>22</v>
      </c>
      <c r="J1369" s="11"/>
      <c r="K1369" s="11"/>
      <c r="L1369" s="11"/>
      <c r="M1369" s="10" t="s">
        <v>24</v>
      </c>
      <c r="N1369" s="11"/>
      <c r="O1369" s="11"/>
    </row>
    <row r="1370" spans="1:15" ht="15" thickBot="1" x14ac:dyDescent="0.4">
      <c r="B1370" t="str">
        <f t="shared" si="353"/>
        <v>CPAC Northeast</v>
      </c>
      <c r="C1370" s="16"/>
      <c r="D1370" s="16"/>
      <c r="E1370" s="16"/>
      <c r="F1370" s="16" t="s">
        <v>315</v>
      </c>
      <c r="G1370" s="16" t="s">
        <v>316</v>
      </c>
      <c r="H1370" s="30" t="s">
        <v>39</v>
      </c>
      <c r="I1370" s="1"/>
      <c r="J1370" s="1"/>
      <c r="K1370" s="1"/>
      <c r="L1370" s="1"/>
      <c r="M1370" s="1"/>
      <c r="N1370" s="1"/>
      <c r="O1370" s="1"/>
    </row>
    <row r="1371" spans="1:15" ht="15" thickBot="1" x14ac:dyDescent="0.4">
      <c r="A1371" t="str">
        <f t="shared" si="354"/>
        <v>FC337</v>
      </c>
      <c r="B1371" t="str">
        <f t="shared" si="353"/>
        <v>CPAC Northeast</v>
      </c>
      <c r="C1371" s="18"/>
      <c r="D1371" s="18"/>
      <c r="E1371" s="18"/>
      <c r="F1371" s="18"/>
      <c r="G1371" s="18"/>
      <c r="H1371" s="31"/>
      <c r="I1371" s="3" t="s">
        <v>18</v>
      </c>
      <c r="J1371" s="4">
        <v>30</v>
      </c>
      <c r="K1371" s="4">
        <v>33</v>
      </c>
      <c r="L1371" s="8">
        <v>24</v>
      </c>
      <c r="M1371" s="4">
        <v>30</v>
      </c>
      <c r="N1371" s="4">
        <v>30</v>
      </c>
      <c r="O1371" s="4">
        <v>30</v>
      </c>
    </row>
    <row r="1372" spans="1:15" ht="15" thickBot="1" x14ac:dyDescent="0.4">
      <c r="A1372" t="str">
        <f t="shared" ref="A1372:A1432" si="355">IF(LEFT(G1370,2)="FC",LEFT(G1370,5),LEFT(G1370,4))</f>
        <v>FC337</v>
      </c>
      <c r="B1372" t="str">
        <f t="shared" si="353"/>
        <v>CPAC Northeast</v>
      </c>
      <c r="C1372" s="18"/>
      <c r="D1372" s="18"/>
      <c r="E1372" s="18"/>
      <c r="F1372" s="18"/>
      <c r="G1372" s="18"/>
      <c r="H1372" s="31"/>
      <c r="I1372" s="5" t="s">
        <v>19</v>
      </c>
      <c r="J1372" s="7">
        <v>73</v>
      </c>
      <c r="K1372" s="6">
        <v>68</v>
      </c>
      <c r="L1372" s="6">
        <v>54</v>
      </c>
      <c r="M1372" s="7">
        <v>74</v>
      </c>
      <c r="N1372" s="6">
        <v>57</v>
      </c>
      <c r="O1372" s="6">
        <v>62</v>
      </c>
    </row>
    <row r="1373" spans="1:15" ht="15" thickBot="1" x14ac:dyDescent="0.4">
      <c r="A1373" t="str">
        <f t="shared" ref="A1373:A1433" si="356">IF(LEFT(G1370,2)="FC",LEFT(G1370,5),LEFT(G1370,4))</f>
        <v>FC337</v>
      </c>
      <c r="B1373" t="str">
        <f t="shared" si="353"/>
        <v>CPAC Northeast</v>
      </c>
      <c r="C1373" s="18"/>
      <c r="D1373" s="18"/>
      <c r="E1373" s="18"/>
      <c r="F1373" s="18"/>
      <c r="G1373" s="18"/>
      <c r="H1373" s="31"/>
      <c r="I1373" s="3" t="s">
        <v>20</v>
      </c>
      <c r="J1373" s="10">
        <v>20.3</v>
      </c>
      <c r="K1373" s="10">
        <v>20.7</v>
      </c>
      <c r="L1373" s="10">
        <v>27</v>
      </c>
      <c r="M1373" s="10">
        <v>17</v>
      </c>
      <c r="N1373" s="10">
        <v>19.3</v>
      </c>
      <c r="O1373" s="10">
        <v>21.3</v>
      </c>
    </row>
    <row r="1374" spans="1:15" ht="15" thickBot="1" x14ac:dyDescent="0.4">
      <c r="A1374" t="str">
        <f t="shared" ref="A1374:A1434" si="357">IF(LEFT(G1370,2)="FC",LEFT(G1370,5),LEFT(G1370,4))</f>
        <v>FC337</v>
      </c>
      <c r="B1374" t="str">
        <f t="shared" si="353"/>
        <v>CPAC Northeast</v>
      </c>
      <c r="C1374" s="18"/>
      <c r="D1374" s="18"/>
      <c r="E1374" s="18"/>
      <c r="F1374" s="18"/>
      <c r="G1374" s="18"/>
      <c r="H1374" s="31"/>
      <c r="I1374" s="5" t="s">
        <v>21</v>
      </c>
      <c r="J1374" s="10">
        <v>1.2</v>
      </c>
      <c r="K1374" s="10">
        <v>1.0900000000000001</v>
      </c>
      <c r="L1374" s="9">
        <v>0.67</v>
      </c>
      <c r="M1374" s="10">
        <v>1.44</v>
      </c>
      <c r="N1374" s="10">
        <v>0.99</v>
      </c>
      <c r="O1374" s="10">
        <v>0.97</v>
      </c>
    </row>
    <row r="1375" spans="1:15" ht="15" thickBot="1" x14ac:dyDescent="0.4">
      <c r="A1375" t="str">
        <f t="shared" ref="A1375:A1435" si="358">IF(LEFT(G1370,2)="FC",LEFT(G1370,5),LEFT(G1370,4))</f>
        <v>FC337</v>
      </c>
      <c r="B1375" t="str">
        <f t="shared" si="353"/>
        <v>CPAC Northeast</v>
      </c>
      <c r="C1375" s="19"/>
      <c r="D1375" s="19"/>
      <c r="E1375" s="19"/>
      <c r="F1375" s="19"/>
      <c r="G1375" s="19"/>
      <c r="H1375" s="32"/>
      <c r="I1375" s="3" t="s">
        <v>22</v>
      </c>
      <c r="J1375" s="10" t="s">
        <v>24</v>
      </c>
      <c r="K1375" s="10" t="s">
        <v>24</v>
      </c>
      <c r="L1375" s="9" t="s">
        <v>25</v>
      </c>
      <c r="M1375" s="10" t="s">
        <v>24</v>
      </c>
      <c r="N1375" s="10" t="s">
        <v>24</v>
      </c>
      <c r="O1375" s="10" t="s">
        <v>24</v>
      </c>
    </row>
    <row r="1376" spans="1:15" ht="15" thickBot="1" x14ac:dyDescent="0.4">
      <c r="B1376" t="str">
        <f t="shared" si="353"/>
        <v>CPAC Northeast</v>
      </c>
      <c r="C1376" s="16"/>
      <c r="D1376" s="16"/>
      <c r="E1376" s="16"/>
      <c r="F1376" s="16"/>
      <c r="G1376" s="16" t="s">
        <v>317</v>
      </c>
      <c r="H1376" s="27" t="s">
        <v>34</v>
      </c>
      <c r="I1376" s="1"/>
      <c r="J1376" s="1"/>
      <c r="K1376" s="1"/>
      <c r="L1376" s="1"/>
      <c r="M1376" s="1"/>
      <c r="N1376" s="1"/>
      <c r="O1376" s="1"/>
    </row>
    <row r="1377" spans="1:15" ht="15" thickBot="1" x14ac:dyDescent="0.4">
      <c r="A1377" t="str">
        <f t="shared" si="354"/>
        <v>FC089</v>
      </c>
      <c r="B1377" t="str">
        <f t="shared" si="353"/>
        <v>CPAC Northeast</v>
      </c>
      <c r="C1377" s="18"/>
      <c r="D1377" s="18"/>
      <c r="E1377" s="18"/>
      <c r="F1377" s="18"/>
      <c r="G1377" s="18"/>
      <c r="H1377" s="28"/>
      <c r="I1377" s="3" t="s">
        <v>18</v>
      </c>
      <c r="J1377" s="8">
        <v>18</v>
      </c>
      <c r="K1377" s="4">
        <v>36</v>
      </c>
      <c r="L1377" s="4">
        <v>36</v>
      </c>
      <c r="M1377" s="8">
        <v>27</v>
      </c>
      <c r="N1377" s="8">
        <v>18</v>
      </c>
      <c r="O1377" s="4">
        <v>39</v>
      </c>
    </row>
    <row r="1378" spans="1:15" ht="15" thickBot="1" x14ac:dyDescent="0.4">
      <c r="A1378" t="str">
        <f t="shared" si="355"/>
        <v>FC089</v>
      </c>
      <c r="B1378" t="str">
        <f t="shared" si="353"/>
        <v>CPAC Northeast</v>
      </c>
      <c r="C1378" s="18"/>
      <c r="D1378" s="18"/>
      <c r="E1378" s="18"/>
      <c r="F1378" s="18"/>
      <c r="G1378" s="18"/>
      <c r="H1378" s="28"/>
      <c r="I1378" s="5" t="s">
        <v>19</v>
      </c>
      <c r="J1378" s="9">
        <v>108</v>
      </c>
      <c r="K1378" s="7">
        <v>75</v>
      </c>
      <c r="L1378" s="7">
        <v>89</v>
      </c>
      <c r="M1378" s="7">
        <v>74</v>
      </c>
      <c r="N1378" s="9">
        <v>198</v>
      </c>
      <c r="O1378" s="9">
        <v>94</v>
      </c>
    </row>
    <row r="1379" spans="1:15" ht="15" thickBot="1" x14ac:dyDescent="0.4">
      <c r="A1379" t="str">
        <f t="shared" si="356"/>
        <v>FC089</v>
      </c>
      <c r="B1379" t="str">
        <f t="shared" si="353"/>
        <v>CPAC Northeast</v>
      </c>
      <c r="C1379" s="18"/>
      <c r="D1379" s="18"/>
      <c r="E1379" s="18"/>
      <c r="F1379" s="18"/>
      <c r="G1379" s="18"/>
      <c r="H1379" s="28"/>
      <c r="I1379" s="3" t="s">
        <v>20</v>
      </c>
      <c r="J1379" s="10">
        <v>16.399999999999999</v>
      </c>
      <c r="K1379" s="6">
        <v>41.9</v>
      </c>
      <c r="L1379" s="10">
        <v>13.1</v>
      </c>
      <c r="M1379" s="7">
        <v>40.1</v>
      </c>
      <c r="N1379" s="8">
        <v>59</v>
      </c>
      <c r="O1379" s="10">
        <v>26.8</v>
      </c>
    </row>
    <row r="1380" spans="1:15" ht="15" thickBot="1" x14ac:dyDescent="0.4">
      <c r="A1380" t="str">
        <f t="shared" si="357"/>
        <v>FC089</v>
      </c>
      <c r="B1380" t="str">
        <f t="shared" si="353"/>
        <v>CPAC Northeast</v>
      </c>
      <c r="C1380" s="18"/>
      <c r="D1380" s="18"/>
      <c r="E1380" s="18"/>
      <c r="F1380" s="18"/>
      <c r="G1380" s="18"/>
      <c r="H1380" s="28"/>
      <c r="I1380" s="5" t="s">
        <v>21</v>
      </c>
      <c r="J1380" s="10">
        <v>2.2000000000000002</v>
      </c>
      <c r="K1380" s="9">
        <v>0.6</v>
      </c>
      <c r="L1380" s="10">
        <v>2.27</v>
      </c>
      <c r="M1380" s="9">
        <v>0.61</v>
      </c>
      <c r="N1380" s="10">
        <v>1.1200000000000001</v>
      </c>
      <c r="O1380" s="10">
        <v>1.17</v>
      </c>
    </row>
    <row r="1381" spans="1:15" ht="15" thickBot="1" x14ac:dyDescent="0.4">
      <c r="A1381" t="str">
        <f t="shared" si="358"/>
        <v>FC089</v>
      </c>
      <c r="B1381" t="str">
        <f t="shared" si="353"/>
        <v>CPAC Northeast</v>
      </c>
      <c r="C1381" s="19"/>
      <c r="D1381" s="19"/>
      <c r="E1381" s="19"/>
      <c r="F1381" s="19"/>
      <c r="G1381" s="19"/>
      <c r="H1381" s="29"/>
      <c r="I1381" s="3" t="s">
        <v>22</v>
      </c>
      <c r="J1381" s="10" t="s">
        <v>24</v>
      </c>
      <c r="K1381" s="9" t="s">
        <v>25</v>
      </c>
      <c r="L1381" s="10" t="s">
        <v>24</v>
      </c>
      <c r="M1381" s="9" t="s">
        <v>25</v>
      </c>
      <c r="N1381" s="10" t="s">
        <v>24</v>
      </c>
      <c r="O1381" s="10" t="s">
        <v>24</v>
      </c>
    </row>
    <row r="1382" spans="1:15" ht="15" thickBot="1" x14ac:dyDescent="0.4">
      <c r="B1382" t="str">
        <f t="shared" si="353"/>
        <v>CPAC Northeast</v>
      </c>
      <c r="C1382" s="16"/>
      <c r="D1382" s="16"/>
      <c r="E1382" s="16"/>
      <c r="F1382" s="16"/>
      <c r="G1382" s="16" t="s">
        <v>318</v>
      </c>
      <c r="H1382" s="27" t="s">
        <v>34</v>
      </c>
      <c r="I1382" s="1"/>
      <c r="J1382" s="1"/>
      <c r="K1382" s="1"/>
      <c r="L1382" s="1"/>
      <c r="M1382" s="1"/>
      <c r="N1382" s="1"/>
      <c r="O1382" s="1"/>
    </row>
    <row r="1383" spans="1:15" ht="15" thickBot="1" x14ac:dyDescent="0.4">
      <c r="A1383" t="str">
        <f t="shared" si="354"/>
        <v>FC296</v>
      </c>
      <c r="B1383" t="str">
        <f t="shared" si="353"/>
        <v>CPAC Northeast</v>
      </c>
      <c r="C1383" s="18"/>
      <c r="D1383" s="18"/>
      <c r="E1383" s="18"/>
      <c r="F1383" s="18"/>
      <c r="G1383" s="18"/>
      <c r="H1383" s="28"/>
      <c r="I1383" s="3" t="s">
        <v>18</v>
      </c>
      <c r="J1383" s="4">
        <v>42</v>
      </c>
      <c r="K1383" s="4">
        <v>42</v>
      </c>
      <c r="L1383" s="4">
        <v>42</v>
      </c>
      <c r="M1383" s="4">
        <v>42</v>
      </c>
      <c r="N1383" s="4">
        <v>42</v>
      </c>
      <c r="O1383" s="4">
        <v>42</v>
      </c>
    </row>
    <row r="1384" spans="1:15" ht="15" thickBot="1" x14ac:dyDescent="0.4">
      <c r="A1384" t="str">
        <f t="shared" si="355"/>
        <v>FC296</v>
      </c>
      <c r="B1384" t="str">
        <f t="shared" si="353"/>
        <v>CPAC Northeast</v>
      </c>
      <c r="C1384" s="18"/>
      <c r="D1384" s="18"/>
      <c r="E1384" s="18"/>
      <c r="F1384" s="18"/>
      <c r="G1384" s="18"/>
      <c r="H1384" s="28"/>
      <c r="I1384" s="5" t="s">
        <v>19</v>
      </c>
      <c r="J1384" s="8">
        <v>44</v>
      </c>
      <c r="K1384" s="8">
        <v>46</v>
      </c>
      <c r="L1384" s="8">
        <v>39</v>
      </c>
      <c r="M1384" s="8">
        <v>46</v>
      </c>
      <c r="N1384" s="8">
        <v>41</v>
      </c>
      <c r="O1384" s="8">
        <v>43</v>
      </c>
    </row>
    <row r="1385" spans="1:15" ht="15" thickBot="1" x14ac:dyDescent="0.4">
      <c r="A1385" t="str">
        <f t="shared" si="356"/>
        <v>FC296</v>
      </c>
      <c r="B1385" t="str">
        <f t="shared" si="353"/>
        <v>CPAC Northeast</v>
      </c>
      <c r="C1385" s="18"/>
      <c r="D1385" s="18"/>
      <c r="E1385" s="18"/>
      <c r="F1385" s="18"/>
      <c r="G1385" s="18"/>
      <c r="H1385" s="28"/>
      <c r="I1385" s="3" t="s">
        <v>20</v>
      </c>
      <c r="J1385" s="10">
        <v>14.3</v>
      </c>
      <c r="K1385" s="10">
        <v>16.7</v>
      </c>
      <c r="L1385" s="10">
        <v>19.7</v>
      </c>
      <c r="M1385" s="10">
        <v>20.6</v>
      </c>
      <c r="N1385" s="10">
        <v>16.899999999999999</v>
      </c>
      <c r="O1385" s="10">
        <v>17.399999999999999</v>
      </c>
    </row>
    <row r="1386" spans="1:15" ht="15" thickBot="1" x14ac:dyDescent="0.4">
      <c r="A1386" t="str">
        <f t="shared" si="357"/>
        <v>FC296</v>
      </c>
      <c r="B1386" t="str">
        <f t="shared" si="353"/>
        <v>CPAC Northeast</v>
      </c>
      <c r="C1386" s="18"/>
      <c r="D1386" s="18"/>
      <c r="E1386" s="18"/>
      <c r="F1386" s="18"/>
      <c r="G1386" s="18"/>
      <c r="H1386" s="28"/>
      <c r="I1386" s="5" t="s">
        <v>21</v>
      </c>
      <c r="J1386" s="10">
        <v>1.02</v>
      </c>
      <c r="K1386" s="10">
        <v>0.91</v>
      </c>
      <c r="L1386" s="9">
        <v>0.66</v>
      </c>
      <c r="M1386" s="9">
        <v>0.74</v>
      </c>
      <c r="N1386" s="10">
        <v>0.81</v>
      </c>
      <c r="O1386" s="10">
        <v>0.83</v>
      </c>
    </row>
    <row r="1387" spans="1:15" ht="15" thickBot="1" x14ac:dyDescent="0.4">
      <c r="A1387" t="str">
        <f t="shared" si="358"/>
        <v>FC296</v>
      </c>
      <c r="B1387" t="str">
        <f t="shared" si="353"/>
        <v>CPAC Northeast</v>
      </c>
      <c r="C1387" s="19"/>
      <c r="D1387" s="19"/>
      <c r="E1387" s="19"/>
      <c r="F1387" s="19"/>
      <c r="G1387" s="19"/>
      <c r="H1387" s="29"/>
      <c r="I1387" s="3" t="s">
        <v>22</v>
      </c>
      <c r="J1387" s="9" t="s">
        <v>25</v>
      </c>
      <c r="K1387" s="9" t="s">
        <v>25</v>
      </c>
      <c r="L1387" s="9" t="s">
        <v>25</v>
      </c>
      <c r="M1387" s="9" t="s">
        <v>25</v>
      </c>
      <c r="N1387" s="9" t="s">
        <v>25</v>
      </c>
      <c r="O1387" s="9" t="s">
        <v>25</v>
      </c>
    </row>
    <row r="1388" spans="1:15" ht="15" thickBot="1" x14ac:dyDescent="0.4">
      <c r="B1388" t="str">
        <f t="shared" si="353"/>
        <v>CPAC Northeast</v>
      </c>
      <c r="C1388" s="16"/>
      <c r="D1388" s="16"/>
      <c r="E1388" s="16"/>
      <c r="F1388" s="16"/>
      <c r="G1388" s="16" t="s">
        <v>319</v>
      </c>
      <c r="H1388" s="27" t="s">
        <v>34</v>
      </c>
      <c r="I1388" s="1"/>
      <c r="J1388" s="1"/>
      <c r="K1388" s="1"/>
      <c r="L1388" s="1"/>
      <c r="M1388" s="1"/>
      <c r="N1388" s="1"/>
      <c r="O1388" s="1"/>
    </row>
    <row r="1389" spans="1:15" ht="15" thickBot="1" x14ac:dyDescent="0.4">
      <c r="A1389" t="str">
        <f t="shared" si="354"/>
        <v>FC286</v>
      </c>
      <c r="B1389" t="str">
        <f t="shared" si="353"/>
        <v>CPAC Northeast</v>
      </c>
      <c r="C1389" s="18"/>
      <c r="D1389" s="18"/>
      <c r="E1389" s="18"/>
      <c r="F1389" s="18"/>
      <c r="G1389" s="18"/>
      <c r="H1389" s="28"/>
      <c r="I1389" s="3" t="s">
        <v>18</v>
      </c>
      <c r="J1389" s="4">
        <v>30</v>
      </c>
      <c r="K1389" s="4">
        <v>30</v>
      </c>
      <c r="L1389" s="4">
        <v>30</v>
      </c>
      <c r="M1389" s="4">
        <v>30</v>
      </c>
      <c r="N1389" s="4">
        <v>30</v>
      </c>
      <c r="O1389" s="4">
        <v>30</v>
      </c>
    </row>
    <row r="1390" spans="1:15" ht="15" thickBot="1" x14ac:dyDescent="0.4">
      <c r="A1390" t="str">
        <f t="shared" si="355"/>
        <v>FC286</v>
      </c>
      <c r="B1390" t="str">
        <f t="shared" si="353"/>
        <v>CPAC Northeast</v>
      </c>
      <c r="C1390" s="18"/>
      <c r="D1390" s="18"/>
      <c r="E1390" s="18"/>
      <c r="F1390" s="18"/>
      <c r="G1390" s="18"/>
      <c r="H1390" s="28"/>
      <c r="I1390" s="5" t="s">
        <v>19</v>
      </c>
      <c r="J1390" s="6">
        <v>69</v>
      </c>
      <c r="K1390" s="7">
        <v>78</v>
      </c>
      <c r="L1390" s="6">
        <v>64</v>
      </c>
      <c r="M1390" s="6">
        <v>63</v>
      </c>
      <c r="N1390" s="7">
        <v>76</v>
      </c>
      <c r="O1390" s="7">
        <v>75</v>
      </c>
    </row>
    <row r="1391" spans="1:15" ht="15" thickBot="1" x14ac:dyDescent="0.4">
      <c r="A1391" t="str">
        <f t="shared" si="356"/>
        <v>FC286</v>
      </c>
      <c r="B1391" t="str">
        <f t="shared" si="353"/>
        <v>CPAC Northeast</v>
      </c>
      <c r="C1391" s="18"/>
      <c r="D1391" s="18"/>
      <c r="E1391" s="18"/>
      <c r="F1391" s="18"/>
      <c r="G1391" s="18"/>
      <c r="H1391" s="28"/>
      <c r="I1391" s="3" t="s">
        <v>20</v>
      </c>
      <c r="J1391" s="10">
        <v>22.8</v>
      </c>
      <c r="K1391" s="10">
        <v>26.8</v>
      </c>
      <c r="L1391" s="10">
        <v>21.6</v>
      </c>
      <c r="M1391" s="10">
        <v>26.1</v>
      </c>
      <c r="N1391" s="10">
        <v>27.3</v>
      </c>
      <c r="O1391" s="10">
        <v>21.9</v>
      </c>
    </row>
    <row r="1392" spans="1:15" ht="15" thickBot="1" x14ac:dyDescent="0.4">
      <c r="A1392" t="str">
        <f t="shared" si="357"/>
        <v>FC286</v>
      </c>
      <c r="B1392" t="str">
        <f t="shared" si="353"/>
        <v>CPAC Northeast</v>
      </c>
      <c r="C1392" s="18"/>
      <c r="D1392" s="18"/>
      <c r="E1392" s="18"/>
      <c r="F1392" s="18"/>
      <c r="G1392" s="18"/>
      <c r="H1392" s="28"/>
      <c r="I1392" s="5" t="s">
        <v>21</v>
      </c>
      <c r="J1392" s="10">
        <v>1.01</v>
      </c>
      <c r="K1392" s="10">
        <v>0.96</v>
      </c>
      <c r="L1392" s="10">
        <v>0.99</v>
      </c>
      <c r="M1392" s="10">
        <v>0.8</v>
      </c>
      <c r="N1392" s="10">
        <v>0.93</v>
      </c>
      <c r="O1392" s="10">
        <v>1.1499999999999999</v>
      </c>
    </row>
    <row r="1393" spans="1:15" ht="15" thickBot="1" x14ac:dyDescent="0.4">
      <c r="A1393" t="str">
        <f t="shared" si="358"/>
        <v>FC286</v>
      </c>
      <c r="B1393" t="str">
        <f t="shared" si="353"/>
        <v>CPAC Northeast</v>
      </c>
      <c r="C1393" s="19"/>
      <c r="D1393" s="19"/>
      <c r="E1393" s="19"/>
      <c r="F1393" s="19"/>
      <c r="G1393" s="19"/>
      <c r="H1393" s="29"/>
      <c r="I1393" s="3" t="s">
        <v>22</v>
      </c>
      <c r="J1393" s="10" t="s">
        <v>24</v>
      </c>
      <c r="K1393" s="10" t="s">
        <v>24</v>
      </c>
      <c r="L1393" s="10" t="s">
        <v>24</v>
      </c>
      <c r="M1393" s="9" t="s">
        <v>25</v>
      </c>
      <c r="N1393" s="10" t="s">
        <v>24</v>
      </c>
      <c r="O1393" s="10" t="s">
        <v>24</v>
      </c>
    </row>
    <row r="1394" spans="1:15" ht="15" thickBot="1" x14ac:dyDescent="0.4">
      <c r="B1394" t="str">
        <f t="shared" si="353"/>
        <v>CPAC Northeast</v>
      </c>
      <c r="C1394" s="16"/>
      <c r="D1394" s="16"/>
      <c r="E1394" s="16"/>
      <c r="F1394" s="16"/>
      <c r="G1394" s="16" t="s">
        <v>320</v>
      </c>
      <c r="H1394" s="20" t="s">
        <v>17</v>
      </c>
      <c r="I1394" s="1"/>
      <c r="J1394" s="1"/>
      <c r="K1394" s="1"/>
      <c r="L1394" s="1"/>
      <c r="M1394" s="1"/>
      <c r="N1394" s="1"/>
      <c r="O1394" s="1"/>
    </row>
    <row r="1395" spans="1:15" ht="15" thickBot="1" x14ac:dyDescent="0.4">
      <c r="A1395" t="str">
        <f t="shared" si="354"/>
        <v>FC242</v>
      </c>
      <c r="B1395" t="str">
        <f t="shared" si="353"/>
        <v>CPAC Northeast</v>
      </c>
      <c r="C1395" s="18"/>
      <c r="D1395" s="18"/>
      <c r="E1395" s="18"/>
      <c r="F1395" s="18"/>
      <c r="G1395" s="18"/>
      <c r="H1395" s="22"/>
      <c r="I1395" s="3" t="s">
        <v>18</v>
      </c>
      <c r="J1395" s="4">
        <v>36</v>
      </c>
      <c r="K1395" s="11"/>
      <c r="L1395" s="4">
        <v>31</v>
      </c>
      <c r="M1395" s="11"/>
      <c r="N1395" s="11"/>
      <c r="O1395" s="4">
        <v>31</v>
      </c>
    </row>
    <row r="1396" spans="1:15" ht="15" thickBot="1" x14ac:dyDescent="0.4">
      <c r="A1396" t="str">
        <f t="shared" si="355"/>
        <v>FC242</v>
      </c>
      <c r="B1396" t="str">
        <f t="shared" si="353"/>
        <v>CPAC Northeast</v>
      </c>
      <c r="C1396" s="18"/>
      <c r="D1396" s="18"/>
      <c r="E1396" s="18"/>
      <c r="F1396" s="18"/>
      <c r="G1396" s="18"/>
      <c r="H1396" s="22"/>
      <c r="I1396" s="5" t="s">
        <v>19</v>
      </c>
      <c r="J1396" s="8">
        <v>49</v>
      </c>
      <c r="K1396" s="11"/>
      <c r="L1396" s="8">
        <v>41</v>
      </c>
      <c r="M1396" s="11"/>
      <c r="N1396" s="11"/>
      <c r="O1396" s="8">
        <v>46</v>
      </c>
    </row>
    <row r="1397" spans="1:15" ht="15" thickBot="1" x14ac:dyDescent="0.4">
      <c r="A1397" t="str">
        <f t="shared" si="356"/>
        <v>FC242</v>
      </c>
      <c r="B1397" t="str">
        <f t="shared" si="353"/>
        <v>CPAC Northeast</v>
      </c>
      <c r="C1397" s="18"/>
      <c r="D1397" s="18"/>
      <c r="E1397" s="18"/>
      <c r="F1397" s="18"/>
      <c r="G1397" s="18"/>
      <c r="H1397" s="22"/>
      <c r="I1397" s="3" t="s">
        <v>20</v>
      </c>
      <c r="J1397" s="10">
        <v>19.100000000000001</v>
      </c>
      <c r="K1397" s="11"/>
      <c r="L1397" s="10">
        <v>12.4</v>
      </c>
      <c r="M1397" s="11"/>
      <c r="N1397" s="11"/>
      <c r="O1397" s="10">
        <v>18.100000000000001</v>
      </c>
    </row>
    <row r="1398" spans="1:15" ht="15" thickBot="1" x14ac:dyDescent="0.4">
      <c r="A1398" t="str">
        <f t="shared" si="357"/>
        <v>FC242</v>
      </c>
      <c r="B1398" t="str">
        <f t="shared" si="353"/>
        <v>CPAC Northeast</v>
      </c>
      <c r="C1398" s="18"/>
      <c r="D1398" s="18"/>
      <c r="E1398" s="18"/>
      <c r="F1398" s="18"/>
      <c r="G1398" s="18"/>
      <c r="H1398" s="22"/>
      <c r="I1398" s="5" t="s">
        <v>21</v>
      </c>
      <c r="J1398" s="10">
        <v>0.85</v>
      </c>
      <c r="K1398" s="11"/>
      <c r="L1398" s="10">
        <v>1.1100000000000001</v>
      </c>
      <c r="M1398" s="11"/>
      <c r="N1398" s="11"/>
      <c r="O1398" s="10">
        <v>0.85</v>
      </c>
    </row>
    <row r="1399" spans="1:15" ht="15" thickBot="1" x14ac:dyDescent="0.4">
      <c r="A1399" t="str">
        <f t="shared" si="358"/>
        <v>FC242</v>
      </c>
      <c r="B1399" t="str">
        <f t="shared" si="353"/>
        <v>CPAC Northeast</v>
      </c>
      <c r="C1399" s="19"/>
      <c r="D1399" s="19"/>
      <c r="E1399" s="19"/>
      <c r="F1399" s="19"/>
      <c r="G1399" s="19"/>
      <c r="H1399" s="23"/>
      <c r="I1399" s="3" t="s">
        <v>22</v>
      </c>
      <c r="J1399" s="9" t="s">
        <v>25</v>
      </c>
      <c r="K1399" s="11" t="s">
        <v>45</v>
      </c>
      <c r="L1399" s="10" t="s">
        <v>24</v>
      </c>
      <c r="M1399" s="11" t="s">
        <v>31</v>
      </c>
      <c r="N1399" s="11" t="s">
        <v>45</v>
      </c>
      <c r="O1399" s="11"/>
    </row>
    <row r="1400" spans="1:15" ht="15" thickBot="1" x14ac:dyDescent="0.4">
      <c r="B1400" t="str">
        <f t="shared" si="353"/>
        <v>CPAC Northeast</v>
      </c>
      <c r="C1400" s="16"/>
      <c r="D1400" s="16"/>
      <c r="E1400" s="16"/>
      <c r="F1400" s="16"/>
      <c r="G1400" s="16" t="s">
        <v>321</v>
      </c>
      <c r="H1400" s="27" t="s">
        <v>34</v>
      </c>
      <c r="I1400" s="1"/>
      <c r="J1400" s="1"/>
      <c r="K1400" s="1"/>
      <c r="L1400" s="1"/>
      <c r="M1400" s="1"/>
      <c r="N1400" s="1"/>
      <c r="O1400" s="1"/>
    </row>
    <row r="1401" spans="1:15" ht="15" thickBot="1" x14ac:dyDescent="0.4">
      <c r="A1401" t="str">
        <f t="shared" si="354"/>
        <v>14H3</v>
      </c>
      <c r="B1401" t="str">
        <f t="shared" si="353"/>
        <v>CPAC Northeast</v>
      </c>
      <c r="C1401" s="18"/>
      <c r="D1401" s="18"/>
      <c r="E1401" s="18"/>
      <c r="F1401" s="18"/>
      <c r="G1401" s="18"/>
      <c r="H1401" s="28"/>
      <c r="I1401" s="3" t="s">
        <v>18</v>
      </c>
      <c r="J1401" s="4">
        <v>36</v>
      </c>
      <c r="K1401" s="4">
        <v>35</v>
      </c>
      <c r="L1401" s="4">
        <v>30</v>
      </c>
      <c r="M1401" s="4">
        <v>30</v>
      </c>
      <c r="N1401" s="8">
        <v>24</v>
      </c>
      <c r="O1401" s="4">
        <v>32</v>
      </c>
    </row>
    <row r="1402" spans="1:15" ht="15" thickBot="1" x14ac:dyDescent="0.4">
      <c r="A1402" t="str">
        <f t="shared" si="355"/>
        <v>14H3</v>
      </c>
      <c r="B1402" t="str">
        <f t="shared" si="353"/>
        <v>CPAC Northeast</v>
      </c>
      <c r="C1402" s="18"/>
      <c r="D1402" s="18"/>
      <c r="E1402" s="18"/>
      <c r="F1402" s="18"/>
      <c r="G1402" s="18"/>
      <c r="H1402" s="28"/>
      <c r="I1402" s="5" t="s">
        <v>19</v>
      </c>
      <c r="J1402" s="6">
        <v>67</v>
      </c>
      <c r="K1402" s="6">
        <v>57</v>
      </c>
      <c r="L1402" s="6">
        <v>50</v>
      </c>
      <c r="M1402" s="6">
        <v>50</v>
      </c>
      <c r="N1402" s="8">
        <v>48</v>
      </c>
      <c r="O1402" s="6">
        <v>52</v>
      </c>
    </row>
    <row r="1403" spans="1:15" ht="15" thickBot="1" x14ac:dyDescent="0.4">
      <c r="A1403" t="str">
        <f t="shared" si="356"/>
        <v>14H3</v>
      </c>
      <c r="B1403" t="str">
        <f t="shared" si="353"/>
        <v>CPAC Northeast</v>
      </c>
      <c r="C1403" s="18"/>
      <c r="D1403" s="18"/>
      <c r="E1403" s="18"/>
      <c r="F1403" s="18"/>
      <c r="G1403" s="18"/>
      <c r="H1403" s="28"/>
      <c r="I1403" s="3" t="s">
        <v>20</v>
      </c>
      <c r="J1403" s="10">
        <v>14.5</v>
      </c>
      <c r="K1403" s="10">
        <v>17</v>
      </c>
      <c r="L1403" s="10">
        <v>14.1</v>
      </c>
      <c r="M1403" s="10">
        <v>18.100000000000001</v>
      </c>
      <c r="N1403" s="10">
        <v>23.6</v>
      </c>
      <c r="O1403" s="10">
        <v>21.8</v>
      </c>
    </row>
    <row r="1404" spans="1:15" ht="15" thickBot="1" x14ac:dyDescent="0.4">
      <c r="A1404" t="str">
        <f t="shared" si="357"/>
        <v>14H3</v>
      </c>
      <c r="B1404" t="str">
        <f t="shared" si="353"/>
        <v>CPAC Northeast</v>
      </c>
      <c r="C1404" s="18"/>
      <c r="D1404" s="18"/>
      <c r="E1404" s="18"/>
      <c r="F1404" s="18"/>
      <c r="G1404" s="18"/>
      <c r="H1404" s="28"/>
      <c r="I1404" s="5" t="s">
        <v>21</v>
      </c>
      <c r="J1404" s="10">
        <v>1.53</v>
      </c>
      <c r="K1404" s="10">
        <v>1.1100000000000001</v>
      </c>
      <c r="L1404" s="10">
        <v>1.18</v>
      </c>
      <c r="M1404" s="10">
        <v>0.91</v>
      </c>
      <c r="N1404" s="9">
        <v>0.68</v>
      </c>
      <c r="O1404" s="10">
        <v>0.8</v>
      </c>
    </row>
    <row r="1405" spans="1:15" ht="15" thickBot="1" x14ac:dyDescent="0.4">
      <c r="A1405" t="str">
        <f t="shared" si="358"/>
        <v>14H3</v>
      </c>
      <c r="B1405" t="str">
        <f t="shared" si="353"/>
        <v>CPAC Northeast</v>
      </c>
      <c r="C1405" s="19"/>
      <c r="D1405" s="19"/>
      <c r="E1405" s="19"/>
      <c r="F1405" s="19"/>
      <c r="G1405" s="19"/>
      <c r="H1405" s="29"/>
      <c r="I1405" s="3" t="s">
        <v>22</v>
      </c>
      <c r="J1405" s="10" t="s">
        <v>24</v>
      </c>
      <c r="K1405" s="10" t="s">
        <v>24</v>
      </c>
      <c r="L1405" s="10" t="s">
        <v>24</v>
      </c>
      <c r="M1405" s="9" t="s">
        <v>25</v>
      </c>
      <c r="N1405" s="9" t="s">
        <v>25</v>
      </c>
      <c r="O1405" s="9" t="s">
        <v>25</v>
      </c>
    </row>
    <row r="1406" spans="1:15" ht="15" thickBot="1" x14ac:dyDescent="0.4">
      <c r="B1406" t="str">
        <f t="shared" si="353"/>
        <v>CPAC Northeast</v>
      </c>
      <c r="C1406" s="16"/>
      <c r="D1406" s="16"/>
      <c r="E1406" s="16"/>
      <c r="F1406" s="16"/>
      <c r="G1406" s="16" t="s">
        <v>322</v>
      </c>
      <c r="H1406" s="30" t="s">
        <v>39</v>
      </c>
      <c r="I1406" s="1"/>
      <c r="J1406" s="1"/>
      <c r="K1406" s="1"/>
      <c r="L1406" s="1"/>
      <c r="M1406" s="1"/>
      <c r="N1406" s="1"/>
      <c r="O1406" s="1"/>
    </row>
    <row r="1407" spans="1:15" ht="15" thickBot="1" x14ac:dyDescent="0.4">
      <c r="A1407" t="str">
        <f t="shared" si="354"/>
        <v>FC363</v>
      </c>
      <c r="B1407" t="str">
        <f t="shared" si="353"/>
        <v>CPAC Northeast</v>
      </c>
      <c r="C1407" s="18"/>
      <c r="D1407" s="18"/>
      <c r="E1407" s="18"/>
      <c r="F1407" s="18"/>
      <c r="G1407" s="18"/>
      <c r="H1407" s="31"/>
      <c r="I1407" s="3" t="s">
        <v>18</v>
      </c>
      <c r="J1407" s="4">
        <v>36</v>
      </c>
      <c r="K1407" s="4">
        <v>36</v>
      </c>
      <c r="L1407" s="4">
        <v>36</v>
      </c>
      <c r="M1407" s="4">
        <v>36</v>
      </c>
      <c r="N1407" s="4">
        <v>36</v>
      </c>
      <c r="O1407" s="4">
        <v>36</v>
      </c>
    </row>
    <row r="1408" spans="1:15" ht="15" thickBot="1" x14ac:dyDescent="0.4">
      <c r="A1408" t="str">
        <f t="shared" si="355"/>
        <v>FC363</v>
      </c>
      <c r="B1408" t="str">
        <f t="shared" si="353"/>
        <v>CPAC Northeast</v>
      </c>
      <c r="C1408" s="18"/>
      <c r="D1408" s="18"/>
      <c r="E1408" s="18"/>
      <c r="F1408" s="18"/>
      <c r="G1408" s="18"/>
      <c r="H1408" s="31"/>
      <c r="I1408" s="5" t="s">
        <v>19</v>
      </c>
      <c r="J1408" s="9">
        <v>168</v>
      </c>
      <c r="K1408" s="9">
        <v>114</v>
      </c>
      <c r="L1408" s="9">
        <v>108</v>
      </c>
      <c r="M1408" s="9">
        <v>125</v>
      </c>
      <c r="N1408" s="9">
        <v>91</v>
      </c>
      <c r="O1408" s="9">
        <v>131</v>
      </c>
    </row>
    <row r="1409" spans="1:15" ht="15" thickBot="1" x14ac:dyDescent="0.4">
      <c r="A1409" t="str">
        <f t="shared" si="356"/>
        <v>FC363</v>
      </c>
      <c r="B1409" t="str">
        <f t="shared" si="353"/>
        <v>CPAC Northeast</v>
      </c>
      <c r="C1409" s="18"/>
      <c r="D1409" s="18"/>
      <c r="E1409" s="18"/>
      <c r="F1409" s="18"/>
      <c r="G1409" s="18"/>
      <c r="H1409" s="31"/>
      <c r="I1409" s="3" t="s">
        <v>20</v>
      </c>
      <c r="J1409" s="7">
        <v>39.4</v>
      </c>
      <c r="K1409" s="9">
        <v>32.1</v>
      </c>
      <c r="L1409" s="10">
        <v>24</v>
      </c>
      <c r="M1409" s="9">
        <v>34.5</v>
      </c>
      <c r="N1409" s="7">
        <v>40.1</v>
      </c>
      <c r="O1409" s="9">
        <v>30.1</v>
      </c>
    </row>
    <row r="1410" spans="1:15" ht="15" thickBot="1" x14ac:dyDescent="0.4">
      <c r="A1410" t="str">
        <f t="shared" si="357"/>
        <v>FC363</v>
      </c>
      <c r="B1410" t="str">
        <f t="shared" si="353"/>
        <v>CPAC Northeast</v>
      </c>
      <c r="C1410" s="18"/>
      <c r="D1410" s="18"/>
      <c r="E1410" s="18"/>
      <c r="F1410" s="18"/>
      <c r="G1410" s="18"/>
      <c r="H1410" s="31"/>
      <c r="I1410" s="5" t="s">
        <v>21</v>
      </c>
      <c r="J1410" s="10">
        <v>1.42</v>
      </c>
      <c r="K1410" s="10">
        <v>1.18</v>
      </c>
      <c r="L1410" s="10">
        <v>1.5</v>
      </c>
      <c r="M1410" s="10">
        <v>1.2</v>
      </c>
      <c r="N1410" s="9">
        <v>0.76</v>
      </c>
      <c r="O1410" s="10">
        <v>1.45</v>
      </c>
    </row>
    <row r="1411" spans="1:15" ht="15" thickBot="1" x14ac:dyDescent="0.4">
      <c r="A1411" t="str">
        <f t="shared" si="358"/>
        <v>FC363</v>
      </c>
      <c r="B1411" t="str">
        <f t="shared" si="353"/>
        <v>CPAC Northeast</v>
      </c>
      <c r="C1411" s="19"/>
      <c r="D1411" s="19"/>
      <c r="E1411" s="19"/>
      <c r="F1411" s="19"/>
      <c r="G1411" s="19"/>
      <c r="H1411" s="32"/>
      <c r="I1411" s="3" t="s">
        <v>22</v>
      </c>
      <c r="J1411" s="10" t="s">
        <v>24</v>
      </c>
      <c r="K1411" s="10" t="s">
        <v>24</v>
      </c>
      <c r="L1411" s="10" t="s">
        <v>24</v>
      </c>
      <c r="M1411" s="10" t="s">
        <v>24</v>
      </c>
      <c r="N1411" s="10" t="s">
        <v>24</v>
      </c>
      <c r="O1411" s="10" t="s">
        <v>24</v>
      </c>
    </row>
    <row r="1412" spans="1:15" ht="15" thickBot="1" x14ac:dyDescent="0.4">
      <c r="B1412" t="str">
        <f t="shared" si="353"/>
        <v>CPAC Northeast</v>
      </c>
      <c r="C1412" s="16"/>
      <c r="D1412" s="16"/>
      <c r="E1412" s="16"/>
      <c r="F1412" s="16"/>
      <c r="G1412" s="16" t="s">
        <v>323</v>
      </c>
      <c r="H1412" s="30" t="s">
        <v>39</v>
      </c>
      <c r="I1412" s="1"/>
      <c r="J1412" s="1"/>
      <c r="K1412" s="1"/>
      <c r="L1412" s="1"/>
      <c r="M1412" s="1"/>
      <c r="N1412" s="1"/>
      <c r="O1412" s="1"/>
    </row>
    <row r="1413" spans="1:15" ht="15" thickBot="1" x14ac:dyDescent="0.4">
      <c r="A1413" t="str">
        <f t="shared" si="354"/>
        <v>FC336</v>
      </c>
      <c r="B1413" t="str">
        <f t="shared" si="353"/>
        <v>CPAC Northeast</v>
      </c>
      <c r="C1413" s="18"/>
      <c r="D1413" s="18"/>
      <c r="E1413" s="18"/>
      <c r="F1413" s="18"/>
      <c r="G1413" s="18"/>
      <c r="H1413" s="31"/>
      <c r="I1413" s="3" t="s">
        <v>18</v>
      </c>
      <c r="J1413" s="8">
        <v>18</v>
      </c>
      <c r="K1413" s="8">
        <v>18</v>
      </c>
      <c r="L1413" s="8">
        <v>18</v>
      </c>
      <c r="M1413" s="8">
        <v>18</v>
      </c>
      <c r="N1413" s="8">
        <v>18</v>
      </c>
      <c r="O1413" s="8">
        <v>18</v>
      </c>
    </row>
    <row r="1414" spans="1:15" ht="15" thickBot="1" x14ac:dyDescent="0.4">
      <c r="A1414" t="str">
        <f t="shared" si="355"/>
        <v>FC336</v>
      </c>
      <c r="B1414" t="str">
        <f t="shared" si="353"/>
        <v>CPAC Northeast</v>
      </c>
      <c r="C1414" s="18"/>
      <c r="D1414" s="18"/>
      <c r="E1414" s="18"/>
      <c r="F1414" s="18"/>
      <c r="G1414" s="18"/>
      <c r="H1414" s="31"/>
      <c r="I1414" s="5" t="s">
        <v>19</v>
      </c>
      <c r="J1414" s="9">
        <v>105</v>
      </c>
      <c r="K1414" s="9">
        <v>108</v>
      </c>
      <c r="L1414" s="7">
        <v>88</v>
      </c>
      <c r="M1414" s="9">
        <v>100</v>
      </c>
      <c r="N1414" s="9">
        <v>105</v>
      </c>
      <c r="O1414" s="9">
        <v>111</v>
      </c>
    </row>
    <row r="1415" spans="1:15" ht="15" thickBot="1" x14ac:dyDescent="0.4">
      <c r="A1415" t="str">
        <f t="shared" si="356"/>
        <v>FC336</v>
      </c>
      <c r="B1415" t="str">
        <f t="shared" si="353"/>
        <v>CPAC Northeast</v>
      </c>
      <c r="C1415" s="18"/>
      <c r="D1415" s="18"/>
      <c r="E1415" s="18"/>
      <c r="F1415" s="18"/>
      <c r="G1415" s="18"/>
      <c r="H1415" s="31"/>
      <c r="I1415" s="3" t="s">
        <v>20</v>
      </c>
      <c r="J1415" s="10">
        <v>21.6</v>
      </c>
      <c r="K1415" s="10">
        <v>12.7</v>
      </c>
      <c r="L1415" s="10">
        <v>14.9</v>
      </c>
      <c r="M1415" s="10">
        <v>19.399999999999999</v>
      </c>
      <c r="N1415" s="9">
        <v>28.8</v>
      </c>
      <c r="O1415" s="10">
        <v>24.6</v>
      </c>
    </row>
    <row r="1416" spans="1:15" ht="15" thickBot="1" x14ac:dyDescent="0.4">
      <c r="A1416" t="str">
        <f t="shared" si="357"/>
        <v>FC336</v>
      </c>
      <c r="B1416" t="str">
        <f t="shared" si="353"/>
        <v>CPAC Northeast</v>
      </c>
      <c r="C1416" s="18"/>
      <c r="D1416" s="18"/>
      <c r="E1416" s="18"/>
      <c r="F1416" s="18"/>
      <c r="G1416" s="18"/>
      <c r="H1416" s="31"/>
      <c r="I1416" s="5" t="s">
        <v>21</v>
      </c>
      <c r="J1416" s="10">
        <v>1.62</v>
      </c>
      <c r="K1416" s="10">
        <v>2.84</v>
      </c>
      <c r="L1416" s="10">
        <v>1.97</v>
      </c>
      <c r="M1416" s="10">
        <v>1.72</v>
      </c>
      <c r="N1416" s="10">
        <v>1.22</v>
      </c>
      <c r="O1416" s="10">
        <v>1.5</v>
      </c>
    </row>
    <row r="1417" spans="1:15" ht="15" thickBot="1" x14ac:dyDescent="0.4">
      <c r="A1417" t="str">
        <f t="shared" si="358"/>
        <v>FC336</v>
      </c>
      <c r="B1417" t="str">
        <f t="shared" si="353"/>
        <v>CPAC Northeast</v>
      </c>
      <c r="C1417" s="19"/>
      <c r="D1417" s="19"/>
      <c r="E1417" s="19"/>
      <c r="F1417" s="19"/>
      <c r="G1417" s="19"/>
      <c r="H1417" s="32"/>
      <c r="I1417" s="3" t="s">
        <v>22</v>
      </c>
      <c r="J1417" s="10" t="s">
        <v>24</v>
      </c>
      <c r="K1417" s="10" t="s">
        <v>24</v>
      </c>
      <c r="L1417" s="10" t="s">
        <v>24</v>
      </c>
      <c r="M1417" s="10" t="s">
        <v>24</v>
      </c>
      <c r="N1417" s="10" t="s">
        <v>24</v>
      </c>
      <c r="O1417" s="10" t="s">
        <v>24</v>
      </c>
    </row>
    <row r="1418" spans="1:15" ht="15" thickBot="1" x14ac:dyDescent="0.4">
      <c r="B1418" t="str">
        <f t="shared" si="353"/>
        <v>CPAC Northeast</v>
      </c>
      <c r="C1418" s="16"/>
      <c r="D1418" s="16"/>
      <c r="E1418" s="16"/>
      <c r="F1418" s="16"/>
      <c r="G1418" s="16" t="s">
        <v>324</v>
      </c>
      <c r="H1418" s="20" t="s">
        <v>17</v>
      </c>
      <c r="I1418" s="1"/>
      <c r="J1418" s="1"/>
      <c r="K1418" s="1"/>
      <c r="L1418" s="1"/>
      <c r="M1418" s="1"/>
      <c r="N1418" s="1"/>
      <c r="O1418" s="1"/>
    </row>
    <row r="1419" spans="1:15" ht="15" thickBot="1" x14ac:dyDescent="0.4">
      <c r="A1419" t="str">
        <f t="shared" si="354"/>
        <v>FC379</v>
      </c>
      <c r="B1419" t="str">
        <f t="shared" si="353"/>
        <v>CPAC Northeast</v>
      </c>
      <c r="C1419" s="18"/>
      <c r="D1419" s="18"/>
      <c r="E1419" s="18"/>
      <c r="F1419" s="18"/>
      <c r="G1419" s="18"/>
      <c r="H1419" s="22"/>
      <c r="I1419" s="3" t="s">
        <v>18</v>
      </c>
      <c r="J1419" s="4">
        <v>30</v>
      </c>
      <c r="K1419" s="8">
        <v>15</v>
      </c>
      <c r="L1419" s="4">
        <v>30</v>
      </c>
      <c r="M1419" s="4">
        <v>30</v>
      </c>
      <c r="N1419" s="8">
        <v>18</v>
      </c>
      <c r="O1419" s="4">
        <v>30</v>
      </c>
    </row>
    <row r="1420" spans="1:15" ht="15" thickBot="1" x14ac:dyDescent="0.4">
      <c r="A1420" t="str">
        <f t="shared" si="355"/>
        <v>FC379</v>
      </c>
      <c r="B1420" t="str">
        <f t="shared" si="353"/>
        <v>CPAC Northeast</v>
      </c>
      <c r="C1420" s="18"/>
      <c r="D1420" s="18"/>
      <c r="E1420" s="18"/>
      <c r="F1420" s="18"/>
      <c r="G1420" s="18"/>
      <c r="H1420" s="22"/>
      <c r="I1420" s="5" t="s">
        <v>19</v>
      </c>
      <c r="J1420" s="7">
        <v>82</v>
      </c>
      <c r="K1420" s="8">
        <v>42</v>
      </c>
      <c r="L1420" s="8">
        <v>29</v>
      </c>
      <c r="M1420" s="8">
        <v>43</v>
      </c>
      <c r="N1420" s="7">
        <v>88</v>
      </c>
      <c r="O1420" s="7">
        <v>79</v>
      </c>
    </row>
    <row r="1421" spans="1:15" ht="15" thickBot="1" x14ac:dyDescent="0.4">
      <c r="A1421" t="str">
        <f t="shared" si="356"/>
        <v>FC379</v>
      </c>
      <c r="B1421" t="str">
        <f t="shared" si="353"/>
        <v>CPAC Northeast</v>
      </c>
      <c r="C1421" s="18"/>
      <c r="D1421" s="18"/>
      <c r="E1421" s="18"/>
      <c r="F1421" s="18"/>
      <c r="G1421" s="18"/>
      <c r="H1421" s="22"/>
      <c r="I1421" s="3" t="s">
        <v>20</v>
      </c>
      <c r="J1421" s="10">
        <v>14.6</v>
      </c>
      <c r="K1421" s="10">
        <v>16.3</v>
      </c>
      <c r="L1421" s="10">
        <v>16.3</v>
      </c>
      <c r="M1421" s="9">
        <v>34.5</v>
      </c>
      <c r="N1421" s="10">
        <v>20.399999999999999</v>
      </c>
      <c r="O1421" s="10">
        <v>25.1</v>
      </c>
    </row>
    <row r="1422" spans="1:15" ht="15" thickBot="1" x14ac:dyDescent="0.4">
      <c r="A1422" t="str">
        <f t="shared" si="357"/>
        <v>FC379</v>
      </c>
      <c r="B1422" t="str">
        <f t="shared" si="353"/>
        <v>CPAC Northeast</v>
      </c>
      <c r="C1422" s="18"/>
      <c r="D1422" s="18"/>
      <c r="E1422" s="18"/>
      <c r="F1422" s="18"/>
      <c r="G1422" s="18"/>
      <c r="H1422" s="22"/>
      <c r="I1422" s="5" t="s">
        <v>21</v>
      </c>
      <c r="J1422" s="10">
        <v>1.87</v>
      </c>
      <c r="K1422" s="10">
        <v>0.85</v>
      </c>
      <c r="L1422" s="9">
        <v>0.59</v>
      </c>
      <c r="M1422" s="8">
        <v>0.41</v>
      </c>
      <c r="N1422" s="10">
        <v>1.43</v>
      </c>
      <c r="O1422" s="10">
        <v>1.05</v>
      </c>
    </row>
    <row r="1423" spans="1:15" ht="15" thickBot="1" x14ac:dyDescent="0.4">
      <c r="A1423" t="str">
        <f t="shared" si="358"/>
        <v>FC379</v>
      </c>
      <c r="B1423" t="str">
        <f t="shared" ref="B1423:B1486" si="359">$D$974</f>
        <v>CPAC Northeast</v>
      </c>
      <c r="C1423" s="19"/>
      <c r="D1423" s="19"/>
      <c r="E1423" s="19"/>
      <c r="F1423" s="19"/>
      <c r="G1423" s="19"/>
      <c r="H1423" s="23"/>
      <c r="I1423" s="3" t="s">
        <v>22</v>
      </c>
      <c r="J1423" s="10" t="s">
        <v>24</v>
      </c>
      <c r="K1423" s="9" t="s">
        <v>25</v>
      </c>
      <c r="L1423" s="9" t="s">
        <v>25</v>
      </c>
      <c r="M1423" s="8" t="s">
        <v>23</v>
      </c>
      <c r="N1423" s="10" t="s">
        <v>24</v>
      </c>
      <c r="O1423" s="10" t="s">
        <v>24</v>
      </c>
    </row>
    <row r="1424" spans="1:15" ht="15" thickBot="1" x14ac:dyDescent="0.4">
      <c r="B1424" t="str">
        <f t="shared" si="359"/>
        <v>CPAC Northeast</v>
      </c>
      <c r="C1424" s="16"/>
      <c r="D1424" s="16"/>
      <c r="E1424" s="16"/>
      <c r="F1424" s="16"/>
      <c r="G1424" s="16" t="s">
        <v>325</v>
      </c>
      <c r="H1424" s="30" t="s">
        <v>39</v>
      </c>
      <c r="I1424" s="1"/>
      <c r="J1424" s="1"/>
      <c r="K1424" s="1"/>
      <c r="L1424" s="1"/>
      <c r="M1424" s="1"/>
      <c r="N1424" s="1"/>
      <c r="O1424" s="1"/>
    </row>
    <row r="1425" spans="1:15" ht="15" thickBot="1" x14ac:dyDescent="0.4">
      <c r="A1425" t="str">
        <f t="shared" si="354"/>
        <v>FC326</v>
      </c>
      <c r="B1425" t="str">
        <f t="shared" si="359"/>
        <v>CPAC Northeast</v>
      </c>
      <c r="C1425" s="18"/>
      <c r="D1425" s="18"/>
      <c r="E1425" s="18"/>
      <c r="F1425" s="18"/>
      <c r="G1425" s="18"/>
      <c r="H1425" s="31"/>
      <c r="I1425" s="3" t="s">
        <v>18</v>
      </c>
      <c r="J1425" s="4">
        <v>31</v>
      </c>
      <c r="K1425" s="4">
        <v>30</v>
      </c>
      <c r="L1425" s="4">
        <v>30</v>
      </c>
      <c r="M1425" s="4">
        <v>30</v>
      </c>
      <c r="N1425" s="4">
        <v>31</v>
      </c>
      <c r="O1425" s="4">
        <v>30</v>
      </c>
    </row>
    <row r="1426" spans="1:15" ht="15" thickBot="1" x14ac:dyDescent="0.4">
      <c r="A1426" t="str">
        <f t="shared" si="355"/>
        <v>FC326</v>
      </c>
      <c r="B1426" t="str">
        <f t="shared" si="359"/>
        <v>CPAC Northeast</v>
      </c>
      <c r="C1426" s="18"/>
      <c r="D1426" s="18"/>
      <c r="E1426" s="18"/>
      <c r="F1426" s="18"/>
      <c r="G1426" s="18"/>
      <c r="H1426" s="31"/>
      <c r="I1426" s="5" t="s">
        <v>19</v>
      </c>
      <c r="J1426" s="6">
        <v>54</v>
      </c>
      <c r="K1426" s="7">
        <v>73</v>
      </c>
      <c r="L1426" s="6">
        <v>66</v>
      </c>
      <c r="M1426" s="7">
        <v>74</v>
      </c>
      <c r="N1426" s="6">
        <v>55</v>
      </c>
      <c r="O1426" s="7">
        <v>73</v>
      </c>
    </row>
    <row r="1427" spans="1:15" ht="15" thickBot="1" x14ac:dyDescent="0.4">
      <c r="A1427" t="str">
        <f t="shared" si="356"/>
        <v>FC326</v>
      </c>
      <c r="B1427" t="str">
        <f t="shared" si="359"/>
        <v>CPAC Northeast</v>
      </c>
      <c r="C1427" s="18"/>
      <c r="D1427" s="18"/>
      <c r="E1427" s="18"/>
      <c r="F1427" s="18"/>
      <c r="G1427" s="18"/>
      <c r="H1427" s="31"/>
      <c r="I1427" s="3" t="s">
        <v>20</v>
      </c>
      <c r="J1427" s="10">
        <v>16.2</v>
      </c>
      <c r="K1427" s="10">
        <v>25.7</v>
      </c>
      <c r="L1427" s="10">
        <v>20</v>
      </c>
      <c r="M1427" s="10">
        <v>28.4</v>
      </c>
      <c r="N1427" s="10">
        <v>19.7</v>
      </c>
      <c r="O1427" s="10">
        <v>27.1</v>
      </c>
    </row>
    <row r="1428" spans="1:15" ht="15" thickBot="1" x14ac:dyDescent="0.4">
      <c r="A1428" t="str">
        <f t="shared" si="357"/>
        <v>FC326</v>
      </c>
      <c r="B1428" t="str">
        <f t="shared" si="359"/>
        <v>CPAC Northeast</v>
      </c>
      <c r="C1428" s="18"/>
      <c r="D1428" s="18"/>
      <c r="E1428" s="18"/>
      <c r="F1428" s="18"/>
      <c r="G1428" s="18"/>
      <c r="H1428" s="31"/>
      <c r="I1428" s="5" t="s">
        <v>21</v>
      </c>
      <c r="J1428" s="10">
        <v>1.1200000000000001</v>
      </c>
      <c r="K1428" s="10">
        <v>0.95</v>
      </c>
      <c r="L1428" s="10">
        <v>1.1100000000000001</v>
      </c>
      <c r="M1428" s="10">
        <v>0.87</v>
      </c>
      <c r="N1428" s="10">
        <v>0.93</v>
      </c>
      <c r="O1428" s="10">
        <v>0.9</v>
      </c>
    </row>
    <row r="1429" spans="1:15" ht="15" thickBot="1" x14ac:dyDescent="0.4">
      <c r="A1429" t="str">
        <f t="shared" si="358"/>
        <v>FC326</v>
      </c>
      <c r="B1429" t="str">
        <f t="shared" si="359"/>
        <v>CPAC Northeast</v>
      </c>
      <c r="C1429" s="19"/>
      <c r="D1429" s="19"/>
      <c r="E1429" s="19"/>
      <c r="F1429" s="19"/>
      <c r="G1429" s="19"/>
      <c r="H1429" s="32"/>
      <c r="I1429" s="3" t="s">
        <v>22</v>
      </c>
      <c r="J1429" s="11"/>
      <c r="K1429" s="10" t="s">
        <v>24</v>
      </c>
      <c r="L1429" s="10" t="s">
        <v>24</v>
      </c>
      <c r="M1429" s="10" t="s">
        <v>24</v>
      </c>
      <c r="N1429" s="10" t="s">
        <v>24</v>
      </c>
      <c r="O1429" s="10" t="s">
        <v>24</v>
      </c>
    </row>
    <row r="1430" spans="1:15" ht="15" thickBot="1" x14ac:dyDescent="0.4">
      <c r="B1430" t="str">
        <f t="shared" si="359"/>
        <v>CPAC Northeast</v>
      </c>
      <c r="C1430" s="16"/>
      <c r="D1430" s="16"/>
      <c r="E1430" s="16"/>
      <c r="F1430" s="16"/>
      <c r="G1430" s="16" t="s">
        <v>326</v>
      </c>
      <c r="H1430" s="27" t="s">
        <v>34</v>
      </c>
      <c r="I1430" s="1"/>
      <c r="J1430" s="1"/>
      <c r="K1430" s="1"/>
      <c r="L1430" s="1"/>
      <c r="M1430" s="1"/>
      <c r="N1430" s="1"/>
      <c r="O1430" s="1"/>
    </row>
    <row r="1431" spans="1:15" ht="15" thickBot="1" x14ac:dyDescent="0.4">
      <c r="A1431" t="str">
        <f t="shared" ref="A1431:A1494" si="360">IF(LEFT(G1430,2)="FC",LEFT(G1430,5),LEFT(G1430,4))</f>
        <v>ZZP6</v>
      </c>
      <c r="B1431" t="str">
        <f t="shared" si="359"/>
        <v>CPAC Northeast</v>
      </c>
      <c r="C1431" s="18"/>
      <c r="D1431" s="18"/>
      <c r="E1431" s="18"/>
      <c r="F1431" s="18"/>
      <c r="G1431" s="18"/>
      <c r="H1431" s="28"/>
      <c r="I1431" s="3" t="s">
        <v>18</v>
      </c>
      <c r="J1431" s="4">
        <v>33</v>
      </c>
      <c r="K1431" s="4">
        <v>37</v>
      </c>
      <c r="L1431" s="4">
        <v>35</v>
      </c>
      <c r="M1431" s="4">
        <v>30</v>
      </c>
      <c r="N1431" s="4">
        <v>30</v>
      </c>
      <c r="O1431" s="4">
        <v>35</v>
      </c>
    </row>
    <row r="1432" spans="1:15" ht="15" thickBot="1" x14ac:dyDescent="0.4">
      <c r="A1432" t="str">
        <f t="shared" si="355"/>
        <v>ZZP6</v>
      </c>
      <c r="B1432" t="str">
        <f t="shared" si="359"/>
        <v>CPAC Northeast</v>
      </c>
      <c r="C1432" s="18"/>
      <c r="D1432" s="18"/>
      <c r="E1432" s="18"/>
      <c r="F1432" s="18"/>
      <c r="G1432" s="18"/>
      <c r="H1432" s="28"/>
      <c r="I1432" s="5" t="s">
        <v>19</v>
      </c>
      <c r="J1432" s="6">
        <v>59</v>
      </c>
      <c r="K1432" s="6">
        <v>50</v>
      </c>
      <c r="L1432" s="6">
        <v>51</v>
      </c>
      <c r="M1432" s="6">
        <v>55</v>
      </c>
      <c r="N1432" s="6">
        <v>52</v>
      </c>
      <c r="O1432" s="8">
        <v>49</v>
      </c>
    </row>
    <row r="1433" spans="1:15" ht="15" thickBot="1" x14ac:dyDescent="0.4">
      <c r="A1433" t="str">
        <f t="shared" si="356"/>
        <v>ZZP6</v>
      </c>
      <c r="B1433" t="str">
        <f t="shared" si="359"/>
        <v>CPAC Northeast</v>
      </c>
      <c r="C1433" s="18"/>
      <c r="D1433" s="18"/>
      <c r="E1433" s="18"/>
      <c r="F1433" s="18"/>
      <c r="G1433" s="18"/>
      <c r="H1433" s="28"/>
      <c r="I1433" s="3" t="s">
        <v>20</v>
      </c>
      <c r="J1433" s="10">
        <v>15.7</v>
      </c>
      <c r="K1433" s="10">
        <v>17.3</v>
      </c>
      <c r="L1433" s="10">
        <v>16.100000000000001</v>
      </c>
      <c r="M1433" s="10">
        <v>22.7</v>
      </c>
      <c r="N1433" s="10">
        <v>21.7</v>
      </c>
      <c r="O1433" s="10">
        <v>19.7</v>
      </c>
    </row>
    <row r="1434" spans="1:15" ht="15" thickBot="1" x14ac:dyDescent="0.4">
      <c r="A1434" t="str">
        <f t="shared" si="357"/>
        <v>ZZP6</v>
      </c>
      <c r="B1434" t="str">
        <f t="shared" si="359"/>
        <v>CPAC Northeast</v>
      </c>
      <c r="C1434" s="18"/>
      <c r="D1434" s="18"/>
      <c r="E1434" s="18"/>
      <c r="F1434" s="18"/>
      <c r="G1434" s="18"/>
      <c r="H1434" s="28"/>
      <c r="I1434" s="5" t="s">
        <v>21</v>
      </c>
      <c r="J1434" s="10">
        <v>1.24</v>
      </c>
      <c r="K1434" s="10">
        <v>0.97</v>
      </c>
      <c r="L1434" s="10">
        <v>1.05</v>
      </c>
      <c r="M1434" s="10">
        <v>0.81</v>
      </c>
      <c r="N1434" s="10">
        <v>0.8</v>
      </c>
      <c r="O1434" s="10">
        <v>0.83</v>
      </c>
    </row>
    <row r="1435" spans="1:15" ht="15" thickBot="1" x14ac:dyDescent="0.4">
      <c r="A1435" t="str">
        <f t="shared" si="358"/>
        <v>ZZP6</v>
      </c>
      <c r="B1435" t="str">
        <f t="shared" si="359"/>
        <v>CPAC Northeast</v>
      </c>
      <c r="C1435" s="19"/>
      <c r="D1435" s="19"/>
      <c r="E1435" s="19"/>
      <c r="F1435" s="19"/>
      <c r="G1435" s="19"/>
      <c r="H1435" s="29"/>
      <c r="I1435" s="3" t="s">
        <v>22</v>
      </c>
      <c r="J1435" s="11"/>
      <c r="K1435" s="10" t="s">
        <v>24</v>
      </c>
      <c r="L1435" s="10" t="s">
        <v>24</v>
      </c>
      <c r="M1435" s="9" t="s">
        <v>25</v>
      </c>
      <c r="N1435" s="9" t="s">
        <v>25</v>
      </c>
      <c r="O1435" s="9" t="s">
        <v>25</v>
      </c>
    </row>
    <row r="1436" spans="1:15" ht="15" thickBot="1" x14ac:dyDescent="0.4">
      <c r="B1436" t="str">
        <f t="shared" si="359"/>
        <v>CPAC Northeast</v>
      </c>
      <c r="C1436" s="16"/>
      <c r="D1436" s="16"/>
      <c r="E1436" s="16" t="s">
        <v>327</v>
      </c>
      <c r="F1436" s="16" t="s">
        <v>328</v>
      </c>
      <c r="G1436" s="16" t="s">
        <v>329</v>
      </c>
      <c r="H1436" s="27" t="s">
        <v>34</v>
      </c>
      <c r="I1436" s="1"/>
      <c r="J1436" s="1"/>
      <c r="K1436" s="1"/>
      <c r="L1436" s="1"/>
      <c r="M1436" s="1"/>
      <c r="N1436" s="1"/>
      <c r="O1436" s="1"/>
    </row>
    <row r="1437" spans="1:15" ht="15" thickBot="1" x14ac:dyDescent="0.4">
      <c r="A1437" t="str">
        <f t="shared" si="360"/>
        <v>FC113</v>
      </c>
      <c r="B1437" t="str">
        <f t="shared" si="359"/>
        <v>CPAC Northeast</v>
      </c>
      <c r="C1437" s="18"/>
      <c r="D1437" s="18"/>
      <c r="E1437" s="18"/>
      <c r="F1437" s="18"/>
      <c r="G1437" s="18"/>
      <c r="H1437" s="28"/>
      <c r="I1437" s="3" t="s">
        <v>18</v>
      </c>
      <c r="J1437" s="4">
        <v>36</v>
      </c>
      <c r="K1437" s="4">
        <v>33</v>
      </c>
      <c r="L1437" s="4">
        <v>33</v>
      </c>
      <c r="M1437" s="4">
        <v>30</v>
      </c>
      <c r="N1437" s="4">
        <v>30</v>
      </c>
      <c r="O1437" s="4">
        <v>45</v>
      </c>
    </row>
    <row r="1438" spans="1:15" ht="15" thickBot="1" x14ac:dyDescent="0.4">
      <c r="A1438" t="str">
        <f t="shared" ref="A1438:A1498" si="361">IF(LEFT(G1436,2)="FC",LEFT(G1436,5),LEFT(G1436,4))</f>
        <v>FC113</v>
      </c>
      <c r="B1438" t="str">
        <f t="shared" si="359"/>
        <v>CPAC Northeast</v>
      </c>
      <c r="C1438" s="18"/>
      <c r="D1438" s="18"/>
      <c r="E1438" s="18"/>
      <c r="F1438" s="18"/>
      <c r="G1438" s="18"/>
      <c r="H1438" s="28"/>
      <c r="I1438" s="5" t="s">
        <v>19</v>
      </c>
      <c r="J1438" s="9">
        <v>124</v>
      </c>
      <c r="K1438" s="9">
        <v>103</v>
      </c>
      <c r="L1438" s="9">
        <v>109</v>
      </c>
      <c r="M1438" s="7">
        <v>73</v>
      </c>
      <c r="N1438" s="9">
        <v>100</v>
      </c>
      <c r="O1438" s="9">
        <v>127</v>
      </c>
    </row>
    <row r="1439" spans="1:15" ht="15" thickBot="1" x14ac:dyDescent="0.4">
      <c r="A1439" t="str">
        <f t="shared" ref="A1439:A1499" si="362">IF(LEFT(G1436,2)="FC",LEFT(G1436,5),LEFT(G1436,4))</f>
        <v>FC113</v>
      </c>
      <c r="B1439" t="str">
        <f t="shared" si="359"/>
        <v>CPAC Northeast</v>
      </c>
      <c r="C1439" s="18"/>
      <c r="D1439" s="18"/>
      <c r="E1439" s="18"/>
      <c r="F1439" s="18"/>
      <c r="G1439" s="18"/>
      <c r="H1439" s="28"/>
      <c r="I1439" s="3" t="s">
        <v>20</v>
      </c>
      <c r="J1439" s="7">
        <v>36.799999999999997</v>
      </c>
      <c r="K1439" s="10">
        <v>13.3</v>
      </c>
      <c r="L1439" s="10">
        <v>13.9</v>
      </c>
      <c r="M1439" s="10">
        <v>20.399999999999999</v>
      </c>
      <c r="N1439" s="10">
        <v>20</v>
      </c>
      <c r="O1439" s="8">
        <v>76.900000000000006</v>
      </c>
    </row>
    <row r="1440" spans="1:15" ht="15" thickBot="1" x14ac:dyDescent="0.4">
      <c r="A1440" t="str">
        <f t="shared" ref="A1440:A1500" si="363">IF(LEFT(G1436,2)="FC",LEFT(G1436,5),LEFT(G1436,4))</f>
        <v>FC113</v>
      </c>
      <c r="B1440" t="str">
        <f t="shared" si="359"/>
        <v>CPAC Northeast</v>
      </c>
      <c r="C1440" s="18"/>
      <c r="D1440" s="18"/>
      <c r="E1440" s="18"/>
      <c r="F1440" s="18"/>
      <c r="G1440" s="18"/>
      <c r="H1440" s="28"/>
      <c r="I1440" s="5" t="s">
        <v>21</v>
      </c>
      <c r="J1440" s="10">
        <v>1.1200000000000001</v>
      </c>
      <c r="K1440" s="10">
        <v>2.59</v>
      </c>
      <c r="L1440" s="10">
        <v>2.61</v>
      </c>
      <c r="M1440" s="10">
        <v>1.19</v>
      </c>
      <c r="N1440" s="10">
        <v>1.66</v>
      </c>
      <c r="O1440" s="9">
        <v>0.55000000000000004</v>
      </c>
    </row>
    <row r="1441" spans="1:15" ht="15" thickBot="1" x14ac:dyDescent="0.4">
      <c r="A1441" t="str">
        <f t="shared" ref="A1441:A1501" si="364">IF(LEFT(G1436,2)="FC",LEFT(G1436,5),LEFT(G1436,4))</f>
        <v>FC113</v>
      </c>
      <c r="B1441" t="str">
        <f t="shared" si="359"/>
        <v>CPAC Northeast</v>
      </c>
      <c r="C1441" s="19"/>
      <c r="D1441" s="19"/>
      <c r="E1441" s="19"/>
      <c r="F1441" s="19"/>
      <c r="G1441" s="19"/>
      <c r="H1441" s="29"/>
      <c r="I1441" s="3" t="s">
        <v>22</v>
      </c>
      <c r="J1441" s="11"/>
      <c r="K1441" s="11"/>
      <c r="L1441" s="11"/>
      <c r="M1441" s="11"/>
      <c r="N1441" s="10" t="s">
        <v>24</v>
      </c>
      <c r="O1441" s="11"/>
    </row>
    <row r="1442" spans="1:15" ht="15" thickBot="1" x14ac:dyDescent="0.4">
      <c r="B1442" t="str">
        <f t="shared" si="359"/>
        <v>CPAC Northeast</v>
      </c>
      <c r="C1442" s="16"/>
      <c r="D1442" s="16"/>
      <c r="E1442" s="16"/>
      <c r="F1442" s="16"/>
      <c r="G1442" s="16" t="s">
        <v>330</v>
      </c>
      <c r="H1442" s="27" t="s">
        <v>34</v>
      </c>
      <c r="I1442" s="1"/>
      <c r="J1442" s="1"/>
      <c r="K1442" s="1"/>
      <c r="L1442" s="1"/>
      <c r="M1442" s="1"/>
      <c r="N1442" s="1"/>
      <c r="O1442" s="1"/>
    </row>
    <row r="1443" spans="1:15" ht="15" thickBot="1" x14ac:dyDescent="0.4">
      <c r="A1443" t="str">
        <f t="shared" si="360"/>
        <v>FC081</v>
      </c>
      <c r="B1443" t="str">
        <f t="shared" si="359"/>
        <v>CPAC Northeast</v>
      </c>
      <c r="C1443" s="18"/>
      <c r="D1443" s="18"/>
      <c r="E1443" s="18"/>
      <c r="F1443" s="18"/>
      <c r="G1443" s="18"/>
      <c r="H1443" s="28"/>
      <c r="I1443" s="3" t="s">
        <v>18</v>
      </c>
      <c r="J1443" s="4">
        <v>35</v>
      </c>
      <c r="K1443" s="4">
        <v>33</v>
      </c>
      <c r="L1443" s="8">
        <v>27</v>
      </c>
      <c r="M1443" s="8">
        <v>18</v>
      </c>
      <c r="N1443" s="4">
        <v>31</v>
      </c>
      <c r="O1443" s="4">
        <v>30</v>
      </c>
    </row>
    <row r="1444" spans="1:15" ht="15" thickBot="1" x14ac:dyDescent="0.4">
      <c r="A1444" t="str">
        <f t="shared" si="361"/>
        <v>FC081</v>
      </c>
      <c r="B1444" t="str">
        <f t="shared" si="359"/>
        <v>CPAC Northeast</v>
      </c>
      <c r="C1444" s="18"/>
      <c r="D1444" s="18"/>
      <c r="E1444" s="18"/>
      <c r="F1444" s="18"/>
      <c r="G1444" s="18"/>
      <c r="H1444" s="28"/>
      <c r="I1444" s="5" t="s">
        <v>19</v>
      </c>
      <c r="J1444" s="9">
        <v>109</v>
      </c>
      <c r="K1444" s="9">
        <v>94</v>
      </c>
      <c r="L1444" s="7">
        <v>83</v>
      </c>
      <c r="M1444" s="7">
        <v>86</v>
      </c>
      <c r="N1444" s="9">
        <v>96</v>
      </c>
      <c r="O1444" s="7">
        <v>88</v>
      </c>
    </row>
    <row r="1445" spans="1:15" ht="15" thickBot="1" x14ac:dyDescent="0.4">
      <c r="A1445" t="str">
        <f t="shared" si="362"/>
        <v>FC081</v>
      </c>
      <c r="B1445" t="str">
        <f t="shared" si="359"/>
        <v>CPAC Northeast</v>
      </c>
      <c r="C1445" s="18"/>
      <c r="D1445" s="18"/>
      <c r="E1445" s="18"/>
      <c r="F1445" s="18"/>
      <c r="G1445" s="18"/>
      <c r="H1445" s="28"/>
      <c r="I1445" s="3" t="s">
        <v>20</v>
      </c>
      <c r="J1445" s="7">
        <v>38.9</v>
      </c>
      <c r="K1445" s="7">
        <v>37.200000000000003</v>
      </c>
      <c r="L1445" s="9">
        <v>34.1</v>
      </c>
      <c r="M1445" s="7">
        <v>35.700000000000003</v>
      </c>
      <c r="N1445" s="9">
        <v>30.3</v>
      </c>
      <c r="O1445" s="9">
        <v>33.700000000000003</v>
      </c>
    </row>
    <row r="1446" spans="1:15" ht="15" thickBot="1" x14ac:dyDescent="0.4">
      <c r="A1446" t="str">
        <f t="shared" si="363"/>
        <v>FC081</v>
      </c>
      <c r="B1446" t="str">
        <f t="shared" si="359"/>
        <v>CPAC Northeast</v>
      </c>
      <c r="C1446" s="18"/>
      <c r="D1446" s="18"/>
      <c r="E1446" s="18"/>
      <c r="F1446" s="18"/>
      <c r="G1446" s="18"/>
      <c r="H1446" s="28"/>
      <c r="I1446" s="5" t="s">
        <v>21</v>
      </c>
      <c r="J1446" s="10">
        <v>0.93</v>
      </c>
      <c r="K1446" s="10">
        <v>0.84</v>
      </c>
      <c r="L1446" s="10">
        <v>0.82</v>
      </c>
      <c r="M1446" s="10">
        <v>0.8</v>
      </c>
      <c r="N1446" s="10">
        <v>1.06</v>
      </c>
      <c r="O1446" s="10">
        <v>0.87</v>
      </c>
    </row>
    <row r="1447" spans="1:15" ht="15" thickBot="1" x14ac:dyDescent="0.4">
      <c r="A1447" t="str">
        <f t="shared" si="364"/>
        <v>FC081</v>
      </c>
      <c r="B1447" t="str">
        <f t="shared" si="359"/>
        <v>CPAC Northeast</v>
      </c>
      <c r="C1447" s="19"/>
      <c r="D1447" s="19"/>
      <c r="E1447" s="19"/>
      <c r="F1447" s="19"/>
      <c r="G1447" s="19"/>
      <c r="H1447" s="29"/>
      <c r="I1447" s="3" t="s">
        <v>22</v>
      </c>
      <c r="J1447" s="10" t="s">
        <v>24</v>
      </c>
      <c r="K1447" s="11"/>
      <c r="L1447" s="10" t="s">
        <v>24</v>
      </c>
      <c r="M1447" s="10" t="s">
        <v>24</v>
      </c>
      <c r="N1447" s="10" t="s">
        <v>24</v>
      </c>
      <c r="O1447" s="11"/>
    </row>
    <row r="1448" spans="1:15" ht="15" thickBot="1" x14ac:dyDescent="0.4">
      <c r="B1448" t="str">
        <f t="shared" si="359"/>
        <v>CPAC Northeast</v>
      </c>
      <c r="C1448" s="16"/>
      <c r="D1448" s="16"/>
      <c r="E1448" s="16"/>
      <c r="F1448" s="16"/>
      <c r="G1448" s="16" t="s">
        <v>331</v>
      </c>
      <c r="H1448" s="30" t="s">
        <v>39</v>
      </c>
      <c r="I1448" s="1"/>
      <c r="J1448" s="1"/>
      <c r="K1448" s="1"/>
      <c r="L1448" s="1"/>
      <c r="M1448" s="1"/>
      <c r="N1448" s="1"/>
      <c r="O1448" s="1"/>
    </row>
    <row r="1449" spans="1:15" ht="15" thickBot="1" x14ac:dyDescent="0.4">
      <c r="A1449" t="str">
        <f t="shared" si="360"/>
        <v>FC344</v>
      </c>
      <c r="B1449" t="str">
        <f t="shared" si="359"/>
        <v>CPAC Northeast</v>
      </c>
      <c r="C1449" s="18"/>
      <c r="D1449" s="18"/>
      <c r="E1449" s="18"/>
      <c r="F1449" s="18"/>
      <c r="G1449" s="18"/>
      <c r="H1449" s="31"/>
      <c r="I1449" s="3" t="s">
        <v>18</v>
      </c>
      <c r="J1449" s="4">
        <v>36</v>
      </c>
      <c r="K1449" s="4">
        <v>38</v>
      </c>
      <c r="L1449" s="8">
        <v>18</v>
      </c>
      <c r="M1449" s="4">
        <v>31</v>
      </c>
      <c r="N1449" s="4">
        <v>30</v>
      </c>
      <c r="O1449" s="4">
        <v>30</v>
      </c>
    </row>
    <row r="1450" spans="1:15" ht="15" thickBot="1" x14ac:dyDescent="0.4">
      <c r="A1450" t="str">
        <f t="shared" si="361"/>
        <v>FC344</v>
      </c>
      <c r="B1450" t="str">
        <f t="shared" si="359"/>
        <v>CPAC Northeast</v>
      </c>
      <c r="C1450" s="18"/>
      <c r="D1450" s="18"/>
      <c r="E1450" s="18"/>
      <c r="F1450" s="18"/>
      <c r="G1450" s="18"/>
      <c r="H1450" s="31"/>
      <c r="I1450" s="5" t="s">
        <v>19</v>
      </c>
      <c r="J1450" s="9">
        <v>135</v>
      </c>
      <c r="K1450" s="9">
        <v>121</v>
      </c>
      <c r="L1450" s="6">
        <v>51</v>
      </c>
      <c r="M1450" s="9">
        <v>129</v>
      </c>
      <c r="N1450" s="9">
        <v>158</v>
      </c>
      <c r="O1450" s="9">
        <v>100</v>
      </c>
    </row>
    <row r="1451" spans="1:15" ht="15" thickBot="1" x14ac:dyDescent="0.4">
      <c r="A1451" t="str">
        <f t="shared" si="362"/>
        <v>FC344</v>
      </c>
      <c r="B1451" t="str">
        <f t="shared" si="359"/>
        <v>CPAC Northeast</v>
      </c>
      <c r="C1451" s="18"/>
      <c r="D1451" s="18"/>
      <c r="E1451" s="18"/>
      <c r="F1451" s="18"/>
      <c r="G1451" s="18"/>
      <c r="H1451" s="31"/>
      <c r="I1451" s="3" t="s">
        <v>20</v>
      </c>
      <c r="J1451" s="10">
        <v>20.399999999999999</v>
      </c>
      <c r="K1451" s="10">
        <v>20.5</v>
      </c>
      <c r="L1451" s="10">
        <v>18.899999999999999</v>
      </c>
      <c r="M1451" s="9">
        <v>33</v>
      </c>
      <c r="N1451" s="10">
        <v>15.6</v>
      </c>
      <c r="O1451" s="9">
        <v>30.9</v>
      </c>
    </row>
    <row r="1452" spans="1:15" ht="15" thickBot="1" x14ac:dyDescent="0.4">
      <c r="A1452" t="str">
        <f t="shared" si="363"/>
        <v>FC344</v>
      </c>
      <c r="B1452" t="str">
        <f t="shared" si="359"/>
        <v>CPAC Northeast</v>
      </c>
      <c r="C1452" s="18"/>
      <c r="D1452" s="18"/>
      <c r="E1452" s="18"/>
      <c r="F1452" s="18"/>
      <c r="G1452" s="18"/>
      <c r="H1452" s="31"/>
      <c r="I1452" s="5" t="s">
        <v>21</v>
      </c>
      <c r="J1452" s="10">
        <v>2.2000000000000002</v>
      </c>
      <c r="K1452" s="10">
        <v>1.97</v>
      </c>
      <c r="L1452" s="10">
        <v>0.9</v>
      </c>
      <c r="M1452" s="10">
        <v>1.3</v>
      </c>
      <c r="N1452" s="10">
        <v>3.39</v>
      </c>
      <c r="O1452" s="10">
        <v>1.07</v>
      </c>
    </row>
    <row r="1453" spans="1:15" ht="15" thickBot="1" x14ac:dyDescent="0.4">
      <c r="A1453" t="str">
        <f t="shared" si="364"/>
        <v>FC344</v>
      </c>
      <c r="B1453" t="str">
        <f t="shared" si="359"/>
        <v>CPAC Northeast</v>
      </c>
      <c r="C1453" s="19"/>
      <c r="D1453" s="19"/>
      <c r="E1453" s="19"/>
      <c r="F1453" s="19"/>
      <c r="G1453" s="19"/>
      <c r="H1453" s="32"/>
      <c r="I1453" s="3" t="s">
        <v>22</v>
      </c>
      <c r="J1453" s="11"/>
      <c r="K1453" s="11"/>
      <c r="L1453" s="9" t="s">
        <v>25</v>
      </c>
      <c r="M1453" s="10" t="s">
        <v>24</v>
      </c>
      <c r="N1453" s="10" t="s">
        <v>24</v>
      </c>
      <c r="O1453" s="10" t="s">
        <v>24</v>
      </c>
    </row>
    <row r="1454" spans="1:15" ht="15" thickBot="1" x14ac:dyDescent="0.4">
      <c r="B1454" t="str">
        <f t="shared" si="359"/>
        <v>CPAC Northeast</v>
      </c>
      <c r="C1454" s="16"/>
      <c r="D1454" s="16"/>
      <c r="E1454" s="16"/>
      <c r="F1454" s="16"/>
      <c r="G1454" s="16" t="s">
        <v>332</v>
      </c>
      <c r="H1454" s="27" t="s">
        <v>34</v>
      </c>
      <c r="I1454" s="1"/>
      <c r="J1454" s="1"/>
      <c r="K1454" s="1"/>
      <c r="L1454" s="1"/>
      <c r="M1454" s="1"/>
      <c r="N1454" s="1"/>
      <c r="O1454" s="1"/>
    </row>
    <row r="1455" spans="1:15" ht="15" thickBot="1" x14ac:dyDescent="0.4">
      <c r="A1455" t="str">
        <f t="shared" si="360"/>
        <v>FC291</v>
      </c>
      <c r="B1455" t="str">
        <f t="shared" si="359"/>
        <v>CPAC Northeast</v>
      </c>
      <c r="C1455" s="18"/>
      <c r="D1455" s="18"/>
      <c r="E1455" s="18"/>
      <c r="F1455" s="18"/>
      <c r="G1455" s="18"/>
      <c r="H1455" s="28"/>
      <c r="I1455" s="3" t="s">
        <v>18</v>
      </c>
      <c r="J1455" s="4">
        <v>39</v>
      </c>
      <c r="K1455" s="4">
        <v>48</v>
      </c>
      <c r="L1455" s="4">
        <v>36</v>
      </c>
      <c r="M1455" s="4">
        <v>36</v>
      </c>
      <c r="N1455" s="4">
        <v>36</v>
      </c>
      <c r="O1455" s="4">
        <v>36</v>
      </c>
    </row>
    <row r="1456" spans="1:15" ht="15" thickBot="1" x14ac:dyDescent="0.4">
      <c r="A1456" t="str">
        <f t="shared" si="361"/>
        <v>FC291</v>
      </c>
      <c r="B1456" t="str">
        <f t="shared" si="359"/>
        <v>CPAC Northeast</v>
      </c>
      <c r="C1456" s="18"/>
      <c r="D1456" s="18"/>
      <c r="E1456" s="18"/>
      <c r="F1456" s="18"/>
      <c r="G1456" s="18"/>
      <c r="H1456" s="28"/>
      <c r="I1456" s="5" t="s">
        <v>19</v>
      </c>
      <c r="J1456" s="7">
        <v>84</v>
      </c>
      <c r="K1456" s="9">
        <v>109</v>
      </c>
      <c r="L1456" s="9">
        <v>136</v>
      </c>
      <c r="M1456" s="6">
        <v>67</v>
      </c>
      <c r="N1456" s="7">
        <v>89</v>
      </c>
      <c r="O1456" s="7">
        <v>87</v>
      </c>
    </row>
    <row r="1457" spans="1:15" ht="15" thickBot="1" x14ac:dyDescent="0.4">
      <c r="A1457" t="str">
        <f t="shared" si="362"/>
        <v>FC291</v>
      </c>
      <c r="B1457" t="str">
        <f t="shared" si="359"/>
        <v>CPAC Northeast</v>
      </c>
      <c r="C1457" s="18"/>
      <c r="D1457" s="18"/>
      <c r="E1457" s="18"/>
      <c r="F1457" s="18"/>
      <c r="G1457" s="18"/>
      <c r="H1457" s="28"/>
      <c r="I1457" s="3" t="s">
        <v>20</v>
      </c>
      <c r="J1457" s="10">
        <v>10.5</v>
      </c>
      <c r="K1457" s="10">
        <v>26.9</v>
      </c>
      <c r="L1457" s="10">
        <v>15</v>
      </c>
      <c r="M1457" s="10">
        <v>7.2</v>
      </c>
      <c r="N1457" s="10">
        <v>24.5</v>
      </c>
      <c r="O1457" s="10">
        <v>23</v>
      </c>
    </row>
    <row r="1458" spans="1:15" ht="15" thickBot="1" x14ac:dyDescent="0.4">
      <c r="A1458" t="str">
        <f t="shared" si="363"/>
        <v>FC291</v>
      </c>
      <c r="B1458" t="str">
        <f t="shared" si="359"/>
        <v>CPAC Northeast</v>
      </c>
      <c r="C1458" s="18"/>
      <c r="D1458" s="18"/>
      <c r="E1458" s="18"/>
      <c r="F1458" s="18"/>
      <c r="G1458" s="18"/>
      <c r="H1458" s="28"/>
      <c r="I1458" s="5" t="s">
        <v>21</v>
      </c>
      <c r="J1458" s="10">
        <v>2.68</v>
      </c>
      <c r="K1458" s="10">
        <v>1.36</v>
      </c>
      <c r="L1458" s="10">
        <v>3.03</v>
      </c>
      <c r="M1458" s="10">
        <v>3.09</v>
      </c>
      <c r="N1458" s="10">
        <v>1.21</v>
      </c>
      <c r="O1458" s="10">
        <v>1.26</v>
      </c>
    </row>
    <row r="1459" spans="1:15" ht="15" thickBot="1" x14ac:dyDescent="0.4">
      <c r="A1459" t="str">
        <f t="shared" si="364"/>
        <v>FC291</v>
      </c>
      <c r="B1459" t="str">
        <f t="shared" si="359"/>
        <v>CPAC Northeast</v>
      </c>
      <c r="C1459" s="19"/>
      <c r="D1459" s="19"/>
      <c r="E1459" s="19"/>
      <c r="F1459" s="19"/>
      <c r="G1459" s="19"/>
      <c r="H1459" s="29"/>
      <c r="I1459" s="3" t="s">
        <v>22</v>
      </c>
      <c r="J1459" s="11"/>
      <c r="K1459" s="11"/>
      <c r="L1459" s="11"/>
      <c r="M1459" s="11"/>
      <c r="N1459" s="11"/>
      <c r="O1459" s="11"/>
    </row>
    <row r="1460" spans="1:15" ht="15" thickBot="1" x14ac:dyDescent="0.4">
      <c r="B1460" t="str">
        <f t="shared" si="359"/>
        <v>CPAC Northeast</v>
      </c>
      <c r="C1460" s="16"/>
      <c r="D1460" s="16"/>
      <c r="E1460" s="16"/>
      <c r="F1460" s="16"/>
      <c r="G1460" s="16" t="s">
        <v>333</v>
      </c>
      <c r="H1460" s="20" t="s">
        <v>17</v>
      </c>
      <c r="I1460" s="1"/>
      <c r="J1460" s="1"/>
      <c r="K1460" s="1"/>
      <c r="L1460" s="1"/>
      <c r="M1460" s="1"/>
      <c r="N1460" s="1"/>
      <c r="O1460" s="1"/>
    </row>
    <row r="1461" spans="1:15" ht="15" thickBot="1" x14ac:dyDescent="0.4">
      <c r="A1461" t="str">
        <f t="shared" si="360"/>
        <v>FC147</v>
      </c>
      <c r="B1461" t="str">
        <f t="shared" si="359"/>
        <v>CPAC Northeast</v>
      </c>
      <c r="C1461" s="18"/>
      <c r="D1461" s="18"/>
      <c r="E1461" s="18"/>
      <c r="F1461" s="18"/>
      <c r="G1461" s="18"/>
      <c r="H1461" s="22"/>
      <c r="I1461" s="3" t="s">
        <v>18</v>
      </c>
      <c r="J1461" s="4">
        <v>30</v>
      </c>
      <c r="K1461" s="4">
        <v>40</v>
      </c>
      <c r="L1461" s="4">
        <v>41</v>
      </c>
      <c r="M1461" s="4">
        <v>37</v>
      </c>
      <c r="N1461" s="4">
        <v>30</v>
      </c>
      <c r="O1461" s="4">
        <v>30</v>
      </c>
    </row>
    <row r="1462" spans="1:15" ht="15" thickBot="1" x14ac:dyDescent="0.4">
      <c r="A1462" t="str">
        <f t="shared" si="361"/>
        <v>FC147</v>
      </c>
      <c r="B1462" t="str">
        <f t="shared" si="359"/>
        <v>CPAC Northeast</v>
      </c>
      <c r="C1462" s="18"/>
      <c r="D1462" s="18"/>
      <c r="E1462" s="18"/>
      <c r="F1462" s="18"/>
      <c r="G1462" s="18"/>
      <c r="H1462" s="22"/>
      <c r="I1462" s="5" t="s">
        <v>19</v>
      </c>
      <c r="J1462" s="9">
        <v>91</v>
      </c>
      <c r="K1462" s="7">
        <v>87</v>
      </c>
      <c r="L1462" s="9">
        <v>93</v>
      </c>
      <c r="M1462" s="7">
        <v>89</v>
      </c>
      <c r="N1462" s="8">
        <v>43</v>
      </c>
      <c r="O1462" s="7">
        <v>70</v>
      </c>
    </row>
    <row r="1463" spans="1:15" ht="15" thickBot="1" x14ac:dyDescent="0.4">
      <c r="A1463" t="str">
        <f t="shared" si="362"/>
        <v>FC147</v>
      </c>
      <c r="B1463" t="str">
        <f t="shared" si="359"/>
        <v>CPAC Northeast</v>
      </c>
      <c r="C1463" s="18"/>
      <c r="D1463" s="18"/>
      <c r="E1463" s="18"/>
      <c r="F1463" s="18"/>
      <c r="G1463" s="18"/>
      <c r="H1463" s="22"/>
      <c r="I1463" s="3" t="s">
        <v>20</v>
      </c>
      <c r="J1463" s="9">
        <v>32</v>
      </c>
      <c r="K1463" s="10">
        <v>23.1</v>
      </c>
      <c r="L1463" s="9">
        <v>30.2</v>
      </c>
      <c r="M1463" s="6">
        <v>42.6</v>
      </c>
      <c r="N1463" s="9">
        <v>30.1</v>
      </c>
      <c r="O1463" s="9">
        <v>28.9</v>
      </c>
    </row>
    <row r="1464" spans="1:15" ht="15" thickBot="1" x14ac:dyDescent="0.4">
      <c r="A1464" t="str">
        <f t="shared" si="363"/>
        <v>FC147</v>
      </c>
      <c r="B1464" t="str">
        <f t="shared" si="359"/>
        <v>CPAC Northeast</v>
      </c>
      <c r="C1464" s="18"/>
      <c r="D1464" s="18"/>
      <c r="E1464" s="18"/>
      <c r="F1464" s="18"/>
      <c r="G1464" s="18"/>
      <c r="H1464" s="22"/>
      <c r="I1464" s="5" t="s">
        <v>21</v>
      </c>
      <c r="J1464" s="10">
        <v>0.94</v>
      </c>
      <c r="K1464" s="10">
        <v>1.25</v>
      </c>
      <c r="L1464" s="10">
        <v>1.03</v>
      </c>
      <c r="M1464" s="9">
        <v>0.7</v>
      </c>
      <c r="N1464" s="8">
        <v>0.47</v>
      </c>
      <c r="O1464" s="10">
        <v>0.81</v>
      </c>
    </row>
    <row r="1465" spans="1:15" ht="15" thickBot="1" x14ac:dyDescent="0.4">
      <c r="A1465" t="str">
        <f t="shared" si="364"/>
        <v>FC147</v>
      </c>
      <c r="B1465" t="str">
        <f t="shared" si="359"/>
        <v>CPAC Northeast</v>
      </c>
      <c r="C1465" s="19"/>
      <c r="D1465" s="19"/>
      <c r="E1465" s="19"/>
      <c r="F1465" s="19"/>
      <c r="G1465" s="19"/>
      <c r="H1465" s="23"/>
      <c r="I1465" s="3" t="s">
        <v>22</v>
      </c>
      <c r="J1465" s="10" t="s">
        <v>24</v>
      </c>
      <c r="K1465" s="11"/>
      <c r="L1465" s="11"/>
      <c r="M1465" s="9" t="s">
        <v>25</v>
      </c>
      <c r="N1465" s="8" t="s">
        <v>23</v>
      </c>
      <c r="O1465" s="10" t="s">
        <v>24</v>
      </c>
    </row>
    <row r="1466" spans="1:15" ht="15" thickBot="1" x14ac:dyDescent="0.4">
      <c r="B1466" t="str">
        <f t="shared" si="359"/>
        <v>CPAC Northeast</v>
      </c>
      <c r="C1466" s="16"/>
      <c r="D1466" s="16"/>
      <c r="E1466" s="16"/>
      <c r="F1466" s="16"/>
      <c r="G1466" s="16" t="s">
        <v>334</v>
      </c>
      <c r="H1466" s="27" t="s">
        <v>34</v>
      </c>
      <c r="I1466" s="1"/>
      <c r="J1466" s="1"/>
      <c r="K1466" s="1"/>
      <c r="L1466" s="1"/>
      <c r="M1466" s="1"/>
      <c r="N1466" s="1"/>
      <c r="O1466" s="1"/>
    </row>
    <row r="1467" spans="1:15" ht="15" thickBot="1" x14ac:dyDescent="0.4">
      <c r="A1467" t="str">
        <f t="shared" si="360"/>
        <v>FC383</v>
      </c>
      <c r="B1467" t="str">
        <f t="shared" si="359"/>
        <v>CPAC Northeast</v>
      </c>
      <c r="C1467" s="18"/>
      <c r="D1467" s="18"/>
      <c r="E1467" s="18"/>
      <c r="F1467" s="18"/>
      <c r="G1467" s="18"/>
      <c r="H1467" s="28"/>
      <c r="I1467" s="3" t="s">
        <v>18</v>
      </c>
      <c r="J1467" s="4">
        <v>32</v>
      </c>
      <c r="K1467" s="4">
        <v>36</v>
      </c>
      <c r="L1467" s="4">
        <v>30</v>
      </c>
      <c r="M1467" s="4">
        <v>36</v>
      </c>
      <c r="N1467" s="4">
        <v>36</v>
      </c>
      <c r="O1467" s="4">
        <v>36</v>
      </c>
    </row>
    <row r="1468" spans="1:15" ht="15" thickBot="1" x14ac:dyDescent="0.4">
      <c r="A1468" t="str">
        <f t="shared" si="361"/>
        <v>FC383</v>
      </c>
      <c r="B1468" t="str">
        <f t="shared" si="359"/>
        <v>CPAC Northeast</v>
      </c>
      <c r="C1468" s="18"/>
      <c r="D1468" s="18"/>
      <c r="E1468" s="18"/>
      <c r="F1468" s="18"/>
      <c r="G1468" s="18"/>
      <c r="H1468" s="28"/>
      <c r="I1468" s="5" t="s">
        <v>19</v>
      </c>
      <c r="J1468" s="7">
        <v>73</v>
      </c>
      <c r="K1468" s="9">
        <v>93</v>
      </c>
      <c r="L1468" s="7">
        <v>88</v>
      </c>
      <c r="M1468" s="7">
        <v>89</v>
      </c>
      <c r="N1468" s="6">
        <v>52</v>
      </c>
      <c r="O1468" s="7">
        <v>87</v>
      </c>
    </row>
    <row r="1469" spans="1:15" ht="15" thickBot="1" x14ac:dyDescent="0.4">
      <c r="A1469" t="str">
        <f t="shared" si="362"/>
        <v>FC383</v>
      </c>
      <c r="B1469" t="str">
        <f t="shared" si="359"/>
        <v>CPAC Northeast</v>
      </c>
      <c r="C1469" s="18"/>
      <c r="D1469" s="18"/>
      <c r="E1469" s="18"/>
      <c r="F1469" s="18"/>
      <c r="G1469" s="18"/>
      <c r="H1469" s="28"/>
      <c r="I1469" s="3" t="s">
        <v>20</v>
      </c>
      <c r="J1469" s="10">
        <v>26</v>
      </c>
      <c r="K1469" s="9">
        <v>33.700000000000003</v>
      </c>
      <c r="L1469" s="7">
        <v>36.799999999999997</v>
      </c>
      <c r="M1469" s="9">
        <v>31.4</v>
      </c>
      <c r="N1469" s="10">
        <v>24.8</v>
      </c>
      <c r="O1469" s="10">
        <v>21.2</v>
      </c>
    </row>
    <row r="1470" spans="1:15" ht="15" thickBot="1" x14ac:dyDescent="0.4">
      <c r="A1470" t="str">
        <f t="shared" si="363"/>
        <v>FC383</v>
      </c>
      <c r="B1470" t="str">
        <f t="shared" si="359"/>
        <v>CPAC Northeast</v>
      </c>
      <c r="C1470" s="18"/>
      <c r="D1470" s="18"/>
      <c r="E1470" s="18"/>
      <c r="F1470" s="18"/>
      <c r="G1470" s="18"/>
      <c r="H1470" s="28"/>
      <c r="I1470" s="5" t="s">
        <v>21</v>
      </c>
      <c r="J1470" s="10">
        <v>0.94</v>
      </c>
      <c r="K1470" s="10">
        <v>0.92</v>
      </c>
      <c r="L1470" s="10">
        <v>0.79</v>
      </c>
      <c r="M1470" s="10">
        <v>0.94</v>
      </c>
      <c r="N1470" s="9">
        <v>0.7</v>
      </c>
      <c r="O1470" s="10">
        <v>1.36</v>
      </c>
    </row>
    <row r="1471" spans="1:15" ht="15" thickBot="1" x14ac:dyDescent="0.4">
      <c r="A1471" t="str">
        <f t="shared" si="364"/>
        <v>FC383</v>
      </c>
      <c r="B1471" t="str">
        <f t="shared" si="359"/>
        <v>CPAC Northeast</v>
      </c>
      <c r="C1471" s="19"/>
      <c r="D1471" s="19"/>
      <c r="E1471" s="19"/>
      <c r="F1471" s="19"/>
      <c r="G1471" s="19"/>
      <c r="H1471" s="29"/>
      <c r="I1471" s="3" t="s">
        <v>22</v>
      </c>
      <c r="J1471" s="11"/>
      <c r="K1471" s="11"/>
      <c r="L1471" s="10" t="s">
        <v>24</v>
      </c>
      <c r="M1471" s="11"/>
      <c r="N1471" s="11"/>
      <c r="O1471" s="11"/>
    </row>
    <row r="1472" spans="1:15" ht="15" thickBot="1" x14ac:dyDescent="0.4">
      <c r="B1472" t="str">
        <f t="shared" si="359"/>
        <v>CPAC Northeast</v>
      </c>
      <c r="C1472" s="16"/>
      <c r="D1472" s="16"/>
      <c r="E1472" s="16"/>
      <c r="F1472" s="16"/>
      <c r="G1472" s="16" t="s">
        <v>335</v>
      </c>
      <c r="H1472" s="24" t="s">
        <v>30</v>
      </c>
      <c r="I1472" s="1"/>
      <c r="J1472" s="1"/>
      <c r="K1472" s="1"/>
      <c r="L1472" s="1"/>
      <c r="M1472" s="1"/>
      <c r="N1472" s="1"/>
      <c r="O1472" s="1"/>
    </row>
    <row r="1473" spans="1:15" ht="15" thickBot="1" x14ac:dyDescent="0.4">
      <c r="A1473" t="str">
        <f t="shared" si="360"/>
        <v>FC090</v>
      </c>
      <c r="B1473" t="str">
        <f t="shared" si="359"/>
        <v>CPAC Northeast</v>
      </c>
      <c r="C1473" s="18"/>
      <c r="D1473" s="18"/>
      <c r="E1473" s="18"/>
      <c r="F1473" s="18"/>
      <c r="G1473" s="18"/>
      <c r="H1473" s="25"/>
      <c r="I1473" s="3" t="s">
        <v>18</v>
      </c>
      <c r="J1473" s="4">
        <v>38</v>
      </c>
      <c r="K1473" s="8">
        <v>15</v>
      </c>
      <c r="L1473" s="11"/>
      <c r="M1473" s="11"/>
      <c r="N1473" s="11"/>
      <c r="O1473" s="11"/>
    </row>
    <row r="1474" spans="1:15" ht="15" thickBot="1" x14ac:dyDescent="0.4">
      <c r="A1474" t="str">
        <f t="shared" si="361"/>
        <v>FC090</v>
      </c>
      <c r="B1474" t="str">
        <f t="shared" si="359"/>
        <v>CPAC Northeast</v>
      </c>
      <c r="C1474" s="18"/>
      <c r="D1474" s="18"/>
      <c r="E1474" s="18"/>
      <c r="F1474" s="18"/>
      <c r="G1474" s="18"/>
      <c r="H1474" s="25"/>
      <c r="I1474" s="5" t="s">
        <v>19</v>
      </c>
      <c r="J1474" s="7">
        <v>77</v>
      </c>
      <c r="K1474" s="9">
        <v>136</v>
      </c>
      <c r="L1474" s="11"/>
      <c r="M1474" s="11"/>
      <c r="N1474" s="11"/>
      <c r="O1474" s="11"/>
    </row>
    <row r="1475" spans="1:15" ht="15" thickBot="1" x14ac:dyDescent="0.4">
      <c r="A1475" t="str">
        <f t="shared" si="362"/>
        <v>FC090</v>
      </c>
      <c r="B1475" t="str">
        <f t="shared" si="359"/>
        <v>CPAC Northeast</v>
      </c>
      <c r="C1475" s="18"/>
      <c r="D1475" s="18"/>
      <c r="E1475" s="18"/>
      <c r="F1475" s="18"/>
      <c r="G1475" s="18"/>
      <c r="H1475" s="25"/>
      <c r="I1475" s="3" t="s">
        <v>20</v>
      </c>
      <c r="J1475" s="9">
        <v>32.700000000000003</v>
      </c>
      <c r="K1475" s="8">
        <v>70.900000000000006</v>
      </c>
      <c r="L1475" s="11"/>
      <c r="M1475" s="11"/>
      <c r="N1475" s="11"/>
      <c r="O1475" s="11"/>
    </row>
    <row r="1476" spans="1:15" ht="15" thickBot="1" x14ac:dyDescent="0.4">
      <c r="A1476" t="str">
        <f t="shared" si="363"/>
        <v>FC090</v>
      </c>
      <c r="B1476" t="str">
        <f t="shared" si="359"/>
        <v>CPAC Northeast</v>
      </c>
      <c r="C1476" s="18"/>
      <c r="D1476" s="18"/>
      <c r="E1476" s="18"/>
      <c r="F1476" s="18"/>
      <c r="G1476" s="18"/>
      <c r="H1476" s="25"/>
      <c r="I1476" s="5" t="s">
        <v>21</v>
      </c>
      <c r="J1476" s="9">
        <v>0.78</v>
      </c>
      <c r="K1476" s="9">
        <v>0.64</v>
      </c>
      <c r="L1476" s="11"/>
      <c r="M1476" s="11"/>
      <c r="N1476" s="11"/>
      <c r="O1476" s="11"/>
    </row>
    <row r="1477" spans="1:15" ht="15" thickBot="1" x14ac:dyDescent="0.4">
      <c r="A1477" t="str">
        <f t="shared" si="364"/>
        <v>FC090</v>
      </c>
      <c r="B1477" t="str">
        <f t="shared" si="359"/>
        <v>CPAC Northeast</v>
      </c>
      <c r="C1477" s="19"/>
      <c r="D1477" s="19"/>
      <c r="E1477" s="19"/>
      <c r="F1477" s="19"/>
      <c r="G1477" s="19"/>
      <c r="H1477" s="26"/>
      <c r="I1477" s="3" t="s">
        <v>22</v>
      </c>
      <c r="J1477" s="11"/>
      <c r="K1477" s="9" t="s">
        <v>25</v>
      </c>
      <c r="L1477" s="11" t="s">
        <v>46</v>
      </c>
      <c r="M1477" s="11" t="s">
        <v>46</v>
      </c>
      <c r="N1477" s="11" t="s">
        <v>46</v>
      </c>
      <c r="O1477" s="11" t="s">
        <v>46</v>
      </c>
    </row>
    <row r="1478" spans="1:15" ht="15" thickBot="1" x14ac:dyDescent="0.4">
      <c r="B1478" t="str">
        <f t="shared" si="359"/>
        <v>CPAC Northeast</v>
      </c>
      <c r="C1478" s="16"/>
      <c r="D1478" s="16"/>
      <c r="E1478" s="16"/>
      <c r="F1478" s="16"/>
      <c r="G1478" s="16" t="s">
        <v>336</v>
      </c>
      <c r="H1478" s="27" t="s">
        <v>34</v>
      </c>
      <c r="I1478" s="1"/>
      <c r="J1478" s="1"/>
      <c r="K1478" s="1"/>
      <c r="L1478" s="1"/>
      <c r="M1478" s="1"/>
      <c r="N1478" s="1"/>
      <c r="O1478" s="1"/>
    </row>
    <row r="1479" spans="1:15" ht="15" thickBot="1" x14ac:dyDescent="0.4">
      <c r="A1479" t="str">
        <f t="shared" si="360"/>
        <v>FC245</v>
      </c>
      <c r="B1479" t="str">
        <f t="shared" si="359"/>
        <v>CPAC Northeast</v>
      </c>
      <c r="C1479" s="18"/>
      <c r="D1479" s="18"/>
      <c r="E1479" s="18"/>
      <c r="F1479" s="18"/>
      <c r="G1479" s="18"/>
      <c r="H1479" s="28"/>
      <c r="I1479" s="3" t="s">
        <v>18</v>
      </c>
      <c r="J1479" s="4">
        <v>34</v>
      </c>
      <c r="K1479" s="4">
        <v>30</v>
      </c>
      <c r="L1479" s="4">
        <v>37</v>
      </c>
      <c r="M1479" s="8">
        <v>15</v>
      </c>
      <c r="N1479" s="4">
        <v>33</v>
      </c>
      <c r="O1479" s="4">
        <v>39</v>
      </c>
    </row>
    <row r="1480" spans="1:15" ht="15" thickBot="1" x14ac:dyDescent="0.4">
      <c r="A1480" t="str">
        <f t="shared" si="361"/>
        <v>FC245</v>
      </c>
      <c r="B1480" t="str">
        <f t="shared" si="359"/>
        <v>CPAC Northeast</v>
      </c>
      <c r="C1480" s="18"/>
      <c r="D1480" s="18"/>
      <c r="E1480" s="18"/>
      <c r="F1480" s="18"/>
      <c r="G1480" s="18"/>
      <c r="H1480" s="28"/>
      <c r="I1480" s="5" t="s">
        <v>19</v>
      </c>
      <c r="J1480" s="7">
        <v>87</v>
      </c>
      <c r="K1480" s="9">
        <v>126</v>
      </c>
      <c r="L1480" s="9">
        <v>103</v>
      </c>
      <c r="M1480" s="9">
        <v>97</v>
      </c>
      <c r="N1480" s="6">
        <v>56</v>
      </c>
      <c r="O1480" s="9">
        <v>112</v>
      </c>
    </row>
    <row r="1481" spans="1:15" ht="15" thickBot="1" x14ac:dyDescent="0.4">
      <c r="A1481" t="str">
        <f t="shared" si="362"/>
        <v>FC245</v>
      </c>
      <c r="B1481" t="str">
        <f t="shared" si="359"/>
        <v>CPAC Northeast</v>
      </c>
      <c r="C1481" s="18"/>
      <c r="D1481" s="18"/>
      <c r="E1481" s="18"/>
      <c r="F1481" s="18"/>
      <c r="G1481" s="18"/>
      <c r="H1481" s="28"/>
      <c r="I1481" s="3" t="s">
        <v>20</v>
      </c>
      <c r="J1481" s="7">
        <v>37.299999999999997</v>
      </c>
      <c r="K1481" s="10">
        <v>24.6</v>
      </c>
      <c r="L1481" s="10">
        <v>21.8</v>
      </c>
      <c r="M1481" s="9">
        <v>32.9</v>
      </c>
      <c r="N1481" s="10">
        <v>28</v>
      </c>
      <c r="O1481" s="6">
        <v>45.5</v>
      </c>
    </row>
    <row r="1482" spans="1:15" ht="15" thickBot="1" x14ac:dyDescent="0.4">
      <c r="A1482" t="str">
        <f t="shared" si="363"/>
        <v>FC245</v>
      </c>
      <c r="B1482" t="str">
        <f t="shared" si="359"/>
        <v>CPAC Northeast</v>
      </c>
      <c r="C1482" s="18"/>
      <c r="D1482" s="18"/>
      <c r="E1482" s="18"/>
      <c r="F1482" s="18"/>
      <c r="G1482" s="18"/>
      <c r="H1482" s="28"/>
      <c r="I1482" s="5" t="s">
        <v>21</v>
      </c>
      <c r="J1482" s="9">
        <v>0.78</v>
      </c>
      <c r="K1482" s="10">
        <v>1.71</v>
      </c>
      <c r="L1482" s="10">
        <v>1.57</v>
      </c>
      <c r="M1482" s="10">
        <v>0.98</v>
      </c>
      <c r="N1482" s="9">
        <v>0.66</v>
      </c>
      <c r="O1482" s="10">
        <v>0.82</v>
      </c>
    </row>
    <row r="1483" spans="1:15" ht="15" thickBot="1" x14ac:dyDescent="0.4">
      <c r="A1483" t="str">
        <f t="shared" si="364"/>
        <v>FC245</v>
      </c>
      <c r="B1483" t="str">
        <f t="shared" si="359"/>
        <v>CPAC Northeast</v>
      </c>
      <c r="C1483" s="19"/>
      <c r="D1483" s="19"/>
      <c r="E1483" s="19"/>
      <c r="F1483" s="19"/>
      <c r="G1483" s="19"/>
      <c r="H1483" s="29"/>
      <c r="I1483" s="3" t="s">
        <v>22</v>
      </c>
      <c r="J1483" s="11"/>
      <c r="K1483" s="11"/>
      <c r="L1483" s="11"/>
      <c r="M1483" s="10" t="s">
        <v>24</v>
      </c>
      <c r="N1483" s="11"/>
      <c r="O1483" s="11"/>
    </row>
    <row r="1484" spans="1:15" ht="15" thickBot="1" x14ac:dyDescent="0.4">
      <c r="B1484" t="str">
        <f t="shared" si="359"/>
        <v>CPAC Northeast</v>
      </c>
      <c r="C1484" s="16"/>
      <c r="D1484" s="16"/>
      <c r="E1484" s="16"/>
      <c r="F1484" s="16" t="s">
        <v>337</v>
      </c>
      <c r="G1484" s="16" t="s">
        <v>338</v>
      </c>
      <c r="H1484" s="24" t="s">
        <v>30</v>
      </c>
      <c r="I1484" s="1"/>
      <c r="J1484" s="1"/>
      <c r="K1484" s="1"/>
      <c r="L1484" s="1"/>
      <c r="M1484" s="1"/>
      <c r="N1484" s="1"/>
      <c r="O1484" s="1"/>
    </row>
    <row r="1485" spans="1:15" ht="15" thickBot="1" x14ac:dyDescent="0.4">
      <c r="A1485" t="str">
        <f t="shared" si="360"/>
        <v>FC301</v>
      </c>
      <c r="B1485" t="str">
        <f t="shared" si="359"/>
        <v>CPAC Northeast</v>
      </c>
      <c r="C1485" s="18"/>
      <c r="D1485" s="18"/>
      <c r="E1485" s="18"/>
      <c r="F1485" s="18"/>
      <c r="G1485" s="18"/>
      <c r="H1485" s="25"/>
      <c r="I1485" s="3" t="s">
        <v>18</v>
      </c>
      <c r="J1485" s="11"/>
      <c r="K1485" s="11"/>
      <c r="L1485" s="11"/>
      <c r="M1485" s="11"/>
      <c r="N1485" s="11"/>
      <c r="O1485" s="11"/>
    </row>
    <row r="1486" spans="1:15" ht="15" thickBot="1" x14ac:dyDescent="0.4">
      <c r="A1486" t="str">
        <f t="shared" si="361"/>
        <v>FC301</v>
      </c>
      <c r="B1486" t="str">
        <f t="shared" si="359"/>
        <v>CPAC Northeast</v>
      </c>
      <c r="C1486" s="18"/>
      <c r="D1486" s="18"/>
      <c r="E1486" s="18"/>
      <c r="F1486" s="18"/>
      <c r="G1486" s="18"/>
      <c r="H1486" s="25"/>
      <c r="I1486" s="5" t="s">
        <v>19</v>
      </c>
      <c r="J1486" s="11"/>
      <c r="K1486" s="11"/>
      <c r="L1486" s="11"/>
      <c r="M1486" s="11"/>
      <c r="N1486" s="11"/>
      <c r="O1486" s="11"/>
    </row>
    <row r="1487" spans="1:15" ht="15" thickBot="1" x14ac:dyDescent="0.4">
      <c r="A1487" t="str">
        <f t="shared" si="362"/>
        <v>FC301</v>
      </c>
      <c r="B1487" t="str">
        <f t="shared" ref="B1487:B1550" si="365">$D$974</f>
        <v>CPAC Northeast</v>
      </c>
      <c r="C1487" s="18"/>
      <c r="D1487" s="18"/>
      <c r="E1487" s="18"/>
      <c r="F1487" s="18"/>
      <c r="G1487" s="18"/>
      <c r="H1487" s="25"/>
      <c r="I1487" s="3" t="s">
        <v>20</v>
      </c>
      <c r="J1487" s="11"/>
      <c r="K1487" s="11"/>
      <c r="L1487" s="11"/>
      <c r="M1487" s="11"/>
      <c r="N1487" s="11"/>
      <c r="O1487" s="11"/>
    </row>
    <row r="1488" spans="1:15" ht="15" thickBot="1" x14ac:dyDescent="0.4">
      <c r="A1488" t="str">
        <f t="shared" si="363"/>
        <v>FC301</v>
      </c>
      <c r="B1488" t="str">
        <f t="shared" si="365"/>
        <v>CPAC Northeast</v>
      </c>
      <c r="C1488" s="18"/>
      <c r="D1488" s="18"/>
      <c r="E1488" s="18"/>
      <c r="F1488" s="18"/>
      <c r="G1488" s="18"/>
      <c r="H1488" s="25"/>
      <c r="I1488" s="5" t="s">
        <v>21</v>
      </c>
      <c r="J1488" s="11"/>
      <c r="K1488" s="11"/>
      <c r="L1488" s="11"/>
      <c r="M1488" s="11"/>
      <c r="N1488" s="11"/>
      <c r="O1488" s="11"/>
    </row>
    <row r="1489" spans="1:15" ht="15" thickBot="1" x14ac:dyDescent="0.4">
      <c r="A1489" t="str">
        <f t="shared" si="364"/>
        <v>FC301</v>
      </c>
      <c r="B1489" t="str">
        <f t="shared" si="365"/>
        <v>CPAC Northeast</v>
      </c>
      <c r="C1489" s="19"/>
      <c r="D1489" s="19"/>
      <c r="E1489" s="19"/>
      <c r="F1489" s="19"/>
      <c r="G1489" s="19"/>
      <c r="H1489" s="26"/>
      <c r="I1489" s="3" t="s">
        <v>22</v>
      </c>
      <c r="J1489" s="11" t="s">
        <v>46</v>
      </c>
      <c r="K1489" s="11" t="s">
        <v>46</v>
      </c>
      <c r="L1489" s="11" t="s">
        <v>46</v>
      </c>
      <c r="M1489" s="11" t="s">
        <v>46</v>
      </c>
      <c r="N1489" s="11" t="s">
        <v>46</v>
      </c>
      <c r="O1489" s="11" t="s">
        <v>46</v>
      </c>
    </row>
    <row r="1490" spans="1:15" ht="15" thickBot="1" x14ac:dyDescent="0.4">
      <c r="B1490" t="str">
        <f t="shared" si="365"/>
        <v>CPAC Northeast</v>
      </c>
      <c r="C1490" s="16"/>
      <c r="D1490" s="16"/>
      <c r="E1490" s="16"/>
      <c r="F1490" s="16"/>
      <c r="G1490" s="16" t="s">
        <v>339</v>
      </c>
      <c r="H1490" s="27" t="s">
        <v>34</v>
      </c>
      <c r="I1490" s="1"/>
      <c r="J1490" s="1"/>
      <c r="K1490" s="1"/>
      <c r="L1490" s="1"/>
      <c r="M1490" s="1"/>
      <c r="N1490" s="1"/>
      <c r="O1490" s="1"/>
    </row>
    <row r="1491" spans="1:15" ht="15" thickBot="1" x14ac:dyDescent="0.4">
      <c r="A1491" t="str">
        <f t="shared" si="360"/>
        <v>FC400</v>
      </c>
      <c r="B1491" t="str">
        <f t="shared" si="365"/>
        <v>CPAC Northeast</v>
      </c>
      <c r="C1491" s="18"/>
      <c r="D1491" s="18"/>
      <c r="E1491" s="18"/>
      <c r="F1491" s="18"/>
      <c r="G1491" s="18"/>
      <c r="H1491" s="28"/>
      <c r="I1491" s="3" t="s">
        <v>18</v>
      </c>
      <c r="J1491" s="4">
        <v>30</v>
      </c>
      <c r="K1491" s="11"/>
      <c r="L1491" s="4">
        <v>36</v>
      </c>
      <c r="M1491" s="4">
        <v>36</v>
      </c>
      <c r="N1491" s="4">
        <v>36</v>
      </c>
      <c r="O1491" s="4">
        <v>30</v>
      </c>
    </row>
    <row r="1492" spans="1:15" ht="15" thickBot="1" x14ac:dyDescent="0.4">
      <c r="A1492" t="str">
        <f t="shared" si="361"/>
        <v>FC400</v>
      </c>
      <c r="B1492" t="str">
        <f t="shared" si="365"/>
        <v>CPAC Northeast</v>
      </c>
      <c r="C1492" s="18"/>
      <c r="D1492" s="18"/>
      <c r="E1492" s="18"/>
      <c r="F1492" s="18"/>
      <c r="G1492" s="18"/>
      <c r="H1492" s="28"/>
      <c r="I1492" s="5" t="s">
        <v>19</v>
      </c>
      <c r="J1492" s="7">
        <v>74</v>
      </c>
      <c r="K1492" s="11"/>
      <c r="L1492" s="9">
        <v>91</v>
      </c>
      <c r="M1492" s="6">
        <v>66</v>
      </c>
      <c r="N1492" s="6">
        <v>52</v>
      </c>
      <c r="O1492" s="8">
        <v>34</v>
      </c>
    </row>
    <row r="1493" spans="1:15" ht="15" thickBot="1" x14ac:dyDescent="0.4">
      <c r="A1493" t="str">
        <f t="shared" si="362"/>
        <v>FC400</v>
      </c>
      <c r="B1493" t="str">
        <f t="shared" si="365"/>
        <v>CPAC Northeast</v>
      </c>
      <c r="C1493" s="18"/>
      <c r="D1493" s="18"/>
      <c r="E1493" s="18"/>
      <c r="F1493" s="18"/>
      <c r="G1493" s="18"/>
      <c r="H1493" s="28"/>
      <c r="I1493" s="3" t="s">
        <v>20</v>
      </c>
      <c r="J1493" s="10">
        <v>26.2</v>
      </c>
      <c r="K1493" s="11"/>
      <c r="L1493" s="10">
        <v>15.1</v>
      </c>
      <c r="M1493" s="10">
        <v>27</v>
      </c>
      <c r="N1493" s="10">
        <v>18.899999999999999</v>
      </c>
      <c r="O1493" s="10">
        <v>17.3</v>
      </c>
    </row>
    <row r="1494" spans="1:15" ht="15" thickBot="1" x14ac:dyDescent="0.4">
      <c r="A1494" t="str">
        <f t="shared" si="363"/>
        <v>FC400</v>
      </c>
      <c r="B1494" t="str">
        <f t="shared" si="365"/>
        <v>CPAC Northeast</v>
      </c>
      <c r="C1494" s="18"/>
      <c r="D1494" s="18"/>
      <c r="E1494" s="18"/>
      <c r="F1494" s="18"/>
      <c r="G1494" s="18"/>
      <c r="H1494" s="28"/>
      <c r="I1494" s="5" t="s">
        <v>21</v>
      </c>
      <c r="J1494" s="10">
        <v>0.95</v>
      </c>
      <c r="K1494" s="11"/>
      <c r="L1494" s="10">
        <v>2</v>
      </c>
      <c r="M1494" s="10">
        <v>0.81</v>
      </c>
      <c r="N1494" s="10">
        <v>0.92</v>
      </c>
      <c r="O1494" s="9">
        <v>0.65</v>
      </c>
    </row>
    <row r="1495" spans="1:15" ht="15" thickBot="1" x14ac:dyDescent="0.4">
      <c r="A1495" t="str">
        <f t="shared" si="364"/>
        <v>FC400</v>
      </c>
      <c r="B1495" t="str">
        <f t="shared" si="365"/>
        <v>CPAC Northeast</v>
      </c>
      <c r="C1495" s="19"/>
      <c r="D1495" s="19"/>
      <c r="E1495" s="19"/>
      <c r="F1495" s="19"/>
      <c r="G1495" s="19"/>
      <c r="H1495" s="29"/>
      <c r="I1495" s="3" t="s">
        <v>22</v>
      </c>
      <c r="J1495" s="10" t="s">
        <v>24</v>
      </c>
      <c r="K1495" s="11" t="s">
        <v>27</v>
      </c>
      <c r="L1495" s="11"/>
      <c r="M1495" s="11"/>
      <c r="N1495" s="11"/>
      <c r="O1495" s="11"/>
    </row>
    <row r="1496" spans="1:15" ht="15" thickBot="1" x14ac:dyDescent="0.4">
      <c r="B1496" t="str">
        <f t="shared" si="365"/>
        <v>CPAC Northeast</v>
      </c>
      <c r="C1496" s="16"/>
      <c r="D1496" s="16"/>
      <c r="E1496" s="16"/>
      <c r="F1496" s="16"/>
      <c r="G1496" s="16" t="s">
        <v>340</v>
      </c>
      <c r="H1496" s="20" t="s">
        <v>17</v>
      </c>
      <c r="I1496" s="1"/>
      <c r="J1496" s="1"/>
      <c r="K1496" s="1"/>
      <c r="L1496" s="1"/>
      <c r="M1496" s="1"/>
      <c r="N1496" s="1"/>
      <c r="O1496" s="1"/>
    </row>
    <row r="1497" spans="1:15" ht="15" thickBot="1" x14ac:dyDescent="0.4">
      <c r="A1497" t="str">
        <f t="shared" ref="A1497:A1560" si="366">IF(LEFT(G1496,2)="FC",LEFT(G1496,5),LEFT(G1496,4))</f>
        <v>FC143</v>
      </c>
      <c r="B1497" t="str">
        <f t="shared" si="365"/>
        <v>CPAC Northeast</v>
      </c>
      <c r="C1497" s="18"/>
      <c r="D1497" s="18"/>
      <c r="E1497" s="18"/>
      <c r="F1497" s="18"/>
      <c r="G1497" s="18"/>
      <c r="H1497" s="22"/>
      <c r="I1497" s="3" t="s">
        <v>18</v>
      </c>
      <c r="J1497" s="4">
        <v>50</v>
      </c>
      <c r="K1497" s="4">
        <v>64</v>
      </c>
      <c r="L1497" s="4">
        <v>73</v>
      </c>
      <c r="M1497" s="4">
        <v>57</v>
      </c>
      <c r="N1497" s="4">
        <v>51</v>
      </c>
      <c r="O1497" s="4">
        <v>31</v>
      </c>
    </row>
    <row r="1498" spans="1:15" ht="15" thickBot="1" x14ac:dyDescent="0.4">
      <c r="A1498" t="str">
        <f t="shared" si="361"/>
        <v>FC143</v>
      </c>
      <c r="B1498" t="str">
        <f t="shared" si="365"/>
        <v>CPAC Northeast</v>
      </c>
      <c r="C1498" s="18"/>
      <c r="D1498" s="18"/>
      <c r="E1498" s="18"/>
      <c r="F1498" s="18"/>
      <c r="G1498" s="18"/>
      <c r="H1498" s="22"/>
      <c r="I1498" s="5" t="s">
        <v>19</v>
      </c>
      <c r="J1498" s="7">
        <v>73</v>
      </c>
      <c r="K1498" s="8">
        <v>42</v>
      </c>
      <c r="L1498" s="7">
        <v>74</v>
      </c>
      <c r="M1498" s="6">
        <v>63</v>
      </c>
      <c r="N1498" s="6">
        <v>60</v>
      </c>
      <c r="O1498" s="8">
        <v>35</v>
      </c>
    </row>
    <row r="1499" spans="1:15" ht="15" thickBot="1" x14ac:dyDescent="0.4">
      <c r="A1499" t="str">
        <f t="shared" si="362"/>
        <v>FC143</v>
      </c>
      <c r="B1499" t="str">
        <f t="shared" si="365"/>
        <v>CPAC Northeast</v>
      </c>
      <c r="C1499" s="18"/>
      <c r="D1499" s="18"/>
      <c r="E1499" s="18"/>
      <c r="F1499" s="18"/>
      <c r="G1499" s="18"/>
      <c r="H1499" s="22"/>
      <c r="I1499" s="3" t="s">
        <v>20</v>
      </c>
      <c r="J1499" s="10">
        <v>20.7</v>
      </c>
      <c r="K1499" s="10">
        <v>23.8</v>
      </c>
      <c r="L1499" s="9">
        <v>30.4</v>
      </c>
      <c r="M1499" s="9">
        <v>33.4</v>
      </c>
      <c r="N1499" s="9">
        <v>34.4</v>
      </c>
      <c r="O1499" s="10">
        <v>22.9</v>
      </c>
    </row>
    <row r="1500" spans="1:15" ht="15" thickBot="1" x14ac:dyDescent="0.4">
      <c r="A1500" t="str">
        <f t="shared" si="363"/>
        <v>FC143</v>
      </c>
      <c r="B1500" t="str">
        <f t="shared" si="365"/>
        <v>CPAC Northeast</v>
      </c>
      <c r="C1500" s="18"/>
      <c r="D1500" s="18"/>
      <c r="E1500" s="18"/>
      <c r="F1500" s="18"/>
      <c r="G1500" s="18"/>
      <c r="H1500" s="22"/>
      <c r="I1500" s="5" t="s">
        <v>21</v>
      </c>
      <c r="J1500" s="10">
        <v>1.18</v>
      </c>
      <c r="K1500" s="9">
        <v>0.59</v>
      </c>
      <c r="L1500" s="10">
        <v>0.82</v>
      </c>
      <c r="M1500" s="9">
        <v>0.63</v>
      </c>
      <c r="N1500" s="9">
        <v>0.57999999999999996</v>
      </c>
      <c r="O1500" s="8">
        <v>0.51</v>
      </c>
    </row>
    <row r="1501" spans="1:15" ht="15" thickBot="1" x14ac:dyDescent="0.4">
      <c r="A1501" t="str">
        <f t="shared" si="364"/>
        <v>FC143</v>
      </c>
      <c r="B1501" t="str">
        <f t="shared" si="365"/>
        <v>CPAC Northeast</v>
      </c>
      <c r="C1501" s="19"/>
      <c r="D1501" s="19"/>
      <c r="E1501" s="19"/>
      <c r="F1501" s="19"/>
      <c r="G1501" s="19"/>
      <c r="H1501" s="23"/>
      <c r="I1501" s="3" t="s">
        <v>22</v>
      </c>
      <c r="J1501" s="11"/>
      <c r="K1501" s="11"/>
      <c r="L1501" s="11"/>
      <c r="M1501" s="11"/>
      <c r="N1501" s="11"/>
      <c r="O1501" s="8" t="s">
        <v>23</v>
      </c>
    </row>
    <row r="1502" spans="1:15" ht="15" thickBot="1" x14ac:dyDescent="0.4">
      <c r="B1502" t="str">
        <f t="shared" si="365"/>
        <v>CPAC Northeast</v>
      </c>
      <c r="C1502" s="16"/>
      <c r="D1502" s="16"/>
      <c r="E1502" s="16"/>
      <c r="F1502" s="16"/>
      <c r="G1502" s="16" t="s">
        <v>341</v>
      </c>
      <c r="H1502" s="27" t="s">
        <v>34</v>
      </c>
      <c r="I1502" s="1"/>
      <c r="J1502" s="1"/>
      <c r="K1502" s="1"/>
      <c r="L1502" s="1"/>
      <c r="M1502" s="1"/>
      <c r="N1502" s="1"/>
      <c r="O1502" s="1"/>
    </row>
    <row r="1503" spans="1:15" ht="15" thickBot="1" x14ac:dyDescent="0.4">
      <c r="A1503" t="str">
        <f t="shared" si="366"/>
        <v>FC285</v>
      </c>
      <c r="B1503" t="str">
        <f t="shared" si="365"/>
        <v>CPAC Northeast</v>
      </c>
      <c r="C1503" s="18"/>
      <c r="D1503" s="18"/>
      <c r="E1503" s="18"/>
      <c r="F1503" s="18"/>
      <c r="G1503" s="18"/>
      <c r="H1503" s="28"/>
      <c r="I1503" s="3" t="s">
        <v>18</v>
      </c>
      <c r="J1503" s="4">
        <v>36</v>
      </c>
      <c r="K1503" s="4">
        <v>30</v>
      </c>
      <c r="L1503" s="4">
        <v>30</v>
      </c>
      <c r="M1503" s="4">
        <v>36</v>
      </c>
      <c r="N1503" s="4">
        <v>36</v>
      </c>
      <c r="O1503" s="4">
        <v>36</v>
      </c>
    </row>
    <row r="1504" spans="1:15" ht="15" thickBot="1" x14ac:dyDescent="0.4">
      <c r="A1504" t="str">
        <f t="shared" ref="A1504:A1564" si="367">IF(LEFT(G1502,2)="FC",LEFT(G1502,5),LEFT(G1502,4))</f>
        <v>FC285</v>
      </c>
      <c r="B1504" t="str">
        <f t="shared" si="365"/>
        <v>CPAC Northeast</v>
      </c>
      <c r="C1504" s="18"/>
      <c r="D1504" s="18"/>
      <c r="E1504" s="18"/>
      <c r="F1504" s="18"/>
      <c r="G1504" s="18"/>
      <c r="H1504" s="28"/>
      <c r="I1504" s="5" t="s">
        <v>19</v>
      </c>
      <c r="J1504" s="7">
        <v>84</v>
      </c>
      <c r="K1504" s="9">
        <v>114</v>
      </c>
      <c r="L1504" s="9">
        <v>117</v>
      </c>
      <c r="M1504" s="7">
        <v>72</v>
      </c>
      <c r="N1504" s="7">
        <v>90</v>
      </c>
      <c r="O1504" s="7">
        <v>87</v>
      </c>
    </row>
    <row r="1505" spans="1:15" ht="15" thickBot="1" x14ac:dyDescent="0.4">
      <c r="A1505" t="str">
        <f t="shared" ref="A1505:A1565" si="368">IF(LEFT(G1502,2)="FC",LEFT(G1502,5),LEFT(G1502,4))</f>
        <v>FC285</v>
      </c>
      <c r="B1505" t="str">
        <f t="shared" si="365"/>
        <v>CPAC Northeast</v>
      </c>
      <c r="C1505" s="18"/>
      <c r="D1505" s="18"/>
      <c r="E1505" s="18"/>
      <c r="F1505" s="18"/>
      <c r="G1505" s="18"/>
      <c r="H1505" s="28"/>
      <c r="I1505" s="3" t="s">
        <v>20</v>
      </c>
      <c r="J1505" s="9">
        <v>31.1</v>
      </c>
      <c r="K1505" s="6">
        <v>48</v>
      </c>
      <c r="L1505" s="10">
        <v>27.3</v>
      </c>
      <c r="M1505" s="7">
        <v>34.9</v>
      </c>
      <c r="N1505" s="8">
        <v>54.8</v>
      </c>
      <c r="O1505" s="7">
        <v>38.799999999999997</v>
      </c>
    </row>
    <row r="1506" spans="1:15" ht="15" thickBot="1" x14ac:dyDescent="0.4">
      <c r="A1506" t="str">
        <f t="shared" ref="A1506:A1566" si="369">IF(LEFT(G1502,2)="FC",LEFT(G1502,5),LEFT(G1502,4))</f>
        <v>FC285</v>
      </c>
      <c r="B1506" t="str">
        <f t="shared" si="365"/>
        <v>CPAC Northeast</v>
      </c>
      <c r="C1506" s="18"/>
      <c r="D1506" s="18"/>
      <c r="E1506" s="18"/>
      <c r="F1506" s="18"/>
      <c r="G1506" s="18"/>
      <c r="H1506" s="28"/>
      <c r="I1506" s="5" t="s">
        <v>21</v>
      </c>
      <c r="J1506" s="10">
        <v>0.9</v>
      </c>
      <c r="K1506" s="10">
        <v>0.79</v>
      </c>
      <c r="L1506" s="10">
        <v>1.43</v>
      </c>
      <c r="M1506" s="9">
        <v>0.68</v>
      </c>
      <c r="N1506" s="9">
        <v>0.55000000000000004</v>
      </c>
      <c r="O1506" s="9">
        <v>0.75</v>
      </c>
    </row>
    <row r="1507" spans="1:15" ht="15" thickBot="1" x14ac:dyDescent="0.4">
      <c r="A1507" t="str">
        <f t="shared" ref="A1507:A1567" si="370">IF(LEFT(G1502,2)="FC",LEFT(G1502,5),LEFT(G1502,4))</f>
        <v>FC285</v>
      </c>
      <c r="B1507" t="str">
        <f t="shared" si="365"/>
        <v>CPAC Northeast</v>
      </c>
      <c r="C1507" s="19"/>
      <c r="D1507" s="19"/>
      <c r="E1507" s="19"/>
      <c r="F1507" s="19"/>
      <c r="G1507" s="19"/>
      <c r="H1507" s="29"/>
      <c r="I1507" s="3" t="s">
        <v>22</v>
      </c>
      <c r="J1507" s="11"/>
      <c r="K1507" s="11"/>
      <c r="L1507" s="11"/>
      <c r="M1507" s="11"/>
      <c r="N1507" s="11"/>
      <c r="O1507" s="11"/>
    </row>
    <row r="1508" spans="1:15" ht="15" thickBot="1" x14ac:dyDescent="0.4">
      <c r="B1508" t="str">
        <f t="shared" si="365"/>
        <v>CPAC Northeast</v>
      </c>
      <c r="C1508" s="16"/>
      <c r="D1508" s="16"/>
      <c r="E1508" s="16"/>
      <c r="F1508" s="16"/>
      <c r="G1508" s="16" t="s">
        <v>342</v>
      </c>
      <c r="H1508" s="27" t="s">
        <v>34</v>
      </c>
      <c r="I1508" s="1"/>
      <c r="J1508" s="1"/>
      <c r="K1508" s="1"/>
      <c r="L1508" s="1"/>
      <c r="M1508" s="1"/>
      <c r="N1508" s="1"/>
      <c r="O1508" s="1"/>
    </row>
    <row r="1509" spans="1:15" ht="15" thickBot="1" x14ac:dyDescent="0.4">
      <c r="A1509" t="str">
        <f t="shared" si="366"/>
        <v>FC407</v>
      </c>
      <c r="B1509" t="str">
        <f t="shared" si="365"/>
        <v>CPAC Northeast</v>
      </c>
      <c r="C1509" s="18"/>
      <c r="D1509" s="18"/>
      <c r="E1509" s="18"/>
      <c r="F1509" s="18"/>
      <c r="G1509" s="18"/>
      <c r="H1509" s="28"/>
      <c r="I1509" s="3" t="s">
        <v>18</v>
      </c>
      <c r="J1509" s="4">
        <v>45</v>
      </c>
      <c r="K1509" s="4">
        <v>33</v>
      </c>
      <c r="L1509" s="4">
        <v>30</v>
      </c>
      <c r="M1509" s="4">
        <v>30</v>
      </c>
      <c r="N1509" s="4">
        <v>39</v>
      </c>
      <c r="O1509" s="4">
        <v>30</v>
      </c>
    </row>
    <row r="1510" spans="1:15" ht="15" thickBot="1" x14ac:dyDescent="0.4">
      <c r="A1510" t="str">
        <f t="shared" si="367"/>
        <v>FC407</v>
      </c>
      <c r="B1510" t="str">
        <f t="shared" si="365"/>
        <v>CPAC Northeast</v>
      </c>
      <c r="C1510" s="18"/>
      <c r="D1510" s="18"/>
      <c r="E1510" s="18"/>
      <c r="F1510" s="18"/>
      <c r="G1510" s="18"/>
      <c r="H1510" s="28"/>
      <c r="I1510" s="5" t="s">
        <v>19</v>
      </c>
      <c r="J1510" s="7">
        <v>85</v>
      </c>
      <c r="K1510" s="9">
        <v>98</v>
      </c>
      <c r="L1510" s="9">
        <v>101</v>
      </c>
      <c r="M1510" s="7">
        <v>72</v>
      </c>
      <c r="N1510" s="6">
        <v>60</v>
      </c>
      <c r="O1510" s="7">
        <v>79</v>
      </c>
    </row>
    <row r="1511" spans="1:15" ht="15" thickBot="1" x14ac:dyDescent="0.4">
      <c r="A1511" t="str">
        <f t="shared" si="368"/>
        <v>FC407</v>
      </c>
      <c r="B1511" t="str">
        <f t="shared" si="365"/>
        <v>CPAC Northeast</v>
      </c>
      <c r="C1511" s="18"/>
      <c r="D1511" s="18"/>
      <c r="E1511" s="18"/>
      <c r="F1511" s="18"/>
      <c r="G1511" s="18"/>
      <c r="H1511" s="28"/>
      <c r="I1511" s="3" t="s">
        <v>20</v>
      </c>
      <c r="J1511" s="8">
        <v>55.5</v>
      </c>
      <c r="K1511" s="10">
        <v>23.4</v>
      </c>
      <c r="L1511" s="6">
        <v>42.5</v>
      </c>
      <c r="M1511" s="9">
        <v>29.5</v>
      </c>
      <c r="N1511" s="10">
        <v>25.3</v>
      </c>
      <c r="O1511" s="7">
        <v>34.799999999999997</v>
      </c>
    </row>
    <row r="1512" spans="1:15" ht="15" thickBot="1" x14ac:dyDescent="0.4">
      <c r="A1512" t="str">
        <f t="shared" si="369"/>
        <v>FC407</v>
      </c>
      <c r="B1512" t="str">
        <f t="shared" si="365"/>
        <v>CPAC Northeast</v>
      </c>
      <c r="C1512" s="18"/>
      <c r="D1512" s="18"/>
      <c r="E1512" s="18"/>
      <c r="F1512" s="18"/>
      <c r="G1512" s="18"/>
      <c r="H1512" s="28"/>
      <c r="I1512" s="5" t="s">
        <v>21</v>
      </c>
      <c r="J1512" s="8">
        <v>0.51</v>
      </c>
      <c r="K1512" s="10">
        <v>1.39</v>
      </c>
      <c r="L1512" s="10">
        <v>0.79</v>
      </c>
      <c r="M1512" s="10">
        <v>0.81</v>
      </c>
      <c r="N1512" s="10">
        <v>0.79</v>
      </c>
      <c r="O1512" s="9">
        <v>0.76</v>
      </c>
    </row>
    <row r="1513" spans="1:15" ht="15" thickBot="1" x14ac:dyDescent="0.4">
      <c r="A1513" t="str">
        <f t="shared" si="370"/>
        <v>FC407</v>
      </c>
      <c r="B1513" t="str">
        <f t="shared" si="365"/>
        <v>CPAC Northeast</v>
      </c>
      <c r="C1513" s="19"/>
      <c r="D1513" s="19"/>
      <c r="E1513" s="19"/>
      <c r="F1513" s="19"/>
      <c r="G1513" s="19"/>
      <c r="H1513" s="29"/>
      <c r="I1513" s="3" t="s">
        <v>22</v>
      </c>
      <c r="J1513" s="8" t="s">
        <v>23</v>
      </c>
      <c r="K1513" s="10" t="s">
        <v>24</v>
      </c>
      <c r="L1513" s="10" t="s">
        <v>24</v>
      </c>
      <c r="M1513" s="10" t="s">
        <v>24</v>
      </c>
      <c r="N1513" s="11"/>
      <c r="O1513" s="10" t="s">
        <v>24</v>
      </c>
    </row>
    <row r="1514" spans="1:15" ht="15" thickBot="1" x14ac:dyDescent="0.4">
      <c r="B1514" t="str">
        <f t="shared" si="365"/>
        <v>CPAC Northeast</v>
      </c>
      <c r="C1514" s="16"/>
      <c r="D1514" s="16"/>
      <c r="E1514" s="16"/>
      <c r="F1514" s="16"/>
      <c r="G1514" s="16" t="s">
        <v>343</v>
      </c>
      <c r="H1514" s="27" t="s">
        <v>34</v>
      </c>
      <c r="I1514" s="1"/>
      <c r="J1514" s="1"/>
      <c r="K1514" s="1"/>
      <c r="L1514" s="1"/>
      <c r="M1514" s="1"/>
      <c r="N1514" s="1"/>
      <c r="O1514" s="1"/>
    </row>
    <row r="1515" spans="1:15" ht="15" thickBot="1" x14ac:dyDescent="0.4">
      <c r="A1515" t="str">
        <f t="shared" si="366"/>
        <v>FC415</v>
      </c>
      <c r="B1515" t="str">
        <f t="shared" si="365"/>
        <v>CPAC Northeast</v>
      </c>
      <c r="C1515" s="18"/>
      <c r="D1515" s="18"/>
      <c r="E1515" s="18"/>
      <c r="F1515" s="18"/>
      <c r="G1515" s="18"/>
      <c r="H1515" s="28"/>
      <c r="I1515" s="3" t="s">
        <v>18</v>
      </c>
      <c r="J1515" s="11"/>
      <c r="K1515" s="11"/>
      <c r="L1515" s="11"/>
      <c r="M1515" s="4">
        <v>39</v>
      </c>
      <c r="N1515" s="4">
        <v>30</v>
      </c>
      <c r="O1515" s="4">
        <v>33</v>
      </c>
    </row>
    <row r="1516" spans="1:15" ht="15" thickBot="1" x14ac:dyDescent="0.4">
      <c r="A1516" t="str">
        <f t="shared" si="367"/>
        <v>FC415</v>
      </c>
      <c r="B1516" t="str">
        <f t="shared" si="365"/>
        <v>CPAC Northeast</v>
      </c>
      <c r="C1516" s="18"/>
      <c r="D1516" s="18"/>
      <c r="E1516" s="18"/>
      <c r="F1516" s="18"/>
      <c r="G1516" s="18"/>
      <c r="H1516" s="28"/>
      <c r="I1516" s="5" t="s">
        <v>19</v>
      </c>
      <c r="J1516" s="11"/>
      <c r="K1516" s="11"/>
      <c r="L1516" s="11"/>
      <c r="M1516" s="9">
        <v>118</v>
      </c>
      <c r="N1516" s="6">
        <v>60</v>
      </c>
      <c r="O1516" s="7">
        <v>79</v>
      </c>
    </row>
    <row r="1517" spans="1:15" ht="15" thickBot="1" x14ac:dyDescent="0.4">
      <c r="A1517" t="str">
        <f t="shared" si="368"/>
        <v>FC415</v>
      </c>
      <c r="B1517" t="str">
        <f t="shared" si="365"/>
        <v>CPAC Northeast</v>
      </c>
      <c r="C1517" s="18"/>
      <c r="D1517" s="18"/>
      <c r="E1517" s="18"/>
      <c r="F1517" s="18"/>
      <c r="G1517" s="18"/>
      <c r="H1517" s="28"/>
      <c r="I1517" s="3" t="s">
        <v>20</v>
      </c>
      <c r="J1517" s="11"/>
      <c r="K1517" s="11"/>
      <c r="L1517" s="11"/>
      <c r="M1517" s="10">
        <v>24.7</v>
      </c>
      <c r="N1517" s="7">
        <v>35.799999999999997</v>
      </c>
      <c r="O1517" s="9">
        <v>33.1</v>
      </c>
    </row>
    <row r="1518" spans="1:15" ht="15" thickBot="1" x14ac:dyDescent="0.4">
      <c r="A1518" t="str">
        <f t="shared" si="369"/>
        <v>FC415</v>
      </c>
      <c r="B1518" t="str">
        <f t="shared" si="365"/>
        <v>CPAC Northeast</v>
      </c>
      <c r="C1518" s="18"/>
      <c r="D1518" s="18"/>
      <c r="E1518" s="18"/>
      <c r="F1518" s="18"/>
      <c r="G1518" s="18"/>
      <c r="H1518" s="28"/>
      <c r="I1518" s="5" t="s">
        <v>21</v>
      </c>
      <c r="J1518" s="11"/>
      <c r="K1518" s="11"/>
      <c r="L1518" s="11"/>
      <c r="M1518" s="10">
        <v>1.59</v>
      </c>
      <c r="N1518" s="9">
        <v>0.56000000000000005</v>
      </c>
      <c r="O1518" s="10">
        <v>0.79</v>
      </c>
    </row>
    <row r="1519" spans="1:15" ht="15" thickBot="1" x14ac:dyDescent="0.4">
      <c r="A1519" t="str">
        <f t="shared" si="370"/>
        <v>FC415</v>
      </c>
      <c r="B1519" t="str">
        <f t="shared" si="365"/>
        <v>CPAC Northeast</v>
      </c>
      <c r="C1519" s="19"/>
      <c r="D1519" s="19"/>
      <c r="E1519" s="19"/>
      <c r="F1519" s="19"/>
      <c r="G1519" s="19"/>
      <c r="H1519" s="29"/>
      <c r="I1519" s="3" t="s">
        <v>22</v>
      </c>
      <c r="J1519" s="11" t="s">
        <v>46</v>
      </c>
      <c r="K1519" s="11" t="s">
        <v>46</v>
      </c>
      <c r="L1519" s="11" t="s">
        <v>45</v>
      </c>
      <c r="M1519" s="11"/>
      <c r="N1519" s="11"/>
      <c r="O1519" s="11"/>
    </row>
    <row r="1520" spans="1:15" ht="15" thickBot="1" x14ac:dyDescent="0.4">
      <c r="B1520" t="str">
        <f t="shared" si="365"/>
        <v>CPAC Northeast</v>
      </c>
      <c r="C1520" s="16"/>
      <c r="D1520" s="16"/>
      <c r="E1520" s="16"/>
      <c r="F1520" s="16"/>
      <c r="G1520" s="16" t="s">
        <v>344</v>
      </c>
      <c r="H1520" s="27" t="s">
        <v>34</v>
      </c>
      <c r="I1520" s="1"/>
      <c r="J1520" s="1"/>
      <c r="K1520" s="1"/>
      <c r="L1520" s="1"/>
      <c r="M1520" s="1"/>
      <c r="N1520" s="1"/>
      <c r="O1520" s="1"/>
    </row>
    <row r="1521" spans="1:15" ht="15" thickBot="1" x14ac:dyDescent="0.4">
      <c r="A1521" t="str">
        <f t="shared" si="366"/>
        <v>FC136</v>
      </c>
      <c r="B1521" t="str">
        <f t="shared" si="365"/>
        <v>CPAC Northeast</v>
      </c>
      <c r="C1521" s="18"/>
      <c r="D1521" s="18"/>
      <c r="E1521" s="18"/>
      <c r="F1521" s="18"/>
      <c r="G1521" s="18"/>
      <c r="H1521" s="28"/>
      <c r="I1521" s="3" t="s">
        <v>18</v>
      </c>
      <c r="J1521" s="4">
        <v>30</v>
      </c>
      <c r="K1521" s="4">
        <v>30</v>
      </c>
      <c r="L1521" s="4">
        <v>30</v>
      </c>
      <c r="M1521" s="4">
        <v>30</v>
      </c>
      <c r="N1521" s="4">
        <v>36</v>
      </c>
      <c r="O1521" s="4">
        <v>30</v>
      </c>
    </row>
    <row r="1522" spans="1:15" ht="15" thickBot="1" x14ac:dyDescent="0.4">
      <c r="A1522" t="str">
        <f t="shared" si="367"/>
        <v>FC136</v>
      </c>
      <c r="B1522" t="str">
        <f t="shared" si="365"/>
        <v>CPAC Northeast</v>
      </c>
      <c r="C1522" s="18"/>
      <c r="D1522" s="18"/>
      <c r="E1522" s="18"/>
      <c r="F1522" s="18"/>
      <c r="G1522" s="18"/>
      <c r="H1522" s="28"/>
      <c r="I1522" s="5" t="s">
        <v>19</v>
      </c>
      <c r="J1522" s="9">
        <v>142</v>
      </c>
      <c r="K1522" s="9">
        <v>102</v>
      </c>
      <c r="L1522" s="7">
        <v>87</v>
      </c>
      <c r="M1522" s="9">
        <v>103</v>
      </c>
      <c r="N1522" s="7">
        <v>87</v>
      </c>
      <c r="O1522" s="9">
        <v>111</v>
      </c>
    </row>
    <row r="1523" spans="1:15" ht="15" thickBot="1" x14ac:dyDescent="0.4">
      <c r="A1523" t="str">
        <f t="shared" si="368"/>
        <v>FC136</v>
      </c>
      <c r="B1523" t="str">
        <f t="shared" si="365"/>
        <v>CPAC Northeast</v>
      </c>
      <c r="C1523" s="18"/>
      <c r="D1523" s="18"/>
      <c r="E1523" s="18"/>
      <c r="F1523" s="18"/>
      <c r="G1523" s="18"/>
      <c r="H1523" s="28"/>
      <c r="I1523" s="3" t="s">
        <v>20</v>
      </c>
      <c r="J1523" s="7">
        <v>34.700000000000003</v>
      </c>
      <c r="K1523" s="10">
        <v>19.7</v>
      </c>
      <c r="L1523" s="6">
        <v>43.4</v>
      </c>
      <c r="M1523" s="7">
        <v>38.1</v>
      </c>
      <c r="N1523" s="10">
        <v>27.4</v>
      </c>
      <c r="O1523" s="6">
        <v>48.7</v>
      </c>
    </row>
    <row r="1524" spans="1:15" ht="15" thickBot="1" x14ac:dyDescent="0.4">
      <c r="A1524" t="str">
        <f t="shared" si="369"/>
        <v>FC136</v>
      </c>
      <c r="B1524" t="str">
        <f t="shared" si="365"/>
        <v>CPAC Northeast</v>
      </c>
      <c r="C1524" s="18"/>
      <c r="D1524" s="18"/>
      <c r="E1524" s="18"/>
      <c r="F1524" s="18"/>
      <c r="G1524" s="18"/>
      <c r="H1524" s="28"/>
      <c r="I1524" s="5" t="s">
        <v>21</v>
      </c>
      <c r="J1524" s="10">
        <v>1.36</v>
      </c>
      <c r="K1524" s="10">
        <v>1.73</v>
      </c>
      <c r="L1524" s="9">
        <v>0.67</v>
      </c>
      <c r="M1524" s="10">
        <v>0.9</v>
      </c>
      <c r="N1524" s="10">
        <v>1.06</v>
      </c>
      <c r="O1524" s="9">
        <v>0.76</v>
      </c>
    </row>
    <row r="1525" spans="1:15" ht="15" thickBot="1" x14ac:dyDescent="0.4">
      <c r="A1525" t="str">
        <f t="shared" si="370"/>
        <v>FC136</v>
      </c>
      <c r="B1525" t="str">
        <f t="shared" si="365"/>
        <v>CPAC Northeast</v>
      </c>
      <c r="C1525" s="19"/>
      <c r="D1525" s="19"/>
      <c r="E1525" s="19"/>
      <c r="F1525" s="19"/>
      <c r="G1525" s="19"/>
      <c r="H1525" s="29"/>
      <c r="I1525" s="3" t="s">
        <v>22</v>
      </c>
      <c r="J1525" s="10" t="s">
        <v>24</v>
      </c>
      <c r="K1525" s="10" t="s">
        <v>24</v>
      </c>
      <c r="L1525" s="9" t="s">
        <v>25</v>
      </c>
      <c r="M1525" s="10" t="s">
        <v>24</v>
      </c>
      <c r="N1525" s="11"/>
      <c r="O1525" s="10" t="s">
        <v>24</v>
      </c>
    </row>
    <row r="1526" spans="1:15" ht="15" thickBot="1" x14ac:dyDescent="0.4">
      <c r="B1526" t="str">
        <f t="shared" si="365"/>
        <v>CPAC Northeast</v>
      </c>
      <c r="C1526" s="16"/>
      <c r="D1526" s="16"/>
      <c r="E1526" s="16"/>
      <c r="F1526" s="16"/>
      <c r="G1526" s="16" t="s">
        <v>345</v>
      </c>
      <c r="H1526" s="27" t="s">
        <v>34</v>
      </c>
      <c r="I1526" s="1"/>
      <c r="J1526" s="1"/>
      <c r="K1526" s="1"/>
      <c r="L1526" s="1"/>
      <c r="M1526" s="1"/>
      <c r="N1526" s="1"/>
      <c r="O1526" s="1"/>
    </row>
    <row r="1527" spans="1:15" ht="15" thickBot="1" x14ac:dyDescent="0.4">
      <c r="A1527" t="str">
        <f t="shared" si="366"/>
        <v>FC181</v>
      </c>
      <c r="B1527" t="str">
        <f t="shared" si="365"/>
        <v>CPAC Northeast</v>
      </c>
      <c r="C1527" s="18"/>
      <c r="D1527" s="18"/>
      <c r="E1527" s="18"/>
      <c r="F1527" s="18"/>
      <c r="G1527" s="18"/>
      <c r="H1527" s="28"/>
      <c r="I1527" s="3" t="s">
        <v>18</v>
      </c>
      <c r="J1527" s="4">
        <v>36</v>
      </c>
      <c r="K1527" s="4">
        <v>36</v>
      </c>
      <c r="L1527" s="4">
        <v>30</v>
      </c>
      <c r="M1527" s="4">
        <v>30</v>
      </c>
      <c r="N1527" s="4">
        <v>36</v>
      </c>
      <c r="O1527" s="4">
        <v>36</v>
      </c>
    </row>
    <row r="1528" spans="1:15" ht="15" thickBot="1" x14ac:dyDescent="0.4">
      <c r="A1528" t="str">
        <f t="shared" si="367"/>
        <v>FC181</v>
      </c>
      <c r="B1528" t="str">
        <f t="shared" si="365"/>
        <v>CPAC Northeast</v>
      </c>
      <c r="C1528" s="18"/>
      <c r="D1528" s="18"/>
      <c r="E1528" s="18"/>
      <c r="F1528" s="18"/>
      <c r="G1528" s="18"/>
      <c r="H1528" s="28"/>
      <c r="I1528" s="5" t="s">
        <v>19</v>
      </c>
      <c r="J1528" s="6">
        <v>54</v>
      </c>
      <c r="K1528" s="7">
        <v>79</v>
      </c>
      <c r="L1528" s="6">
        <v>62</v>
      </c>
      <c r="M1528" s="7">
        <v>80</v>
      </c>
      <c r="N1528" s="6">
        <v>51</v>
      </c>
      <c r="O1528" s="9">
        <v>98</v>
      </c>
    </row>
    <row r="1529" spans="1:15" ht="15" thickBot="1" x14ac:dyDescent="0.4">
      <c r="A1529" t="str">
        <f t="shared" si="368"/>
        <v>FC181</v>
      </c>
      <c r="B1529" t="str">
        <f t="shared" si="365"/>
        <v>CPAC Northeast</v>
      </c>
      <c r="C1529" s="18"/>
      <c r="D1529" s="18"/>
      <c r="E1529" s="18"/>
      <c r="F1529" s="18"/>
      <c r="G1529" s="18"/>
      <c r="H1529" s="28"/>
      <c r="I1529" s="3" t="s">
        <v>20</v>
      </c>
      <c r="J1529" s="10">
        <v>8.8000000000000007</v>
      </c>
      <c r="K1529" s="10">
        <v>20.399999999999999</v>
      </c>
      <c r="L1529" s="10">
        <v>19.399999999999999</v>
      </c>
      <c r="M1529" s="10">
        <v>19</v>
      </c>
      <c r="N1529" s="10">
        <v>21.8</v>
      </c>
      <c r="O1529" s="10">
        <v>24.4</v>
      </c>
    </row>
    <row r="1530" spans="1:15" ht="15" thickBot="1" x14ac:dyDescent="0.4">
      <c r="A1530" t="str">
        <f t="shared" si="369"/>
        <v>FC181</v>
      </c>
      <c r="B1530" t="str">
        <f t="shared" si="365"/>
        <v>CPAC Northeast</v>
      </c>
      <c r="C1530" s="18"/>
      <c r="D1530" s="18"/>
      <c r="E1530" s="18"/>
      <c r="F1530" s="18"/>
      <c r="G1530" s="18"/>
      <c r="H1530" s="28"/>
      <c r="I1530" s="5" t="s">
        <v>21</v>
      </c>
      <c r="J1530" s="10">
        <v>2.0699999999999998</v>
      </c>
      <c r="K1530" s="10">
        <v>1.3</v>
      </c>
      <c r="L1530" s="10">
        <v>1.06</v>
      </c>
      <c r="M1530" s="10">
        <v>1.4</v>
      </c>
      <c r="N1530" s="9">
        <v>0.78</v>
      </c>
      <c r="O1530" s="10">
        <v>1.34</v>
      </c>
    </row>
    <row r="1531" spans="1:15" ht="15" thickBot="1" x14ac:dyDescent="0.4">
      <c r="A1531" t="str">
        <f t="shared" si="370"/>
        <v>FC181</v>
      </c>
      <c r="B1531" t="str">
        <f t="shared" si="365"/>
        <v>CPAC Northeast</v>
      </c>
      <c r="C1531" s="19"/>
      <c r="D1531" s="19"/>
      <c r="E1531" s="19"/>
      <c r="F1531" s="19"/>
      <c r="G1531" s="19"/>
      <c r="H1531" s="29"/>
      <c r="I1531" s="3" t="s">
        <v>22</v>
      </c>
      <c r="J1531" s="11"/>
      <c r="K1531" s="11"/>
      <c r="L1531" s="10" t="s">
        <v>24</v>
      </c>
      <c r="M1531" s="11"/>
      <c r="N1531" s="11"/>
      <c r="O1531" s="10" t="s">
        <v>24</v>
      </c>
    </row>
    <row r="1532" spans="1:15" ht="15" thickBot="1" x14ac:dyDescent="0.4">
      <c r="B1532" t="str">
        <f t="shared" si="365"/>
        <v>CPAC Northeast</v>
      </c>
      <c r="C1532" s="16"/>
      <c r="D1532" s="16"/>
      <c r="E1532" s="16"/>
      <c r="F1532" s="16"/>
      <c r="G1532" s="16" t="s">
        <v>346</v>
      </c>
      <c r="H1532" s="27" t="s">
        <v>34</v>
      </c>
      <c r="I1532" s="1"/>
      <c r="J1532" s="1"/>
      <c r="K1532" s="1"/>
      <c r="L1532" s="1"/>
      <c r="M1532" s="1"/>
      <c r="N1532" s="1"/>
      <c r="O1532" s="1"/>
    </row>
    <row r="1533" spans="1:15" ht="15" thickBot="1" x14ac:dyDescent="0.4">
      <c r="A1533" t="str">
        <f t="shared" si="366"/>
        <v>FC378</v>
      </c>
      <c r="B1533" t="str">
        <f t="shared" si="365"/>
        <v>CPAC Northeast</v>
      </c>
      <c r="C1533" s="18"/>
      <c r="D1533" s="18"/>
      <c r="E1533" s="18"/>
      <c r="F1533" s="18"/>
      <c r="G1533" s="18"/>
      <c r="H1533" s="28"/>
      <c r="I1533" s="3" t="s">
        <v>18</v>
      </c>
      <c r="J1533" s="4">
        <v>36</v>
      </c>
      <c r="K1533" s="4">
        <v>42</v>
      </c>
      <c r="L1533" s="4">
        <v>39</v>
      </c>
      <c r="M1533" s="4">
        <v>36</v>
      </c>
      <c r="N1533" s="4">
        <v>30</v>
      </c>
      <c r="O1533" s="4">
        <v>30</v>
      </c>
    </row>
    <row r="1534" spans="1:15" ht="15" thickBot="1" x14ac:dyDescent="0.4">
      <c r="A1534" t="str">
        <f t="shared" si="367"/>
        <v>FC378</v>
      </c>
      <c r="B1534" t="str">
        <f t="shared" si="365"/>
        <v>CPAC Northeast</v>
      </c>
      <c r="C1534" s="18"/>
      <c r="D1534" s="18"/>
      <c r="E1534" s="18"/>
      <c r="F1534" s="18"/>
      <c r="G1534" s="18"/>
      <c r="H1534" s="28"/>
      <c r="I1534" s="5" t="s">
        <v>19</v>
      </c>
      <c r="J1534" s="8">
        <v>42</v>
      </c>
      <c r="K1534" s="8">
        <v>40</v>
      </c>
      <c r="L1534" s="6">
        <v>50</v>
      </c>
      <c r="M1534" s="7">
        <v>78</v>
      </c>
      <c r="N1534" s="7">
        <v>87</v>
      </c>
      <c r="O1534" s="6">
        <v>63</v>
      </c>
    </row>
    <row r="1535" spans="1:15" ht="15" thickBot="1" x14ac:dyDescent="0.4">
      <c r="A1535" t="str">
        <f t="shared" si="368"/>
        <v>FC378</v>
      </c>
      <c r="B1535" t="str">
        <f t="shared" si="365"/>
        <v>CPAC Northeast</v>
      </c>
      <c r="C1535" s="18"/>
      <c r="D1535" s="18"/>
      <c r="E1535" s="18"/>
      <c r="F1535" s="18"/>
      <c r="G1535" s="18"/>
      <c r="H1535" s="28"/>
      <c r="I1535" s="3" t="s">
        <v>20</v>
      </c>
      <c r="J1535" s="10">
        <v>18.2</v>
      </c>
      <c r="K1535" s="10">
        <v>18.399999999999999</v>
      </c>
      <c r="L1535" s="10">
        <v>22</v>
      </c>
      <c r="M1535" s="6">
        <v>41.8</v>
      </c>
      <c r="N1535" s="10">
        <v>17.2</v>
      </c>
      <c r="O1535" s="10">
        <v>23</v>
      </c>
    </row>
    <row r="1536" spans="1:15" ht="15" thickBot="1" x14ac:dyDescent="0.4">
      <c r="A1536" t="str">
        <f t="shared" si="369"/>
        <v>FC378</v>
      </c>
      <c r="B1536" t="str">
        <f t="shared" si="365"/>
        <v>CPAC Northeast</v>
      </c>
      <c r="C1536" s="18"/>
      <c r="D1536" s="18"/>
      <c r="E1536" s="18"/>
      <c r="F1536" s="18"/>
      <c r="G1536" s="18"/>
      <c r="H1536" s="28"/>
      <c r="I1536" s="5" t="s">
        <v>21</v>
      </c>
      <c r="J1536" s="9">
        <v>0.77</v>
      </c>
      <c r="K1536" s="9">
        <v>0.73</v>
      </c>
      <c r="L1536" s="9">
        <v>0.76</v>
      </c>
      <c r="M1536" s="9">
        <v>0.62</v>
      </c>
      <c r="N1536" s="10">
        <v>1.7</v>
      </c>
      <c r="O1536" s="10">
        <v>0.91</v>
      </c>
    </row>
    <row r="1537" spans="1:15" ht="15" thickBot="1" x14ac:dyDescent="0.4">
      <c r="A1537" t="str">
        <f t="shared" si="370"/>
        <v>FC378</v>
      </c>
      <c r="B1537" t="str">
        <f t="shared" si="365"/>
        <v>CPAC Northeast</v>
      </c>
      <c r="C1537" s="19"/>
      <c r="D1537" s="19"/>
      <c r="E1537" s="19"/>
      <c r="F1537" s="19"/>
      <c r="G1537" s="19"/>
      <c r="H1537" s="29"/>
      <c r="I1537" s="3" t="s">
        <v>22</v>
      </c>
      <c r="J1537" s="11"/>
      <c r="K1537" s="11"/>
      <c r="L1537" s="11"/>
      <c r="M1537" s="11"/>
      <c r="N1537" s="11"/>
      <c r="O1537" s="11"/>
    </row>
    <row r="1538" spans="1:15" ht="15" thickBot="1" x14ac:dyDescent="0.4">
      <c r="B1538" t="str">
        <f t="shared" si="365"/>
        <v>CPAC Northeast</v>
      </c>
      <c r="C1538" s="16"/>
      <c r="D1538" s="16"/>
      <c r="E1538" s="16"/>
      <c r="F1538" s="16"/>
      <c r="G1538" s="16" t="s">
        <v>347</v>
      </c>
      <c r="H1538" s="27" t="s">
        <v>34</v>
      </c>
      <c r="I1538" s="1"/>
      <c r="J1538" s="1"/>
      <c r="K1538" s="1"/>
      <c r="L1538" s="1"/>
      <c r="M1538" s="1"/>
      <c r="N1538" s="1"/>
      <c r="O1538" s="1"/>
    </row>
    <row r="1539" spans="1:15" ht="15" thickBot="1" x14ac:dyDescent="0.4">
      <c r="A1539" t="str">
        <f t="shared" si="366"/>
        <v>FC188</v>
      </c>
      <c r="B1539" t="str">
        <f t="shared" si="365"/>
        <v>CPAC Northeast</v>
      </c>
      <c r="C1539" s="18"/>
      <c r="D1539" s="18"/>
      <c r="E1539" s="18"/>
      <c r="F1539" s="18"/>
      <c r="G1539" s="18"/>
      <c r="H1539" s="28"/>
      <c r="I1539" s="3" t="s">
        <v>18</v>
      </c>
      <c r="J1539" s="4">
        <v>39</v>
      </c>
      <c r="K1539" s="4">
        <v>39</v>
      </c>
      <c r="L1539" s="4">
        <v>32</v>
      </c>
      <c r="M1539" s="8">
        <v>24</v>
      </c>
      <c r="N1539" s="4">
        <v>30</v>
      </c>
      <c r="O1539" s="4">
        <v>30</v>
      </c>
    </row>
    <row r="1540" spans="1:15" ht="15" thickBot="1" x14ac:dyDescent="0.4">
      <c r="A1540" t="str">
        <f t="shared" si="367"/>
        <v>FC188</v>
      </c>
      <c r="B1540" t="str">
        <f t="shared" si="365"/>
        <v>CPAC Northeast</v>
      </c>
      <c r="C1540" s="18"/>
      <c r="D1540" s="18"/>
      <c r="E1540" s="18"/>
      <c r="F1540" s="18"/>
      <c r="G1540" s="18"/>
      <c r="H1540" s="28"/>
      <c r="I1540" s="5" t="s">
        <v>19</v>
      </c>
      <c r="J1540" s="7">
        <v>90</v>
      </c>
      <c r="K1540" s="6">
        <v>69</v>
      </c>
      <c r="L1540" s="9">
        <v>176</v>
      </c>
      <c r="M1540" s="8">
        <v>39</v>
      </c>
      <c r="N1540" s="8">
        <v>49</v>
      </c>
      <c r="O1540" s="7">
        <v>75</v>
      </c>
    </row>
    <row r="1541" spans="1:15" ht="15" thickBot="1" x14ac:dyDescent="0.4">
      <c r="A1541" t="str">
        <f t="shared" si="368"/>
        <v>FC188</v>
      </c>
      <c r="B1541" t="str">
        <f t="shared" si="365"/>
        <v>CPAC Northeast</v>
      </c>
      <c r="C1541" s="18"/>
      <c r="D1541" s="18"/>
      <c r="E1541" s="18"/>
      <c r="F1541" s="18"/>
      <c r="G1541" s="18"/>
      <c r="H1541" s="28"/>
      <c r="I1541" s="3" t="s">
        <v>20</v>
      </c>
      <c r="J1541" s="7">
        <v>40</v>
      </c>
      <c r="K1541" s="10">
        <v>26.1</v>
      </c>
      <c r="L1541" s="8">
        <v>66.2</v>
      </c>
      <c r="M1541" s="10">
        <v>14.2</v>
      </c>
      <c r="N1541" s="10">
        <v>21</v>
      </c>
      <c r="O1541" s="10">
        <v>14.8</v>
      </c>
    </row>
    <row r="1542" spans="1:15" ht="15" thickBot="1" x14ac:dyDescent="0.4">
      <c r="A1542" t="str">
        <f t="shared" si="369"/>
        <v>FC188</v>
      </c>
      <c r="B1542" t="str">
        <f t="shared" si="365"/>
        <v>CPAC Northeast</v>
      </c>
      <c r="C1542" s="18"/>
      <c r="D1542" s="18"/>
      <c r="E1542" s="18"/>
      <c r="F1542" s="18"/>
      <c r="G1542" s="18"/>
      <c r="H1542" s="28"/>
      <c r="I1542" s="5" t="s">
        <v>21</v>
      </c>
      <c r="J1542" s="9">
        <v>0.75</v>
      </c>
      <c r="K1542" s="10">
        <v>0.88</v>
      </c>
      <c r="L1542" s="10">
        <v>0.88</v>
      </c>
      <c r="M1542" s="10">
        <v>0.92</v>
      </c>
      <c r="N1542" s="9">
        <v>0.78</v>
      </c>
      <c r="O1542" s="10">
        <v>1.7</v>
      </c>
    </row>
    <row r="1543" spans="1:15" ht="15" thickBot="1" x14ac:dyDescent="0.4">
      <c r="A1543" t="str">
        <f t="shared" si="370"/>
        <v>FC188</v>
      </c>
      <c r="B1543" t="str">
        <f t="shared" si="365"/>
        <v>CPAC Northeast</v>
      </c>
      <c r="C1543" s="19"/>
      <c r="D1543" s="19"/>
      <c r="E1543" s="19"/>
      <c r="F1543" s="19"/>
      <c r="G1543" s="19"/>
      <c r="H1543" s="29"/>
      <c r="I1543" s="3" t="s">
        <v>22</v>
      </c>
      <c r="J1543" s="11"/>
      <c r="K1543" s="11"/>
      <c r="L1543" s="11"/>
      <c r="M1543" s="9" t="s">
        <v>25</v>
      </c>
      <c r="N1543" s="11"/>
      <c r="O1543" s="11"/>
    </row>
    <row r="1544" spans="1:15" ht="15" thickBot="1" x14ac:dyDescent="0.4">
      <c r="B1544" t="str">
        <f t="shared" si="365"/>
        <v>CPAC Northeast</v>
      </c>
      <c r="C1544" s="16"/>
      <c r="D1544" s="16"/>
      <c r="E1544" s="16"/>
      <c r="F1544" s="16"/>
      <c r="G1544" s="16" t="s">
        <v>348</v>
      </c>
      <c r="H1544" s="27" t="s">
        <v>34</v>
      </c>
      <c r="I1544" s="1"/>
      <c r="J1544" s="1"/>
      <c r="K1544" s="1"/>
      <c r="L1544" s="1"/>
      <c r="M1544" s="1"/>
      <c r="N1544" s="1"/>
      <c r="O1544" s="1"/>
    </row>
    <row r="1545" spans="1:15" ht="15" thickBot="1" x14ac:dyDescent="0.4">
      <c r="A1545" t="str">
        <f t="shared" si="366"/>
        <v>FC370</v>
      </c>
      <c r="B1545" t="str">
        <f t="shared" si="365"/>
        <v>CPAC Northeast</v>
      </c>
      <c r="C1545" s="18"/>
      <c r="D1545" s="18"/>
      <c r="E1545" s="18"/>
      <c r="F1545" s="18"/>
      <c r="G1545" s="18"/>
      <c r="H1545" s="28"/>
      <c r="I1545" s="3" t="s">
        <v>18</v>
      </c>
      <c r="J1545" s="4">
        <v>36</v>
      </c>
      <c r="K1545" s="4">
        <v>30</v>
      </c>
      <c r="L1545" s="4">
        <v>30</v>
      </c>
      <c r="M1545" s="4">
        <v>30</v>
      </c>
      <c r="N1545" s="4">
        <v>30</v>
      </c>
      <c r="O1545" s="4">
        <v>30</v>
      </c>
    </row>
    <row r="1546" spans="1:15" ht="15" thickBot="1" x14ac:dyDescent="0.4">
      <c r="A1546" t="str">
        <f t="shared" si="367"/>
        <v>FC370</v>
      </c>
      <c r="B1546" t="str">
        <f t="shared" si="365"/>
        <v>CPAC Northeast</v>
      </c>
      <c r="C1546" s="18"/>
      <c r="D1546" s="18"/>
      <c r="E1546" s="18"/>
      <c r="F1546" s="18"/>
      <c r="G1546" s="18"/>
      <c r="H1546" s="28"/>
      <c r="I1546" s="5" t="s">
        <v>19</v>
      </c>
      <c r="J1546" s="8">
        <v>41</v>
      </c>
      <c r="K1546" s="8">
        <v>49</v>
      </c>
      <c r="L1546" s="7">
        <v>74</v>
      </c>
      <c r="M1546" s="8">
        <v>32</v>
      </c>
      <c r="N1546" s="8">
        <v>27</v>
      </c>
      <c r="O1546" s="8">
        <v>37</v>
      </c>
    </row>
    <row r="1547" spans="1:15" ht="15" thickBot="1" x14ac:dyDescent="0.4">
      <c r="A1547" t="str">
        <f t="shared" si="368"/>
        <v>FC370</v>
      </c>
      <c r="B1547" t="str">
        <f t="shared" si="365"/>
        <v>CPAC Northeast</v>
      </c>
      <c r="C1547" s="18"/>
      <c r="D1547" s="18"/>
      <c r="E1547" s="18"/>
      <c r="F1547" s="18"/>
      <c r="G1547" s="18"/>
      <c r="H1547" s="28"/>
      <c r="I1547" s="3" t="s">
        <v>20</v>
      </c>
      <c r="J1547" s="10">
        <v>23.6</v>
      </c>
      <c r="K1547" s="10">
        <v>25.2</v>
      </c>
      <c r="L1547" s="9">
        <v>29.2</v>
      </c>
      <c r="M1547" s="10">
        <v>16.7</v>
      </c>
      <c r="N1547" s="10">
        <v>15.4</v>
      </c>
      <c r="O1547" s="10">
        <v>18.899999999999999</v>
      </c>
    </row>
    <row r="1548" spans="1:15" ht="15" thickBot="1" x14ac:dyDescent="0.4">
      <c r="A1548" t="str">
        <f t="shared" si="369"/>
        <v>FC370</v>
      </c>
      <c r="B1548" t="str">
        <f t="shared" si="365"/>
        <v>CPAC Northeast</v>
      </c>
      <c r="C1548" s="18"/>
      <c r="D1548" s="18"/>
      <c r="E1548" s="18"/>
      <c r="F1548" s="18"/>
      <c r="G1548" s="18"/>
      <c r="H1548" s="28"/>
      <c r="I1548" s="5" t="s">
        <v>21</v>
      </c>
      <c r="J1548" s="9">
        <v>0.57999999999999996</v>
      </c>
      <c r="K1548" s="9">
        <v>0.65</v>
      </c>
      <c r="L1548" s="10">
        <v>0.85</v>
      </c>
      <c r="M1548" s="9">
        <v>0.64</v>
      </c>
      <c r="N1548" s="9">
        <v>0.59</v>
      </c>
      <c r="O1548" s="9">
        <v>0.65</v>
      </c>
    </row>
    <row r="1549" spans="1:15" ht="15" thickBot="1" x14ac:dyDescent="0.4">
      <c r="A1549" t="str">
        <f t="shared" si="370"/>
        <v>FC370</v>
      </c>
      <c r="B1549" t="str">
        <f t="shared" si="365"/>
        <v>CPAC Northeast</v>
      </c>
      <c r="C1549" s="19"/>
      <c r="D1549" s="19"/>
      <c r="E1549" s="19"/>
      <c r="F1549" s="19"/>
      <c r="G1549" s="19"/>
      <c r="H1549" s="29"/>
      <c r="I1549" s="3" t="s">
        <v>22</v>
      </c>
      <c r="J1549" s="11"/>
      <c r="K1549" s="11"/>
      <c r="L1549" s="10" t="s">
        <v>24</v>
      </c>
      <c r="M1549" s="9" t="s">
        <v>25</v>
      </c>
      <c r="N1549" s="11"/>
      <c r="O1549" s="11"/>
    </row>
    <row r="1550" spans="1:15" ht="15" thickBot="1" x14ac:dyDescent="0.4">
      <c r="B1550" t="str">
        <f t="shared" si="365"/>
        <v>CPAC Northeast</v>
      </c>
      <c r="C1550" s="16"/>
      <c r="D1550" s="16"/>
      <c r="E1550" s="16"/>
      <c r="F1550" s="16"/>
      <c r="G1550" s="16" t="s">
        <v>349</v>
      </c>
      <c r="H1550" s="24" t="s">
        <v>30</v>
      </c>
      <c r="I1550" s="1"/>
      <c r="J1550" s="1"/>
      <c r="K1550" s="1"/>
      <c r="L1550" s="1"/>
      <c r="M1550" s="1"/>
      <c r="N1550" s="1"/>
      <c r="O1550" s="1"/>
    </row>
    <row r="1551" spans="1:15" ht="15" thickBot="1" x14ac:dyDescent="0.4">
      <c r="A1551" t="str">
        <f t="shared" si="366"/>
        <v>FC269</v>
      </c>
      <c r="B1551" t="str">
        <f t="shared" ref="B1551:B1614" si="371">$D$974</f>
        <v>CPAC Northeast</v>
      </c>
      <c r="C1551" s="18"/>
      <c r="D1551" s="18"/>
      <c r="E1551" s="18"/>
      <c r="F1551" s="18"/>
      <c r="G1551" s="18"/>
      <c r="H1551" s="25"/>
      <c r="I1551" s="3" t="s">
        <v>18</v>
      </c>
      <c r="J1551" s="11"/>
      <c r="K1551" s="11"/>
      <c r="L1551" s="11"/>
      <c r="M1551" s="11"/>
      <c r="N1551" s="11"/>
      <c r="O1551" s="11"/>
    </row>
    <row r="1552" spans="1:15" ht="15" thickBot="1" x14ac:dyDescent="0.4">
      <c r="A1552" t="str">
        <f t="shared" si="367"/>
        <v>FC269</v>
      </c>
      <c r="B1552" t="str">
        <f t="shared" si="371"/>
        <v>CPAC Northeast</v>
      </c>
      <c r="C1552" s="18"/>
      <c r="D1552" s="18"/>
      <c r="E1552" s="18"/>
      <c r="F1552" s="18"/>
      <c r="G1552" s="18"/>
      <c r="H1552" s="25"/>
      <c r="I1552" s="5" t="s">
        <v>19</v>
      </c>
      <c r="J1552" s="11"/>
      <c r="K1552" s="11"/>
      <c r="L1552" s="11"/>
      <c r="M1552" s="11"/>
      <c r="N1552" s="11"/>
      <c r="O1552" s="11"/>
    </row>
    <row r="1553" spans="1:15" ht="15" thickBot="1" x14ac:dyDescent="0.4">
      <c r="A1553" t="str">
        <f t="shared" si="368"/>
        <v>FC269</v>
      </c>
      <c r="B1553" t="str">
        <f t="shared" si="371"/>
        <v>CPAC Northeast</v>
      </c>
      <c r="C1553" s="18"/>
      <c r="D1553" s="18"/>
      <c r="E1553" s="18"/>
      <c r="F1553" s="18"/>
      <c r="G1553" s="18"/>
      <c r="H1553" s="25"/>
      <c r="I1553" s="3" t="s">
        <v>20</v>
      </c>
      <c r="J1553" s="11"/>
      <c r="K1553" s="11"/>
      <c r="L1553" s="11"/>
      <c r="M1553" s="11"/>
      <c r="N1553" s="11"/>
      <c r="O1553" s="11"/>
    </row>
    <row r="1554" spans="1:15" ht="15" thickBot="1" x14ac:dyDescent="0.4">
      <c r="A1554" t="str">
        <f t="shared" si="369"/>
        <v>FC269</v>
      </c>
      <c r="B1554" t="str">
        <f t="shared" si="371"/>
        <v>CPAC Northeast</v>
      </c>
      <c r="C1554" s="18"/>
      <c r="D1554" s="18"/>
      <c r="E1554" s="18"/>
      <c r="F1554" s="18"/>
      <c r="G1554" s="18"/>
      <c r="H1554" s="25"/>
      <c r="I1554" s="5" t="s">
        <v>21</v>
      </c>
      <c r="J1554" s="11"/>
      <c r="K1554" s="11"/>
      <c r="L1554" s="11"/>
      <c r="M1554" s="11"/>
      <c r="N1554" s="11"/>
      <c r="O1554" s="11"/>
    </row>
    <row r="1555" spans="1:15" ht="15" thickBot="1" x14ac:dyDescent="0.4">
      <c r="A1555" t="str">
        <f t="shared" si="370"/>
        <v>FC269</v>
      </c>
      <c r="B1555" t="str">
        <f t="shared" si="371"/>
        <v>CPAC Northeast</v>
      </c>
      <c r="C1555" s="19"/>
      <c r="D1555" s="19"/>
      <c r="E1555" s="19"/>
      <c r="F1555" s="19"/>
      <c r="G1555" s="19"/>
      <c r="H1555" s="26"/>
      <c r="I1555" s="3" t="s">
        <v>22</v>
      </c>
      <c r="J1555" s="11" t="s">
        <v>46</v>
      </c>
      <c r="K1555" s="11" t="s">
        <v>46</v>
      </c>
      <c r="L1555" s="11" t="s">
        <v>46</v>
      </c>
      <c r="M1555" s="11" t="s">
        <v>46</v>
      </c>
      <c r="N1555" s="11" t="s">
        <v>46</v>
      </c>
      <c r="O1555" s="11" t="s">
        <v>46</v>
      </c>
    </row>
    <row r="1556" spans="1:15" ht="15" thickBot="1" x14ac:dyDescent="0.4">
      <c r="B1556" t="str">
        <f t="shared" si="371"/>
        <v>CPAC Northeast</v>
      </c>
      <c r="C1556" s="16"/>
      <c r="D1556" s="16"/>
      <c r="E1556" s="16"/>
      <c r="F1556" s="16" t="s">
        <v>350</v>
      </c>
      <c r="G1556" s="16" t="s">
        <v>351</v>
      </c>
      <c r="H1556" s="27" t="s">
        <v>34</v>
      </c>
      <c r="I1556" s="1"/>
      <c r="J1556" s="1"/>
      <c r="K1556" s="1"/>
      <c r="L1556" s="1"/>
      <c r="M1556" s="1"/>
      <c r="N1556" s="1"/>
      <c r="O1556" s="1"/>
    </row>
    <row r="1557" spans="1:15" ht="15" thickBot="1" x14ac:dyDescent="0.4">
      <c r="A1557" t="str">
        <f t="shared" si="366"/>
        <v>FC314</v>
      </c>
      <c r="B1557" t="str">
        <f t="shared" si="371"/>
        <v>CPAC Northeast</v>
      </c>
      <c r="C1557" s="18"/>
      <c r="D1557" s="18"/>
      <c r="E1557" s="18"/>
      <c r="F1557" s="18"/>
      <c r="G1557" s="18"/>
      <c r="H1557" s="28"/>
      <c r="I1557" s="3" t="s">
        <v>18</v>
      </c>
      <c r="J1557" s="4">
        <v>36</v>
      </c>
      <c r="K1557" s="4">
        <v>51</v>
      </c>
      <c r="L1557" s="4">
        <v>44</v>
      </c>
      <c r="M1557" s="4">
        <v>52</v>
      </c>
      <c r="N1557" s="4">
        <v>48</v>
      </c>
      <c r="O1557" s="4">
        <v>58</v>
      </c>
    </row>
    <row r="1558" spans="1:15" ht="15" thickBot="1" x14ac:dyDescent="0.4">
      <c r="A1558" t="str">
        <f t="shared" si="367"/>
        <v>FC314</v>
      </c>
      <c r="B1558" t="str">
        <f t="shared" si="371"/>
        <v>CPAC Northeast</v>
      </c>
      <c r="C1558" s="18"/>
      <c r="D1558" s="18"/>
      <c r="E1558" s="18"/>
      <c r="F1558" s="18"/>
      <c r="G1558" s="18"/>
      <c r="H1558" s="28"/>
      <c r="I1558" s="5" t="s">
        <v>19</v>
      </c>
      <c r="J1558" s="7">
        <v>86</v>
      </c>
      <c r="K1558" s="6">
        <v>57</v>
      </c>
      <c r="L1558" s="7">
        <v>71</v>
      </c>
      <c r="M1558" s="6">
        <v>69</v>
      </c>
      <c r="N1558" s="8">
        <v>46</v>
      </c>
      <c r="O1558" s="6">
        <v>64</v>
      </c>
    </row>
    <row r="1559" spans="1:15" ht="15" thickBot="1" x14ac:dyDescent="0.4">
      <c r="A1559" t="str">
        <f t="shared" si="368"/>
        <v>FC314</v>
      </c>
      <c r="B1559" t="str">
        <f t="shared" si="371"/>
        <v>CPAC Northeast</v>
      </c>
      <c r="C1559" s="18"/>
      <c r="D1559" s="18"/>
      <c r="E1559" s="18"/>
      <c r="F1559" s="18"/>
      <c r="G1559" s="18"/>
      <c r="H1559" s="28"/>
      <c r="I1559" s="3" t="s">
        <v>20</v>
      </c>
      <c r="J1559" s="8">
        <v>50</v>
      </c>
      <c r="K1559" s="10">
        <v>27.4</v>
      </c>
      <c r="L1559" s="7">
        <v>36</v>
      </c>
      <c r="M1559" s="7">
        <v>36.700000000000003</v>
      </c>
      <c r="N1559" s="10">
        <v>26.9</v>
      </c>
      <c r="O1559" s="7">
        <v>36.5</v>
      </c>
    </row>
    <row r="1560" spans="1:15" ht="15" thickBot="1" x14ac:dyDescent="0.4">
      <c r="A1560" t="str">
        <f t="shared" si="369"/>
        <v>FC314</v>
      </c>
      <c r="B1560" t="str">
        <f t="shared" si="371"/>
        <v>CPAC Northeast</v>
      </c>
      <c r="C1560" s="18"/>
      <c r="D1560" s="18"/>
      <c r="E1560" s="18"/>
      <c r="F1560" s="18"/>
      <c r="G1560" s="18"/>
      <c r="H1560" s="28"/>
      <c r="I1560" s="5" t="s">
        <v>21</v>
      </c>
      <c r="J1560" s="9">
        <v>0.57999999999999996</v>
      </c>
      <c r="K1560" s="9">
        <v>0.69</v>
      </c>
      <c r="L1560" s="9">
        <v>0.66</v>
      </c>
      <c r="M1560" s="9">
        <v>0.63</v>
      </c>
      <c r="N1560" s="9">
        <v>0.56999999999999995</v>
      </c>
      <c r="O1560" s="9">
        <v>0.57999999999999996</v>
      </c>
    </row>
    <row r="1561" spans="1:15" ht="15" thickBot="1" x14ac:dyDescent="0.4">
      <c r="A1561" t="str">
        <f t="shared" si="370"/>
        <v>FC314</v>
      </c>
      <c r="B1561" t="str">
        <f t="shared" si="371"/>
        <v>CPAC Northeast</v>
      </c>
      <c r="C1561" s="19"/>
      <c r="D1561" s="19"/>
      <c r="E1561" s="19"/>
      <c r="F1561" s="19"/>
      <c r="G1561" s="19"/>
      <c r="H1561" s="29"/>
      <c r="I1561" s="3" t="s">
        <v>22</v>
      </c>
      <c r="J1561" s="9" t="s">
        <v>25</v>
      </c>
      <c r="K1561" s="11"/>
      <c r="L1561" s="11"/>
      <c r="M1561" s="11"/>
      <c r="N1561" s="11"/>
      <c r="O1561" s="11"/>
    </row>
    <row r="1562" spans="1:15" ht="15" thickBot="1" x14ac:dyDescent="0.4">
      <c r="B1562" t="str">
        <f t="shared" si="371"/>
        <v>CPAC Northeast</v>
      </c>
      <c r="C1562" s="16"/>
      <c r="D1562" s="16"/>
      <c r="E1562" s="16"/>
      <c r="F1562" s="16"/>
      <c r="G1562" s="16" t="s">
        <v>352</v>
      </c>
      <c r="H1562" s="24" t="s">
        <v>30</v>
      </c>
      <c r="I1562" s="1"/>
      <c r="J1562" s="1"/>
      <c r="K1562" s="1"/>
      <c r="L1562" s="1"/>
      <c r="M1562" s="1"/>
      <c r="N1562" s="1"/>
      <c r="O1562" s="1"/>
    </row>
    <row r="1563" spans="1:15" ht="15" thickBot="1" x14ac:dyDescent="0.4">
      <c r="A1563" t="str">
        <f t="shared" ref="A1563:A1626" si="372">IF(LEFT(G1562,2)="FC",LEFT(G1562,5),LEFT(G1562,4))</f>
        <v>14H7</v>
      </c>
      <c r="B1563" t="str">
        <f t="shared" si="371"/>
        <v>CPAC Northeast</v>
      </c>
      <c r="C1563" s="18"/>
      <c r="D1563" s="18"/>
      <c r="E1563" s="18"/>
      <c r="F1563" s="18"/>
      <c r="G1563" s="18"/>
      <c r="H1563" s="25"/>
      <c r="I1563" s="3" t="s">
        <v>18</v>
      </c>
      <c r="J1563" s="11"/>
      <c r="K1563" s="11"/>
      <c r="L1563" s="11"/>
      <c r="M1563" s="11"/>
      <c r="N1563" s="11"/>
      <c r="O1563" s="11"/>
    </row>
    <row r="1564" spans="1:15" ht="15" thickBot="1" x14ac:dyDescent="0.4">
      <c r="A1564" t="str">
        <f t="shared" si="367"/>
        <v>14H7</v>
      </c>
      <c r="B1564" t="str">
        <f t="shared" si="371"/>
        <v>CPAC Northeast</v>
      </c>
      <c r="C1564" s="18"/>
      <c r="D1564" s="18"/>
      <c r="E1564" s="18"/>
      <c r="F1564" s="18"/>
      <c r="G1564" s="18"/>
      <c r="H1564" s="25"/>
      <c r="I1564" s="5" t="s">
        <v>19</v>
      </c>
      <c r="J1564" s="11"/>
      <c r="K1564" s="11"/>
      <c r="L1564" s="11"/>
      <c r="M1564" s="11"/>
      <c r="N1564" s="11"/>
      <c r="O1564" s="11"/>
    </row>
    <row r="1565" spans="1:15" ht="15" thickBot="1" x14ac:dyDescent="0.4">
      <c r="A1565" t="str">
        <f t="shared" si="368"/>
        <v>14H7</v>
      </c>
      <c r="B1565" t="str">
        <f t="shared" si="371"/>
        <v>CPAC Northeast</v>
      </c>
      <c r="C1565" s="18"/>
      <c r="D1565" s="18"/>
      <c r="E1565" s="18"/>
      <c r="F1565" s="18"/>
      <c r="G1565" s="18"/>
      <c r="H1565" s="25"/>
      <c r="I1565" s="3" t="s">
        <v>20</v>
      </c>
      <c r="J1565" s="11"/>
      <c r="K1565" s="11"/>
      <c r="L1565" s="11"/>
      <c r="M1565" s="11"/>
      <c r="N1565" s="11"/>
      <c r="O1565" s="11"/>
    </row>
    <row r="1566" spans="1:15" ht="15" thickBot="1" x14ac:dyDescent="0.4">
      <c r="A1566" t="str">
        <f t="shared" si="369"/>
        <v>14H7</v>
      </c>
      <c r="B1566" t="str">
        <f t="shared" si="371"/>
        <v>CPAC Northeast</v>
      </c>
      <c r="C1566" s="18"/>
      <c r="D1566" s="18"/>
      <c r="E1566" s="18"/>
      <c r="F1566" s="18"/>
      <c r="G1566" s="18"/>
      <c r="H1566" s="25"/>
      <c r="I1566" s="5" t="s">
        <v>21</v>
      </c>
      <c r="J1566" s="11"/>
      <c r="K1566" s="11"/>
      <c r="L1566" s="11"/>
      <c r="M1566" s="11"/>
      <c r="N1566" s="11"/>
      <c r="O1566" s="11"/>
    </row>
    <row r="1567" spans="1:15" ht="15" thickBot="1" x14ac:dyDescent="0.4">
      <c r="A1567" t="str">
        <f t="shared" si="370"/>
        <v>14H7</v>
      </c>
      <c r="B1567" t="str">
        <f t="shared" si="371"/>
        <v>CPAC Northeast</v>
      </c>
      <c r="C1567" s="19"/>
      <c r="D1567" s="19"/>
      <c r="E1567" s="19"/>
      <c r="F1567" s="19"/>
      <c r="G1567" s="19"/>
      <c r="H1567" s="26"/>
      <c r="I1567" s="3" t="s">
        <v>22</v>
      </c>
      <c r="J1567" s="11" t="s">
        <v>46</v>
      </c>
      <c r="K1567" s="11" t="s">
        <v>46</v>
      </c>
      <c r="L1567" s="11" t="s">
        <v>46</v>
      </c>
      <c r="M1567" s="11" t="s">
        <v>46</v>
      </c>
      <c r="N1567" s="11" t="s">
        <v>46</v>
      </c>
      <c r="O1567" s="11" t="s">
        <v>46</v>
      </c>
    </row>
    <row r="1568" spans="1:15" ht="15" thickBot="1" x14ac:dyDescent="0.4">
      <c r="B1568" t="str">
        <f t="shared" si="371"/>
        <v>CPAC Northeast</v>
      </c>
      <c r="C1568" s="16"/>
      <c r="D1568" s="16"/>
      <c r="E1568" s="16"/>
      <c r="F1568" s="16"/>
      <c r="G1568" s="16" t="s">
        <v>353</v>
      </c>
      <c r="H1568" s="27" t="s">
        <v>34</v>
      </c>
      <c r="I1568" s="1"/>
      <c r="J1568" s="1"/>
      <c r="K1568" s="1"/>
      <c r="L1568" s="1"/>
      <c r="M1568" s="1"/>
      <c r="N1568" s="1"/>
      <c r="O1568" s="1"/>
    </row>
    <row r="1569" spans="1:15" ht="15" thickBot="1" x14ac:dyDescent="0.4">
      <c r="A1569" t="str">
        <f t="shared" si="372"/>
        <v>ZZP9</v>
      </c>
      <c r="B1569" t="str">
        <f t="shared" si="371"/>
        <v>CPAC Northeast</v>
      </c>
      <c r="C1569" s="18"/>
      <c r="D1569" s="18"/>
      <c r="E1569" s="18"/>
      <c r="F1569" s="18"/>
      <c r="G1569" s="18"/>
      <c r="H1569" s="28"/>
      <c r="I1569" s="3" t="s">
        <v>18</v>
      </c>
      <c r="J1569" s="4">
        <v>46</v>
      </c>
      <c r="K1569" s="4">
        <v>35</v>
      </c>
      <c r="L1569" s="4">
        <v>40</v>
      </c>
      <c r="M1569" s="4">
        <v>55</v>
      </c>
      <c r="N1569" s="4">
        <v>68</v>
      </c>
      <c r="O1569" s="4">
        <v>30</v>
      </c>
    </row>
    <row r="1570" spans="1:15" ht="15" thickBot="1" x14ac:dyDescent="0.4">
      <c r="A1570" t="str">
        <f t="shared" ref="A1570:A1630" si="373">IF(LEFT(G1568,2)="FC",LEFT(G1568,5),LEFT(G1568,4))</f>
        <v>ZZP9</v>
      </c>
      <c r="B1570" t="str">
        <f t="shared" si="371"/>
        <v>CPAC Northeast</v>
      </c>
      <c r="C1570" s="18"/>
      <c r="D1570" s="18"/>
      <c r="E1570" s="18"/>
      <c r="F1570" s="18"/>
      <c r="G1570" s="18"/>
      <c r="H1570" s="28"/>
      <c r="I1570" s="5" t="s">
        <v>19</v>
      </c>
      <c r="J1570" s="9">
        <v>119</v>
      </c>
      <c r="K1570" s="9">
        <v>176</v>
      </c>
      <c r="L1570" s="9">
        <v>142</v>
      </c>
      <c r="M1570" s="9">
        <v>107</v>
      </c>
      <c r="N1570" s="9">
        <v>96</v>
      </c>
      <c r="O1570" s="6">
        <v>59</v>
      </c>
    </row>
    <row r="1571" spans="1:15" ht="15" thickBot="1" x14ac:dyDescent="0.4">
      <c r="A1571" t="str">
        <f t="shared" ref="A1571:A1631" si="374">IF(LEFT(G1568,2)="FC",LEFT(G1568,5),LEFT(G1568,4))</f>
        <v>ZZP9</v>
      </c>
      <c r="B1571" t="str">
        <f t="shared" si="371"/>
        <v>CPAC Northeast</v>
      </c>
      <c r="C1571" s="18"/>
      <c r="D1571" s="18"/>
      <c r="E1571" s="18"/>
      <c r="F1571" s="18"/>
      <c r="G1571" s="18"/>
      <c r="H1571" s="28"/>
      <c r="I1571" s="3" t="s">
        <v>20</v>
      </c>
      <c r="J1571" s="9">
        <v>30.2</v>
      </c>
      <c r="K1571" s="7">
        <v>38</v>
      </c>
      <c r="L1571" s="9">
        <v>32.4</v>
      </c>
      <c r="M1571" s="9">
        <v>31.5</v>
      </c>
      <c r="N1571" s="8">
        <v>54.3</v>
      </c>
      <c r="O1571" s="10">
        <v>16.8</v>
      </c>
    </row>
    <row r="1572" spans="1:15" ht="15" thickBot="1" x14ac:dyDescent="0.4">
      <c r="A1572" t="str">
        <f t="shared" ref="A1572:A1632" si="375">IF(LEFT(G1568,2)="FC",LEFT(G1568,5),LEFT(G1568,4))</f>
        <v>ZZP9</v>
      </c>
      <c r="B1572" t="str">
        <f t="shared" si="371"/>
        <v>CPAC Northeast</v>
      </c>
      <c r="C1572" s="18"/>
      <c r="D1572" s="18"/>
      <c r="E1572" s="18"/>
      <c r="F1572" s="18"/>
      <c r="G1572" s="18"/>
      <c r="H1572" s="28"/>
      <c r="I1572" s="5" t="s">
        <v>21</v>
      </c>
      <c r="J1572" s="10">
        <v>1.31</v>
      </c>
      <c r="K1572" s="10">
        <v>1.54</v>
      </c>
      <c r="L1572" s="10">
        <v>1.46</v>
      </c>
      <c r="M1572" s="10">
        <v>1.1299999999999999</v>
      </c>
      <c r="N1572" s="9">
        <v>0.59</v>
      </c>
      <c r="O1572" s="10">
        <v>1.1599999999999999</v>
      </c>
    </row>
    <row r="1573" spans="1:15" ht="15" thickBot="1" x14ac:dyDescent="0.4">
      <c r="A1573" t="str">
        <f t="shared" ref="A1573:A1633" si="376">IF(LEFT(G1568,2)="FC",LEFT(G1568,5),LEFT(G1568,4))</f>
        <v>ZZP9</v>
      </c>
      <c r="B1573" t="str">
        <f t="shared" si="371"/>
        <v>CPAC Northeast</v>
      </c>
      <c r="C1573" s="19"/>
      <c r="D1573" s="19"/>
      <c r="E1573" s="19"/>
      <c r="F1573" s="19"/>
      <c r="G1573" s="19"/>
      <c r="H1573" s="29"/>
      <c r="I1573" s="3" t="s">
        <v>22</v>
      </c>
      <c r="J1573" s="10" t="s">
        <v>24</v>
      </c>
      <c r="K1573" s="11"/>
      <c r="L1573" s="10" t="s">
        <v>24</v>
      </c>
      <c r="M1573" s="10" t="s">
        <v>24</v>
      </c>
      <c r="N1573" s="9" t="s">
        <v>25</v>
      </c>
      <c r="O1573" s="10" t="s">
        <v>24</v>
      </c>
    </row>
    <row r="1574" spans="1:15" ht="15" thickBot="1" x14ac:dyDescent="0.4">
      <c r="B1574" t="str">
        <f t="shared" si="371"/>
        <v>CPAC Northeast</v>
      </c>
      <c r="C1574" s="16"/>
      <c r="D1574" s="16"/>
      <c r="E1574" s="16"/>
      <c r="F1574" s="16"/>
      <c r="G1574" s="16" t="s">
        <v>354</v>
      </c>
      <c r="H1574" s="27" t="s">
        <v>34</v>
      </c>
      <c r="I1574" s="1"/>
      <c r="J1574" s="1"/>
      <c r="K1574" s="1"/>
      <c r="L1574" s="1"/>
      <c r="M1574" s="1"/>
      <c r="N1574" s="1"/>
      <c r="O1574" s="1"/>
    </row>
    <row r="1575" spans="1:15" ht="15" thickBot="1" x14ac:dyDescent="0.4">
      <c r="A1575" t="str">
        <f t="shared" si="372"/>
        <v>FC386</v>
      </c>
      <c r="B1575" t="str">
        <f t="shared" si="371"/>
        <v>CPAC Northeast</v>
      </c>
      <c r="C1575" s="18"/>
      <c r="D1575" s="18"/>
      <c r="E1575" s="18"/>
      <c r="F1575" s="18"/>
      <c r="G1575" s="18"/>
      <c r="H1575" s="28"/>
      <c r="I1575" s="3" t="s">
        <v>18</v>
      </c>
      <c r="J1575" s="4">
        <v>30</v>
      </c>
      <c r="K1575" s="4">
        <v>35</v>
      </c>
      <c r="L1575" s="4">
        <v>32</v>
      </c>
      <c r="M1575" s="4">
        <v>53</v>
      </c>
      <c r="N1575" s="4">
        <v>40</v>
      </c>
      <c r="O1575" s="4">
        <v>33</v>
      </c>
    </row>
    <row r="1576" spans="1:15" ht="15" thickBot="1" x14ac:dyDescent="0.4">
      <c r="A1576" t="str">
        <f t="shared" si="373"/>
        <v>FC386</v>
      </c>
      <c r="B1576" t="str">
        <f t="shared" si="371"/>
        <v>CPAC Northeast</v>
      </c>
      <c r="C1576" s="18"/>
      <c r="D1576" s="18"/>
      <c r="E1576" s="18"/>
      <c r="F1576" s="18"/>
      <c r="G1576" s="18"/>
      <c r="H1576" s="28"/>
      <c r="I1576" s="5" t="s">
        <v>19</v>
      </c>
      <c r="J1576" s="9">
        <v>151</v>
      </c>
      <c r="K1576" s="7">
        <v>73</v>
      </c>
      <c r="L1576" s="6">
        <v>68</v>
      </c>
      <c r="M1576" s="8">
        <v>44</v>
      </c>
      <c r="N1576" s="9">
        <v>100</v>
      </c>
      <c r="O1576" s="6">
        <v>64</v>
      </c>
    </row>
    <row r="1577" spans="1:15" ht="15" thickBot="1" x14ac:dyDescent="0.4">
      <c r="A1577" t="str">
        <f t="shared" si="374"/>
        <v>FC386</v>
      </c>
      <c r="B1577" t="str">
        <f t="shared" si="371"/>
        <v>CPAC Northeast</v>
      </c>
      <c r="C1577" s="18"/>
      <c r="D1577" s="18"/>
      <c r="E1577" s="18"/>
      <c r="F1577" s="18"/>
      <c r="G1577" s="18"/>
      <c r="H1577" s="28"/>
      <c r="I1577" s="3" t="s">
        <v>20</v>
      </c>
      <c r="J1577" s="6">
        <v>48.7</v>
      </c>
      <c r="K1577" s="7">
        <v>38</v>
      </c>
      <c r="L1577" s="6">
        <v>44</v>
      </c>
      <c r="M1577" s="10">
        <v>21.1</v>
      </c>
      <c r="N1577" s="9">
        <v>32.4</v>
      </c>
      <c r="O1577" s="9">
        <v>33.200000000000003</v>
      </c>
    </row>
    <row r="1578" spans="1:15" ht="15" thickBot="1" x14ac:dyDescent="0.4">
      <c r="A1578" t="str">
        <f t="shared" si="375"/>
        <v>FC386</v>
      </c>
      <c r="B1578" t="str">
        <f t="shared" si="371"/>
        <v>CPAC Northeast</v>
      </c>
      <c r="C1578" s="18"/>
      <c r="D1578" s="18"/>
      <c r="E1578" s="18"/>
      <c r="F1578" s="18"/>
      <c r="G1578" s="18"/>
      <c r="H1578" s="28"/>
      <c r="I1578" s="5" t="s">
        <v>21</v>
      </c>
      <c r="J1578" s="10">
        <v>1.04</v>
      </c>
      <c r="K1578" s="9">
        <v>0.64</v>
      </c>
      <c r="L1578" s="8">
        <v>0.52</v>
      </c>
      <c r="M1578" s="9">
        <v>0.69</v>
      </c>
      <c r="N1578" s="10">
        <v>1.03</v>
      </c>
      <c r="O1578" s="9">
        <v>0.65</v>
      </c>
    </row>
    <row r="1579" spans="1:15" ht="15" thickBot="1" x14ac:dyDescent="0.4">
      <c r="A1579" t="str">
        <f t="shared" si="376"/>
        <v>FC386</v>
      </c>
      <c r="B1579" t="str">
        <f t="shared" si="371"/>
        <v>CPAC Northeast</v>
      </c>
      <c r="C1579" s="19"/>
      <c r="D1579" s="19"/>
      <c r="E1579" s="19"/>
      <c r="F1579" s="19"/>
      <c r="G1579" s="19"/>
      <c r="H1579" s="29"/>
      <c r="I1579" s="3" t="s">
        <v>22</v>
      </c>
      <c r="J1579" s="11"/>
      <c r="K1579" s="11"/>
      <c r="L1579" s="11"/>
      <c r="M1579" s="11"/>
      <c r="N1579" s="11"/>
      <c r="O1579" s="11"/>
    </row>
    <row r="1580" spans="1:15" ht="15" thickBot="1" x14ac:dyDescent="0.4">
      <c r="B1580" t="str">
        <f t="shared" si="371"/>
        <v>CPAC Northeast</v>
      </c>
      <c r="C1580" s="16"/>
      <c r="D1580" s="16"/>
      <c r="E1580" s="16"/>
      <c r="F1580" s="16"/>
      <c r="G1580" s="16" t="s">
        <v>355</v>
      </c>
      <c r="H1580" s="20" t="s">
        <v>17</v>
      </c>
      <c r="I1580" s="1"/>
      <c r="J1580" s="1"/>
      <c r="K1580" s="1"/>
      <c r="L1580" s="1"/>
      <c r="M1580" s="1"/>
      <c r="N1580" s="1"/>
      <c r="O1580" s="1"/>
    </row>
    <row r="1581" spans="1:15" ht="15" thickBot="1" x14ac:dyDescent="0.4">
      <c r="A1581" t="str">
        <f t="shared" si="372"/>
        <v>FC018</v>
      </c>
      <c r="B1581" t="str">
        <f t="shared" si="371"/>
        <v>CPAC Northeast</v>
      </c>
      <c r="C1581" s="18"/>
      <c r="D1581" s="18"/>
      <c r="E1581" s="18"/>
      <c r="F1581" s="18"/>
      <c r="G1581" s="18"/>
      <c r="H1581" s="22"/>
      <c r="I1581" s="3" t="s">
        <v>18</v>
      </c>
      <c r="J1581" s="11"/>
      <c r="K1581" s="11"/>
      <c r="L1581" s="11"/>
      <c r="M1581" s="11"/>
      <c r="N1581" s="11"/>
      <c r="O1581" s="8">
        <v>18</v>
      </c>
    </row>
    <row r="1582" spans="1:15" ht="15" thickBot="1" x14ac:dyDescent="0.4">
      <c r="A1582" t="str">
        <f t="shared" si="373"/>
        <v>FC018</v>
      </c>
      <c r="B1582" t="str">
        <f t="shared" si="371"/>
        <v>CPAC Northeast</v>
      </c>
      <c r="C1582" s="18"/>
      <c r="D1582" s="18"/>
      <c r="E1582" s="18"/>
      <c r="F1582" s="18"/>
      <c r="G1582" s="18"/>
      <c r="H1582" s="22"/>
      <c r="I1582" s="5" t="s">
        <v>19</v>
      </c>
      <c r="J1582" s="11"/>
      <c r="K1582" s="11"/>
      <c r="L1582" s="11"/>
      <c r="M1582" s="11"/>
      <c r="N1582" s="11"/>
      <c r="O1582" s="6">
        <v>63</v>
      </c>
    </row>
    <row r="1583" spans="1:15" ht="15" thickBot="1" x14ac:dyDescent="0.4">
      <c r="A1583" t="str">
        <f t="shared" si="374"/>
        <v>FC018</v>
      </c>
      <c r="B1583" t="str">
        <f t="shared" si="371"/>
        <v>CPAC Northeast</v>
      </c>
      <c r="C1583" s="18"/>
      <c r="D1583" s="18"/>
      <c r="E1583" s="18"/>
      <c r="F1583" s="18"/>
      <c r="G1583" s="18"/>
      <c r="H1583" s="22"/>
      <c r="I1583" s="3" t="s">
        <v>20</v>
      </c>
      <c r="J1583" s="11"/>
      <c r="K1583" s="11"/>
      <c r="L1583" s="11"/>
      <c r="M1583" s="11"/>
      <c r="N1583" s="11"/>
      <c r="O1583" s="10">
        <v>14.8</v>
      </c>
    </row>
    <row r="1584" spans="1:15" ht="15" thickBot="1" x14ac:dyDescent="0.4">
      <c r="A1584" t="str">
        <f t="shared" si="375"/>
        <v>FC018</v>
      </c>
      <c r="B1584" t="str">
        <f t="shared" si="371"/>
        <v>CPAC Northeast</v>
      </c>
      <c r="C1584" s="18"/>
      <c r="D1584" s="18"/>
      <c r="E1584" s="18"/>
      <c r="F1584" s="18"/>
      <c r="G1584" s="18"/>
      <c r="H1584" s="22"/>
      <c r="I1584" s="5" t="s">
        <v>21</v>
      </c>
      <c r="J1584" s="11"/>
      <c r="K1584" s="11"/>
      <c r="L1584" s="11"/>
      <c r="M1584" s="11"/>
      <c r="N1584" s="11"/>
      <c r="O1584" s="10">
        <v>1.42</v>
      </c>
    </row>
    <row r="1585" spans="1:15" ht="15" thickBot="1" x14ac:dyDescent="0.4">
      <c r="A1585" t="str">
        <f t="shared" si="376"/>
        <v>FC018</v>
      </c>
      <c r="B1585" t="str">
        <f t="shared" si="371"/>
        <v>CPAC Northeast</v>
      </c>
      <c r="C1585" s="19"/>
      <c r="D1585" s="19"/>
      <c r="E1585" s="19"/>
      <c r="F1585" s="19"/>
      <c r="G1585" s="19"/>
      <c r="H1585" s="23"/>
      <c r="I1585" s="3" t="s">
        <v>22</v>
      </c>
      <c r="J1585" s="11" t="s">
        <v>46</v>
      </c>
      <c r="K1585" s="11" t="s">
        <v>46</v>
      </c>
      <c r="L1585" s="11" t="s">
        <v>46</v>
      </c>
      <c r="M1585" s="11" t="s">
        <v>46</v>
      </c>
      <c r="N1585" s="11" t="s">
        <v>46</v>
      </c>
      <c r="O1585" s="10" t="s">
        <v>24</v>
      </c>
    </row>
    <row r="1586" spans="1:15" ht="15" thickBot="1" x14ac:dyDescent="0.4">
      <c r="B1586" t="str">
        <f t="shared" si="371"/>
        <v>CPAC Northeast</v>
      </c>
      <c r="C1586" s="16"/>
      <c r="D1586" s="16"/>
      <c r="E1586" s="16"/>
      <c r="F1586" s="16"/>
      <c r="G1586" s="16" t="s">
        <v>356</v>
      </c>
      <c r="H1586" s="27" t="s">
        <v>34</v>
      </c>
      <c r="I1586" s="1"/>
      <c r="J1586" s="1"/>
      <c r="K1586" s="1"/>
      <c r="L1586" s="1"/>
      <c r="M1586" s="1"/>
      <c r="N1586" s="1"/>
      <c r="O1586" s="1"/>
    </row>
    <row r="1587" spans="1:15" ht="15" thickBot="1" x14ac:dyDescent="0.4">
      <c r="A1587" t="str">
        <f t="shared" si="372"/>
        <v>FC334</v>
      </c>
      <c r="B1587" t="str">
        <f t="shared" si="371"/>
        <v>CPAC Northeast</v>
      </c>
      <c r="C1587" s="18"/>
      <c r="D1587" s="18"/>
      <c r="E1587" s="18"/>
      <c r="F1587" s="18"/>
      <c r="G1587" s="18"/>
      <c r="H1587" s="28"/>
      <c r="I1587" s="3" t="s">
        <v>18</v>
      </c>
      <c r="J1587" s="4">
        <v>40</v>
      </c>
      <c r="K1587" s="4">
        <v>30</v>
      </c>
      <c r="L1587" s="4">
        <v>35</v>
      </c>
      <c r="M1587" s="4">
        <v>42</v>
      </c>
      <c r="N1587" s="8">
        <v>18</v>
      </c>
      <c r="O1587" s="4">
        <v>30</v>
      </c>
    </row>
    <row r="1588" spans="1:15" ht="15" thickBot="1" x14ac:dyDescent="0.4">
      <c r="A1588" t="str">
        <f t="shared" si="373"/>
        <v>FC334</v>
      </c>
      <c r="B1588" t="str">
        <f t="shared" si="371"/>
        <v>CPAC Northeast</v>
      </c>
      <c r="C1588" s="18"/>
      <c r="D1588" s="18"/>
      <c r="E1588" s="18"/>
      <c r="F1588" s="18"/>
      <c r="G1588" s="18"/>
      <c r="H1588" s="28"/>
      <c r="I1588" s="5" t="s">
        <v>19</v>
      </c>
      <c r="J1588" s="9">
        <v>167</v>
      </c>
      <c r="K1588" s="9">
        <v>119</v>
      </c>
      <c r="L1588" s="6">
        <v>56</v>
      </c>
      <c r="M1588" s="8">
        <v>40</v>
      </c>
      <c r="N1588" s="9">
        <v>164</v>
      </c>
      <c r="O1588" s="9">
        <v>121</v>
      </c>
    </row>
    <row r="1589" spans="1:15" ht="15" thickBot="1" x14ac:dyDescent="0.4">
      <c r="A1589" t="str">
        <f t="shared" si="374"/>
        <v>FC334</v>
      </c>
      <c r="B1589" t="str">
        <f t="shared" si="371"/>
        <v>CPAC Northeast</v>
      </c>
      <c r="C1589" s="18"/>
      <c r="D1589" s="18"/>
      <c r="E1589" s="18"/>
      <c r="F1589" s="18"/>
      <c r="G1589" s="18"/>
      <c r="H1589" s="28"/>
      <c r="I1589" s="3" t="s">
        <v>20</v>
      </c>
      <c r="J1589" s="9">
        <v>30.3</v>
      </c>
      <c r="K1589" s="6">
        <v>42.6</v>
      </c>
      <c r="L1589" s="10">
        <v>17.100000000000001</v>
      </c>
      <c r="M1589" s="10">
        <v>18.2</v>
      </c>
      <c r="N1589" s="8">
        <v>88.4</v>
      </c>
      <c r="O1589" s="9">
        <v>33.299999999999997</v>
      </c>
    </row>
    <row r="1590" spans="1:15" ht="15" thickBot="1" x14ac:dyDescent="0.4">
      <c r="A1590" t="str">
        <f t="shared" si="375"/>
        <v>FC334</v>
      </c>
      <c r="B1590" t="str">
        <f t="shared" si="371"/>
        <v>CPAC Northeast</v>
      </c>
      <c r="C1590" s="18"/>
      <c r="D1590" s="18"/>
      <c r="E1590" s="18"/>
      <c r="F1590" s="18"/>
      <c r="G1590" s="18"/>
      <c r="H1590" s="28"/>
      <c r="I1590" s="5" t="s">
        <v>21</v>
      </c>
      <c r="J1590" s="10">
        <v>1.84</v>
      </c>
      <c r="K1590" s="10">
        <v>0.93</v>
      </c>
      <c r="L1590" s="10">
        <v>1.08</v>
      </c>
      <c r="M1590" s="9">
        <v>0.73</v>
      </c>
      <c r="N1590" s="9">
        <v>0.62</v>
      </c>
      <c r="O1590" s="10">
        <v>1.21</v>
      </c>
    </row>
    <row r="1591" spans="1:15" ht="15" thickBot="1" x14ac:dyDescent="0.4">
      <c r="A1591" t="str">
        <f t="shared" si="376"/>
        <v>FC334</v>
      </c>
      <c r="B1591" t="str">
        <f t="shared" si="371"/>
        <v>CPAC Northeast</v>
      </c>
      <c r="C1591" s="19"/>
      <c r="D1591" s="19"/>
      <c r="E1591" s="19"/>
      <c r="F1591" s="19"/>
      <c r="G1591" s="19"/>
      <c r="H1591" s="29"/>
      <c r="I1591" s="3" t="s">
        <v>22</v>
      </c>
      <c r="J1591" s="11"/>
      <c r="K1591" s="11"/>
      <c r="L1591" s="11"/>
      <c r="M1591" s="11"/>
      <c r="N1591" s="9" t="s">
        <v>25</v>
      </c>
      <c r="O1591" s="11"/>
    </row>
    <row r="1592" spans="1:15" ht="15" thickBot="1" x14ac:dyDescent="0.4">
      <c r="B1592" t="str">
        <f t="shared" si="371"/>
        <v>CPAC Northeast</v>
      </c>
      <c r="C1592" s="16"/>
      <c r="D1592" s="16"/>
      <c r="E1592" s="16"/>
      <c r="F1592" s="16"/>
      <c r="G1592" s="16" t="s">
        <v>357</v>
      </c>
      <c r="H1592" s="27" t="s">
        <v>34</v>
      </c>
      <c r="I1592" s="1"/>
      <c r="J1592" s="1"/>
      <c r="K1592" s="1"/>
      <c r="L1592" s="1"/>
      <c r="M1592" s="1"/>
      <c r="N1592" s="1"/>
      <c r="O1592" s="1"/>
    </row>
    <row r="1593" spans="1:15" ht="15" thickBot="1" x14ac:dyDescent="0.4">
      <c r="A1593" t="str">
        <f t="shared" si="372"/>
        <v>FC258</v>
      </c>
      <c r="B1593" t="str">
        <f t="shared" si="371"/>
        <v>CPAC Northeast</v>
      </c>
      <c r="C1593" s="18"/>
      <c r="D1593" s="18"/>
      <c r="E1593" s="18"/>
      <c r="F1593" s="18"/>
      <c r="G1593" s="18"/>
      <c r="H1593" s="28"/>
      <c r="I1593" s="3" t="s">
        <v>18</v>
      </c>
      <c r="J1593" s="4">
        <v>45</v>
      </c>
      <c r="K1593" s="4">
        <v>40</v>
      </c>
      <c r="L1593" s="4">
        <v>45</v>
      </c>
      <c r="M1593" s="4">
        <v>51</v>
      </c>
      <c r="N1593" s="8">
        <v>18</v>
      </c>
      <c r="O1593" s="4">
        <v>41</v>
      </c>
    </row>
    <row r="1594" spans="1:15" ht="15" thickBot="1" x14ac:dyDescent="0.4">
      <c r="A1594" t="str">
        <f t="shared" si="373"/>
        <v>FC258</v>
      </c>
      <c r="B1594" t="str">
        <f t="shared" si="371"/>
        <v>CPAC Northeast</v>
      </c>
      <c r="C1594" s="18"/>
      <c r="D1594" s="18"/>
      <c r="E1594" s="18"/>
      <c r="F1594" s="18"/>
      <c r="G1594" s="18"/>
      <c r="H1594" s="28"/>
      <c r="I1594" s="5" t="s">
        <v>19</v>
      </c>
      <c r="J1594" s="8">
        <v>39</v>
      </c>
      <c r="K1594" s="6">
        <v>67</v>
      </c>
      <c r="L1594" s="7">
        <v>84</v>
      </c>
      <c r="M1594" s="8">
        <v>24</v>
      </c>
      <c r="N1594" s="6">
        <v>59</v>
      </c>
      <c r="O1594" s="8">
        <v>30</v>
      </c>
    </row>
    <row r="1595" spans="1:15" ht="15" thickBot="1" x14ac:dyDescent="0.4">
      <c r="A1595" t="str">
        <f t="shared" si="374"/>
        <v>FC258</v>
      </c>
      <c r="B1595" t="str">
        <f t="shared" si="371"/>
        <v>CPAC Northeast</v>
      </c>
      <c r="C1595" s="18"/>
      <c r="D1595" s="18"/>
      <c r="E1595" s="18"/>
      <c r="F1595" s="18"/>
      <c r="G1595" s="18"/>
      <c r="H1595" s="28"/>
      <c r="I1595" s="3" t="s">
        <v>20</v>
      </c>
      <c r="J1595" s="10">
        <v>13</v>
      </c>
      <c r="K1595" s="10">
        <v>26.9</v>
      </c>
      <c r="L1595" s="7">
        <v>34.9</v>
      </c>
      <c r="M1595" s="10">
        <v>13.4</v>
      </c>
      <c r="N1595" s="10">
        <v>14.6</v>
      </c>
      <c r="O1595" s="10">
        <v>14.8</v>
      </c>
    </row>
    <row r="1596" spans="1:15" ht="15" thickBot="1" x14ac:dyDescent="0.4">
      <c r="A1596" t="str">
        <f t="shared" si="375"/>
        <v>FC258</v>
      </c>
      <c r="B1596" t="str">
        <f t="shared" si="371"/>
        <v>CPAC Northeast</v>
      </c>
      <c r="C1596" s="18"/>
      <c r="D1596" s="18"/>
      <c r="E1596" s="18"/>
      <c r="F1596" s="18"/>
      <c r="G1596" s="18"/>
      <c r="H1596" s="28"/>
      <c r="I1596" s="5" t="s">
        <v>21</v>
      </c>
      <c r="J1596" s="10">
        <v>1</v>
      </c>
      <c r="K1596" s="10">
        <v>0.83</v>
      </c>
      <c r="L1596" s="10">
        <v>0.8</v>
      </c>
      <c r="M1596" s="9">
        <v>0.61</v>
      </c>
      <c r="N1596" s="10">
        <v>1.34</v>
      </c>
      <c r="O1596" s="9">
        <v>0.68</v>
      </c>
    </row>
    <row r="1597" spans="1:15" ht="15" thickBot="1" x14ac:dyDescent="0.4">
      <c r="A1597" t="str">
        <f t="shared" si="376"/>
        <v>FC258</v>
      </c>
      <c r="B1597" t="str">
        <f t="shared" si="371"/>
        <v>CPAC Northeast</v>
      </c>
      <c r="C1597" s="19"/>
      <c r="D1597" s="19"/>
      <c r="E1597" s="19"/>
      <c r="F1597" s="19"/>
      <c r="G1597" s="19"/>
      <c r="H1597" s="29"/>
      <c r="I1597" s="3" t="s">
        <v>22</v>
      </c>
      <c r="J1597" s="11"/>
      <c r="K1597" s="11"/>
      <c r="L1597" s="11"/>
      <c r="M1597" s="11"/>
      <c r="N1597" s="10" t="s">
        <v>24</v>
      </c>
      <c r="O1597" s="11"/>
    </row>
    <row r="1598" spans="1:15" ht="15" thickBot="1" x14ac:dyDescent="0.4">
      <c r="B1598" t="str">
        <f t="shared" si="371"/>
        <v>CPAC Northeast</v>
      </c>
      <c r="C1598" s="16"/>
      <c r="D1598" s="16"/>
      <c r="E1598" s="16"/>
      <c r="F1598" s="16"/>
      <c r="G1598" s="16" t="s">
        <v>358</v>
      </c>
      <c r="H1598" s="27" t="s">
        <v>34</v>
      </c>
      <c r="I1598" s="1"/>
      <c r="J1598" s="1"/>
      <c r="K1598" s="1"/>
      <c r="L1598" s="1"/>
      <c r="M1598" s="1"/>
      <c r="N1598" s="1"/>
      <c r="O1598" s="1"/>
    </row>
    <row r="1599" spans="1:15" ht="15" thickBot="1" x14ac:dyDescent="0.4">
      <c r="A1599" t="str">
        <f t="shared" si="372"/>
        <v>FC267</v>
      </c>
      <c r="B1599" t="str">
        <f t="shared" si="371"/>
        <v>CPAC Northeast</v>
      </c>
      <c r="C1599" s="18"/>
      <c r="D1599" s="18"/>
      <c r="E1599" s="18"/>
      <c r="F1599" s="18"/>
      <c r="G1599" s="18"/>
      <c r="H1599" s="28"/>
      <c r="I1599" s="3" t="s">
        <v>18</v>
      </c>
      <c r="J1599" s="4">
        <v>30</v>
      </c>
      <c r="K1599" s="4">
        <v>30</v>
      </c>
      <c r="L1599" s="4">
        <v>30</v>
      </c>
      <c r="M1599" s="4">
        <v>30</v>
      </c>
      <c r="N1599" s="4">
        <v>48</v>
      </c>
      <c r="O1599" s="4">
        <v>30</v>
      </c>
    </row>
    <row r="1600" spans="1:15" ht="15" thickBot="1" x14ac:dyDescent="0.4">
      <c r="A1600" t="str">
        <f t="shared" si="373"/>
        <v>FC267</v>
      </c>
      <c r="B1600" t="str">
        <f t="shared" si="371"/>
        <v>CPAC Northeast</v>
      </c>
      <c r="C1600" s="18"/>
      <c r="D1600" s="18"/>
      <c r="E1600" s="18"/>
      <c r="F1600" s="18"/>
      <c r="G1600" s="18"/>
      <c r="H1600" s="28"/>
      <c r="I1600" s="5" t="s">
        <v>19</v>
      </c>
      <c r="J1600" s="7">
        <v>86</v>
      </c>
      <c r="K1600" s="7">
        <v>87</v>
      </c>
      <c r="L1600" s="9">
        <v>125</v>
      </c>
      <c r="M1600" s="9">
        <v>111</v>
      </c>
      <c r="N1600" s="6">
        <v>56</v>
      </c>
      <c r="O1600" s="6">
        <v>66</v>
      </c>
    </row>
    <row r="1601" spans="1:15" ht="15" thickBot="1" x14ac:dyDescent="0.4">
      <c r="A1601" t="str">
        <f t="shared" si="374"/>
        <v>FC267</v>
      </c>
      <c r="B1601" t="str">
        <f t="shared" si="371"/>
        <v>CPAC Northeast</v>
      </c>
      <c r="C1601" s="18"/>
      <c r="D1601" s="18"/>
      <c r="E1601" s="18"/>
      <c r="F1601" s="18"/>
      <c r="G1601" s="18"/>
      <c r="H1601" s="28"/>
      <c r="I1601" s="3" t="s">
        <v>20</v>
      </c>
      <c r="J1601" s="7">
        <v>36</v>
      </c>
      <c r="K1601" s="9">
        <v>31.8</v>
      </c>
      <c r="L1601" s="7">
        <v>35.6</v>
      </c>
      <c r="M1601" s="7">
        <v>36.799999999999997</v>
      </c>
      <c r="N1601" s="9">
        <v>30.3</v>
      </c>
      <c r="O1601" s="10">
        <v>21.3</v>
      </c>
    </row>
    <row r="1602" spans="1:15" ht="15" thickBot="1" x14ac:dyDescent="0.4">
      <c r="A1602" t="str">
        <f t="shared" si="375"/>
        <v>FC267</v>
      </c>
      <c r="B1602" t="str">
        <f t="shared" si="371"/>
        <v>CPAC Northeast</v>
      </c>
      <c r="C1602" s="18"/>
      <c r="D1602" s="18"/>
      <c r="E1602" s="18"/>
      <c r="F1602" s="18"/>
      <c r="G1602" s="18"/>
      <c r="H1602" s="28"/>
      <c r="I1602" s="5" t="s">
        <v>21</v>
      </c>
      <c r="J1602" s="10">
        <v>0.8</v>
      </c>
      <c r="K1602" s="10">
        <v>0.91</v>
      </c>
      <c r="L1602" s="10">
        <v>1.17</v>
      </c>
      <c r="M1602" s="10">
        <v>1.01</v>
      </c>
      <c r="N1602" s="9">
        <v>0.61</v>
      </c>
      <c r="O1602" s="10">
        <v>1.03</v>
      </c>
    </row>
    <row r="1603" spans="1:15" ht="15" thickBot="1" x14ac:dyDescent="0.4">
      <c r="A1603" t="str">
        <f t="shared" si="376"/>
        <v>FC267</v>
      </c>
      <c r="B1603" t="str">
        <f t="shared" si="371"/>
        <v>CPAC Northeast</v>
      </c>
      <c r="C1603" s="19"/>
      <c r="D1603" s="19"/>
      <c r="E1603" s="19"/>
      <c r="F1603" s="19"/>
      <c r="G1603" s="19"/>
      <c r="H1603" s="29"/>
      <c r="I1603" s="3" t="s">
        <v>22</v>
      </c>
      <c r="J1603" s="11"/>
      <c r="K1603" s="11"/>
      <c r="L1603" s="11"/>
      <c r="M1603" s="11"/>
      <c r="N1603" s="9" t="s">
        <v>25</v>
      </c>
      <c r="O1603" s="11"/>
    </row>
    <row r="1604" spans="1:15" ht="15" thickBot="1" x14ac:dyDescent="0.4">
      <c r="B1604" t="str">
        <f t="shared" si="371"/>
        <v>CPAC Northeast</v>
      </c>
      <c r="C1604" s="16"/>
      <c r="D1604" s="16"/>
      <c r="E1604" s="16"/>
      <c r="F1604" s="16"/>
      <c r="G1604" s="16" t="s">
        <v>359</v>
      </c>
      <c r="H1604" s="27" t="s">
        <v>34</v>
      </c>
      <c r="I1604" s="1"/>
      <c r="J1604" s="1"/>
      <c r="K1604" s="1"/>
      <c r="L1604" s="1"/>
      <c r="M1604" s="1"/>
      <c r="N1604" s="1"/>
      <c r="O1604" s="1"/>
    </row>
    <row r="1605" spans="1:15" ht="15" thickBot="1" x14ac:dyDescent="0.4">
      <c r="A1605" t="str">
        <f t="shared" si="372"/>
        <v>FC405</v>
      </c>
      <c r="B1605" t="str">
        <f t="shared" si="371"/>
        <v>CPAC Northeast</v>
      </c>
      <c r="C1605" s="18"/>
      <c r="D1605" s="18"/>
      <c r="E1605" s="18"/>
      <c r="F1605" s="18"/>
      <c r="G1605" s="18"/>
      <c r="H1605" s="28"/>
      <c r="I1605" s="3" t="s">
        <v>18</v>
      </c>
      <c r="J1605" s="4">
        <v>32</v>
      </c>
      <c r="K1605" s="4">
        <v>30</v>
      </c>
      <c r="L1605" s="8">
        <v>18</v>
      </c>
      <c r="M1605" s="8">
        <v>18</v>
      </c>
      <c r="N1605" s="4">
        <v>36</v>
      </c>
      <c r="O1605" s="4">
        <v>42</v>
      </c>
    </row>
    <row r="1606" spans="1:15" ht="15" thickBot="1" x14ac:dyDescent="0.4">
      <c r="A1606" t="str">
        <f t="shared" si="373"/>
        <v>FC405</v>
      </c>
      <c r="B1606" t="str">
        <f t="shared" si="371"/>
        <v>CPAC Northeast</v>
      </c>
      <c r="C1606" s="18"/>
      <c r="D1606" s="18"/>
      <c r="E1606" s="18"/>
      <c r="F1606" s="18"/>
      <c r="G1606" s="18"/>
      <c r="H1606" s="28"/>
      <c r="I1606" s="5" t="s">
        <v>19</v>
      </c>
      <c r="J1606" s="9">
        <v>103</v>
      </c>
      <c r="K1606" s="7">
        <v>81</v>
      </c>
      <c r="L1606" s="7">
        <v>78</v>
      </c>
      <c r="M1606" s="9">
        <v>155</v>
      </c>
      <c r="N1606" s="7">
        <v>88</v>
      </c>
      <c r="O1606" s="8">
        <v>47</v>
      </c>
    </row>
    <row r="1607" spans="1:15" ht="15" thickBot="1" x14ac:dyDescent="0.4">
      <c r="A1607" t="str">
        <f t="shared" si="374"/>
        <v>FC405</v>
      </c>
      <c r="B1607" t="str">
        <f t="shared" si="371"/>
        <v>CPAC Northeast</v>
      </c>
      <c r="C1607" s="18"/>
      <c r="D1607" s="18"/>
      <c r="E1607" s="18"/>
      <c r="F1607" s="18"/>
      <c r="G1607" s="18"/>
      <c r="H1607" s="28"/>
      <c r="I1607" s="3" t="s">
        <v>20</v>
      </c>
      <c r="J1607" s="7">
        <v>39.299999999999997</v>
      </c>
      <c r="K1607" s="9">
        <v>34.5</v>
      </c>
      <c r="L1607" s="6">
        <v>41.9</v>
      </c>
      <c r="M1607" s="9">
        <v>34.4</v>
      </c>
      <c r="N1607" s="10">
        <v>15.5</v>
      </c>
      <c r="O1607" s="10">
        <v>19.5</v>
      </c>
    </row>
    <row r="1608" spans="1:15" ht="15" thickBot="1" x14ac:dyDescent="0.4">
      <c r="A1608" t="str">
        <f t="shared" si="375"/>
        <v>FC405</v>
      </c>
      <c r="B1608" t="str">
        <f t="shared" si="371"/>
        <v>CPAC Northeast</v>
      </c>
      <c r="C1608" s="18"/>
      <c r="D1608" s="18"/>
      <c r="E1608" s="18"/>
      <c r="F1608" s="18"/>
      <c r="G1608" s="18"/>
      <c r="H1608" s="28"/>
      <c r="I1608" s="5" t="s">
        <v>21</v>
      </c>
      <c r="J1608" s="10">
        <v>0.87</v>
      </c>
      <c r="K1608" s="10">
        <v>0.79</v>
      </c>
      <c r="L1608" s="9">
        <v>0.62</v>
      </c>
      <c r="M1608" s="10">
        <v>1.51</v>
      </c>
      <c r="N1608" s="10">
        <v>1.89</v>
      </c>
      <c r="O1608" s="10">
        <v>0.8</v>
      </c>
    </row>
    <row r="1609" spans="1:15" ht="15" thickBot="1" x14ac:dyDescent="0.4">
      <c r="A1609" t="str">
        <f t="shared" si="376"/>
        <v>FC405</v>
      </c>
      <c r="B1609" t="str">
        <f t="shared" si="371"/>
        <v>CPAC Northeast</v>
      </c>
      <c r="C1609" s="19"/>
      <c r="D1609" s="19"/>
      <c r="E1609" s="19"/>
      <c r="F1609" s="19"/>
      <c r="G1609" s="19"/>
      <c r="H1609" s="29"/>
      <c r="I1609" s="3" t="s">
        <v>22</v>
      </c>
      <c r="J1609" s="11"/>
      <c r="K1609" s="10" t="s">
        <v>24</v>
      </c>
      <c r="L1609" s="9" t="s">
        <v>25</v>
      </c>
      <c r="M1609" s="10" t="s">
        <v>24</v>
      </c>
      <c r="N1609" s="10" t="s">
        <v>24</v>
      </c>
      <c r="O1609" s="11"/>
    </row>
    <row r="1610" spans="1:15" ht="15" thickBot="1" x14ac:dyDescent="0.4">
      <c r="B1610" t="str">
        <f t="shared" si="371"/>
        <v>CPAC Northeast</v>
      </c>
      <c r="C1610" s="16"/>
      <c r="D1610" s="16"/>
      <c r="E1610" s="16"/>
      <c r="F1610" s="16"/>
      <c r="G1610" s="16" t="s">
        <v>360</v>
      </c>
      <c r="H1610" s="24" t="s">
        <v>30</v>
      </c>
      <c r="I1610" s="1"/>
      <c r="J1610" s="1"/>
      <c r="K1610" s="1"/>
      <c r="L1610" s="1"/>
      <c r="M1610" s="1"/>
      <c r="N1610" s="1"/>
      <c r="O1610" s="1"/>
    </row>
    <row r="1611" spans="1:15" ht="15" thickBot="1" x14ac:dyDescent="0.4">
      <c r="A1611" t="str">
        <f t="shared" si="372"/>
        <v>FC192</v>
      </c>
      <c r="B1611" t="str">
        <f t="shared" si="371"/>
        <v>CPAC Northeast</v>
      </c>
      <c r="C1611" s="18"/>
      <c r="D1611" s="18"/>
      <c r="E1611" s="18"/>
      <c r="F1611" s="18"/>
      <c r="G1611" s="18"/>
      <c r="H1611" s="25"/>
      <c r="I1611" s="3" t="s">
        <v>18</v>
      </c>
      <c r="J1611" s="11"/>
      <c r="K1611" s="11"/>
      <c r="L1611" s="8">
        <v>18</v>
      </c>
      <c r="M1611" s="11"/>
      <c r="N1611" s="11"/>
      <c r="O1611" s="11"/>
    </row>
    <row r="1612" spans="1:15" ht="15" thickBot="1" x14ac:dyDescent="0.4">
      <c r="A1612" t="str">
        <f t="shared" si="373"/>
        <v>FC192</v>
      </c>
      <c r="B1612" t="str">
        <f t="shared" si="371"/>
        <v>CPAC Northeast</v>
      </c>
      <c r="C1612" s="18"/>
      <c r="D1612" s="18"/>
      <c r="E1612" s="18"/>
      <c r="F1612" s="18"/>
      <c r="G1612" s="18"/>
      <c r="H1612" s="25"/>
      <c r="I1612" s="5" t="s">
        <v>19</v>
      </c>
      <c r="J1612" s="11"/>
      <c r="K1612" s="11"/>
      <c r="L1612" s="7">
        <v>87</v>
      </c>
      <c r="M1612" s="11"/>
      <c r="N1612" s="11"/>
      <c r="O1612" s="11"/>
    </row>
    <row r="1613" spans="1:15" ht="15" thickBot="1" x14ac:dyDescent="0.4">
      <c r="A1613" t="str">
        <f t="shared" si="374"/>
        <v>FC192</v>
      </c>
      <c r="B1613" t="str">
        <f t="shared" si="371"/>
        <v>CPAC Northeast</v>
      </c>
      <c r="C1613" s="18"/>
      <c r="D1613" s="18"/>
      <c r="E1613" s="18"/>
      <c r="F1613" s="18"/>
      <c r="G1613" s="18"/>
      <c r="H1613" s="25"/>
      <c r="I1613" s="3" t="s">
        <v>20</v>
      </c>
      <c r="J1613" s="11"/>
      <c r="K1613" s="11"/>
      <c r="L1613" s="10">
        <v>26.6</v>
      </c>
      <c r="M1613" s="11"/>
      <c r="N1613" s="11"/>
      <c r="O1613" s="11"/>
    </row>
    <row r="1614" spans="1:15" ht="15" thickBot="1" x14ac:dyDescent="0.4">
      <c r="A1614" t="str">
        <f t="shared" si="375"/>
        <v>FC192</v>
      </c>
      <c r="B1614" t="str">
        <f t="shared" si="371"/>
        <v>CPAC Northeast</v>
      </c>
      <c r="C1614" s="18"/>
      <c r="D1614" s="18"/>
      <c r="E1614" s="18"/>
      <c r="F1614" s="18"/>
      <c r="G1614" s="18"/>
      <c r="H1614" s="25"/>
      <c r="I1614" s="5" t="s">
        <v>21</v>
      </c>
      <c r="J1614" s="11"/>
      <c r="K1614" s="11"/>
      <c r="L1614" s="10">
        <v>1.1000000000000001</v>
      </c>
      <c r="M1614" s="11"/>
      <c r="N1614" s="11"/>
      <c r="O1614" s="11"/>
    </row>
    <row r="1615" spans="1:15" ht="15" thickBot="1" x14ac:dyDescent="0.4">
      <c r="A1615" t="str">
        <f t="shared" si="376"/>
        <v>FC192</v>
      </c>
      <c r="B1615" t="str">
        <f t="shared" ref="B1615:B1678" si="377">$D$974</f>
        <v>CPAC Northeast</v>
      </c>
      <c r="C1615" s="19"/>
      <c r="D1615" s="19"/>
      <c r="E1615" s="19"/>
      <c r="F1615" s="19"/>
      <c r="G1615" s="19"/>
      <c r="H1615" s="26"/>
      <c r="I1615" s="3" t="s">
        <v>22</v>
      </c>
      <c r="J1615" s="11" t="s">
        <v>45</v>
      </c>
      <c r="K1615" s="11" t="s">
        <v>45</v>
      </c>
      <c r="L1615" s="10" t="s">
        <v>24</v>
      </c>
      <c r="M1615" s="11" t="s">
        <v>45</v>
      </c>
      <c r="N1615" s="11" t="s">
        <v>45</v>
      </c>
      <c r="O1615" s="11" t="s">
        <v>45</v>
      </c>
    </row>
    <row r="1616" spans="1:15" ht="15" thickBot="1" x14ac:dyDescent="0.4">
      <c r="B1616" t="str">
        <f t="shared" si="377"/>
        <v>CPAC Northeast</v>
      </c>
      <c r="C1616" s="16"/>
      <c r="D1616" s="16"/>
      <c r="E1616" s="16"/>
      <c r="F1616" s="16"/>
      <c r="G1616" s="16" t="s">
        <v>361</v>
      </c>
      <c r="H1616" s="27" t="s">
        <v>34</v>
      </c>
      <c r="I1616" s="1"/>
      <c r="J1616" s="1"/>
      <c r="K1616" s="1"/>
      <c r="L1616" s="1"/>
      <c r="M1616" s="1"/>
      <c r="N1616" s="1"/>
      <c r="O1616" s="1"/>
    </row>
    <row r="1617" spans="1:15" ht="15" thickBot="1" x14ac:dyDescent="0.4">
      <c r="A1617" t="str">
        <f t="shared" si="372"/>
        <v>FC225</v>
      </c>
      <c r="B1617" t="str">
        <f t="shared" si="377"/>
        <v>CPAC Northeast</v>
      </c>
      <c r="C1617" s="18"/>
      <c r="D1617" s="18"/>
      <c r="E1617" s="18"/>
      <c r="F1617" s="18"/>
      <c r="G1617" s="18"/>
      <c r="H1617" s="28"/>
      <c r="I1617" s="3" t="s">
        <v>18</v>
      </c>
      <c r="J1617" s="4">
        <v>35</v>
      </c>
      <c r="K1617" s="4">
        <v>30</v>
      </c>
      <c r="L1617" s="4">
        <v>30</v>
      </c>
      <c r="M1617" s="4">
        <v>30</v>
      </c>
      <c r="N1617" s="8">
        <v>18</v>
      </c>
      <c r="O1617" s="8">
        <v>18</v>
      </c>
    </row>
    <row r="1618" spans="1:15" ht="15" thickBot="1" x14ac:dyDescent="0.4">
      <c r="A1618" t="str">
        <f t="shared" si="373"/>
        <v>FC225</v>
      </c>
      <c r="B1618" t="str">
        <f t="shared" si="377"/>
        <v>CPAC Northeast</v>
      </c>
      <c r="C1618" s="18"/>
      <c r="D1618" s="18"/>
      <c r="E1618" s="18"/>
      <c r="F1618" s="18"/>
      <c r="G1618" s="18"/>
      <c r="H1618" s="28"/>
      <c r="I1618" s="5" t="s">
        <v>19</v>
      </c>
      <c r="J1618" s="8">
        <v>41</v>
      </c>
      <c r="K1618" s="7">
        <v>82</v>
      </c>
      <c r="L1618" s="7">
        <v>71</v>
      </c>
      <c r="M1618" s="8">
        <v>27</v>
      </c>
      <c r="N1618" s="6">
        <v>60</v>
      </c>
      <c r="O1618" s="9">
        <v>109</v>
      </c>
    </row>
    <row r="1619" spans="1:15" ht="15" thickBot="1" x14ac:dyDescent="0.4">
      <c r="A1619" t="str">
        <f t="shared" si="374"/>
        <v>FC225</v>
      </c>
      <c r="B1619" t="str">
        <f t="shared" si="377"/>
        <v>CPAC Northeast</v>
      </c>
      <c r="C1619" s="18"/>
      <c r="D1619" s="18"/>
      <c r="E1619" s="18"/>
      <c r="F1619" s="18"/>
      <c r="G1619" s="18"/>
      <c r="H1619" s="28"/>
      <c r="I1619" s="3" t="s">
        <v>20</v>
      </c>
      <c r="J1619" s="10">
        <v>21.6</v>
      </c>
      <c r="K1619" s="10">
        <v>13.9</v>
      </c>
      <c r="L1619" s="10">
        <v>25.6</v>
      </c>
      <c r="M1619" s="10">
        <v>10.3</v>
      </c>
      <c r="N1619" s="10">
        <v>9.6</v>
      </c>
      <c r="O1619" s="7">
        <v>35.4</v>
      </c>
    </row>
    <row r="1620" spans="1:15" ht="15" thickBot="1" x14ac:dyDescent="0.4">
      <c r="A1620" t="str">
        <f t="shared" si="375"/>
        <v>FC225</v>
      </c>
      <c r="B1620" t="str">
        <f t="shared" si="377"/>
        <v>CPAC Northeast</v>
      </c>
      <c r="C1620" s="18"/>
      <c r="D1620" s="18"/>
      <c r="E1620" s="18"/>
      <c r="F1620" s="18"/>
      <c r="G1620" s="18"/>
      <c r="H1620" s="28"/>
      <c r="I1620" s="5" t="s">
        <v>21</v>
      </c>
      <c r="J1620" s="9">
        <v>0.63</v>
      </c>
      <c r="K1620" s="10">
        <v>1.97</v>
      </c>
      <c r="L1620" s="10">
        <v>0.92</v>
      </c>
      <c r="M1620" s="10">
        <v>0.88</v>
      </c>
      <c r="N1620" s="10">
        <v>2.09</v>
      </c>
      <c r="O1620" s="10">
        <v>1.02</v>
      </c>
    </row>
    <row r="1621" spans="1:15" ht="15" thickBot="1" x14ac:dyDescent="0.4">
      <c r="A1621" t="str">
        <f t="shared" si="376"/>
        <v>FC225</v>
      </c>
      <c r="B1621" t="str">
        <f t="shared" si="377"/>
        <v>CPAC Northeast</v>
      </c>
      <c r="C1621" s="19"/>
      <c r="D1621" s="19"/>
      <c r="E1621" s="19"/>
      <c r="F1621" s="19"/>
      <c r="G1621" s="19"/>
      <c r="H1621" s="29"/>
      <c r="I1621" s="3" t="s">
        <v>22</v>
      </c>
      <c r="J1621" s="11"/>
      <c r="K1621" s="11"/>
      <c r="L1621" s="11"/>
      <c r="M1621" s="11"/>
      <c r="N1621" s="10" t="s">
        <v>24</v>
      </c>
      <c r="O1621" s="10" t="s">
        <v>24</v>
      </c>
    </row>
    <row r="1622" spans="1:15" ht="15" thickBot="1" x14ac:dyDescent="0.4">
      <c r="B1622" t="str">
        <f t="shared" si="377"/>
        <v>CPAC Northeast</v>
      </c>
      <c r="C1622" s="16"/>
      <c r="D1622" s="16"/>
      <c r="E1622" s="16"/>
      <c r="F1622" s="16"/>
      <c r="G1622" s="16" t="s">
        <v>362</v>
      </c>
      <c r="H1622" s="27" t="s">
        <v>34</v>
      </c>
      <c r="I1622" s="1"/>
      <c r="J1622" s="1"/>
      <c r="K1622" s="1"/>
      <c r="L1622" s="1"/>
      <c r="M1622" s="1"/>
      <c r="N1622" s="1"/>
      <c r="O1622" s="1"/>
    </row>
    <row r="1623" spans="1:15" ht="15" thickBot="1" x14ac:dyDescent="0.4">
      <c r="A1623" t="str">
        <f t="shared" si="372"/>
        <v>FC330</v>
      </c>
      <c r="B1623" t="str">
        <f t="shared" si="377"/>
        <v>CPAC Northeast</v>
      </c>
      <c r="C1623" s="18"/>
      <c r="D1623" s="18"/>
      <c r="E1623" s="18"/>
      <c r="F1623" s="18"/>
      <c r="G1623" s="18"/>
      <c r="H1623" s="28"/>
      <c r="I1623" s="3" t="s">
        <v>18</v>
      </c>
      <c r="J1623" s="4">
        <v>50</v>
      </c>
      <c r="K1623" s="4">
        <v>50</v>
      </c>
      <c r="L1623" s="4">
        <v>50</v>
      </c>
      <c r="M1623" s="4">
        <v>52</v>
      </c>
      <c r="N1623" s="8">
        <v>18</v>
      </c>
      <c r="O1623" s="8">
        <v>18</v>
      </c>
    </row>
    <row r="1624" spans="1:15" ht="15" thickBot="1" x14ac:dyDescent="0.4">
      <c r="A1624" t="str">
        <f t="shared" si="373"/>
        <v>FC330</v>
      </c>
      <c r="B1624" t="str">
        <f t="shared" si="377"/>
        <v>CPAC Northeast</v>
      </c>
      <c r="C1624" s="18"/>
      <c r="D1624" s="18"/>
      <c r="E1624" s="18"/>
      <c r="F1624" s="18"/>
      <c r="G1624" s="18"/>
      <c r="H1624" s="28"/>
      <c r="I1624" s="5" t="s">
        <v>19</v>
      </c>
      <c r="J1624" s="7">
        <v>74</v>
      </c>
      <c r="K1624" s="7">
        <v>80</v>
      </c>
      <c r="L1624" s="9">
        <v>106</v>
      </c>
      <c r="M1624" s="8">
        <v>28</v>
      </c>
      <c r="N1624" s="6">
        <v>62</v>
      </c>
      <c r="O1624" s="9">
        <v>109</v>
      </c>
    </row>
    <row r="1625" spans="1:15" ht="15" thickBot="1" x14ac:dyDescent="0.4">
      <c r="A1625" t="str">
        <f t="shared" si="374"/>
        <v>FC330</v>
      </c>
      <c r="B1625" t="str">
        <f t="shared" si="377"/>
        <v>CPAC Northeast</v>
      </c>
      <c r="C1625" s="18"/>
      <c r="D1625" s="18"/>
      <c r="E1625" s="18"/>
      <c r="F1625" s="18"/>
      <c r="G1625" s="18"/>
      <c r="H1625" s="28"/>
      <c r="I1625" s="3" t="s">
        <v>20</v>
      </c>
      <c r="J1625" s="10">
        <v>21.3</v>
      </c>
      <c r="K1625" s="10">
        <v>25.9</v>
      </c>
      <c r="L1625" s="9">
        <v>32</v>
      </c>
      <c r="M1625" s="10">
        <v>15.5</v>
      </c>
      <c r="N1625" s="9">
        <v>32.200000000000003</v>
      </c>
      <c r="O1625" s="8">
        <v>53.2</v>
      </c>
    </row>
    <row r="1626" spans="1:15" ht="15" thickBot="1" x14ac:dyDescent="0.4">
      <c r="A1626" t="str">
        <f t="shared" si="375"/>
        <v>FC330</v>
      </c>
      <c r="B1626" t="str">
        <f t="shared" si="377"/>
        <v>CPAC Northeast</v>
      </c>
      <c r="C1626" s="18"/>
      <c r="D1626" s="18"/>
      <c r="E1626" s="18"/>
      <c r="F1626" s="18"/>
      <c r="G1626" s="18"/>
      <c r="H1626" s="28"/>
      <c r="I1626" s="5" t="s">
        <v>21</v>
      </c>
      <c r="J1626" s="10">
        <v>1.1599999999999999</v>
      </c>
      <c r="K1626" s="10">
        <v>1.03</v>
      </c>
      <c r="L1626" s="10">
        <v>1.1000000000000001</v>
      </c>
      <c r="M1626" s="9">
        <v>0.61</v>
      </c>
      <c r="N1626" s="9">
        <v>0.64</v>
      </c>
      <c r="O1626" s="9">
        <v>0.68</v>
      </c>
    </row>
    <row r="1627" spans="1:15" ht="15" thickBot="1" x14ac:dyDescent="0.4">
      <c r="A1627" t="str">
        <f t="shared" si="376"/>
        <v>FC330</v>
      </c>
      <c r="B1627" t="str">
        <f t="shared" si="377"/>
        <v>CPAC Northeast</v>
      </c>
      <c r="C1627" s="19"/>
      <c r="D1627" s="19"/>
      <c r="E1627" s="19"/>
      <c r="F1627" s="19"/>
      <c r="G1627" s="19"/>
      <c r="H1627" s="29"/>
      <c r="I1627" s="3" t="s">
        <v>22</v>
      </c>
      <c r="J1627" s="11"/>
      <c r="K1627" s="11"/>
      <c r="L1627" s="11"/>
      <c r="M1627" s="11"/>
      <c r="N1627" s="9" t="s">
        <v>25</v>
      </c>
      <c r="O1627" s="10" t="s">
        <v>24</v>
      </c>
    </row>
    <row r="1628" spans="1:15" ht="15" thickBot="1" x14ac:dyDescent="0.4">
      <c r="B1628" t="str">
        <f t="shared" si="377"/>
        <v>CPAC Northeast</v>
      </c>
      <c r="C1628" s="16"/>
      <c r="D1628" s="16"/>
      <c r="E1628" s="16"/>
      <c r="F1628" s="16"/>
      <c r="G1628" s="16" t="s">
        <v>363</v>
      </c>
      <c r="H1628" s="27" t="s">
        <v>34</v>
      </c>
      <c r="I1628" s="1"/>
      <c r="J1628" s="1"/>
      <c r="K1628" s="1"/>
      <c r="L1628" s="1"/>
      <c r="M1628" s="1"/>
      <c r="N1628" s="1"/>
      <c r="O1628" s="1"/>
    </row>
    <row r="1629" spans="1:15" ht="15" thickBot="1" x14ac:dyDescent="0.4">
      <c r="A1629" t="str">
        <f t="shared" ref="A1629:A1692" si="378">IF(LEFT(G1628,2)="FC",LEFT(G1628,5),LEFT(G1628,4))</f>
        <v>FC022</v>
      </c>
      <c r="B1629" t="str">
        <f t="shared" si="377"/>
        <v>CPAC Northeast</v>
      </c>
      <c r="C1629" s="18"/>
      <c r="D1629" s="18"/>
      <c r="E1629" s="18"/>
      <c r="F1629" s="18"/>
      <c r="G1629" s="18"/>
      <c r="H1629" s="28"/>
      <c r="I1629" s="3" t="s">
        <v>18</v>
      </c>
      <c r="J1629" s="11"/>
      <c r="K1629" s="4">
        <v>31</v>
      </c>
      <c r="L1629" s="4">
        <v>31</v>
      </c>
      <c r="M1629" s="4">
        <v>33</v>
      </c>
      <c r="N1629" s="4">
        <v>31</v>
      </c>
      <c r="O1629" s="4">
        <v>33</v>
      </c>
    </row>
    <row r="1630" spans="1:15" ht="15" thickBot="1" x14ac:dyDescent="0.4">
      <c r="A1630" t="str">
        <f t="shared" si="373"/>
        <v>FC022</v>
      </c>
      <c r="B1630" t="str">
        <f t="shared" si="377"/>
        <v>CPAC Northeast</v>
      </c>
      <c r="C1630" s="18"/>
      <c r="D1630" s="18"/>
      <c r="E1630" s="18"/>
      <c r="F1630" s="18"/>
      <c r="G1630" s="18"/>
      <c r="H1630" s="28"/>
      <c r="I1630" s="5" t="s">
        <v>19</v>
      </c>
      <c r="J1630" s="11"/>
      <c r="K1630" s="8">
        <v>42</v>
      </c>
      <c r="L1630" s="6">
        <v>50</v>
      </c>
      <c r="M1630" s="6">
        <v>62</v>
      </c>
      <c r="N1630" s="6">
        <v>62</v>
      </c>
      <c r="O1630" s="8">
        <v>26</v>
      </c>
    </row>
    <row r="1631" spans="1:15" ht="15" thickBot="1" x14ac:dyDescent="0.4">
      <c r="A1631" t="str">
        <f t="shared" si="374"/>
        <v>FC022</v>
      </c>
      <c r="B1631" t="str">
        <f t="shared" si="377"/>
        <v>CPAC Northeast</v>
      </c>
      <c r="C1631" s="18"/>
      <c r="D1631" s="18"/>
      <c r="E1631" s="18"/>
      <c r="F1631" s="18"/>
      <c r="G1631" s="18"/>
      <c r="H1631" s="28"/>
      <c r="I1631" s="3" t="s">
        <v>20</v>
      </c>
      <c r="J1631" s="11"/>
      <c r="K1631" s="10">
        <v>13.1</v>
      </c>
      <c r="L1631" s="10">
        <v>24.4</v>
      </c>
      <c r="M1631" s="10">
        <v>10.7</v>
      </c>
      <c r="N1631" s="7">
        <v>34.9</v>
      </c>
      <c r="O1631" s="10">
        <v>11.9</v>
      </c>
    </row>
    <row r="1632" spans="1:15" ht="15" thickBot="1" x14ac:dyDescent="0.4">
      <c r="A1632" t="str">
        <f t="shared" si="375"/>
        <v>FC022</v>
      </c>
      <c r="B1632" t="str">
        <f t="shared" si="377"/>
        <v>CPAC Northeast</v>
      </c>
      <c r="C1632" s="18"/>
      <c r="D1632" s="18"/>
      <c r="E1632" s="18"/>
      <c r="F1632" s="18"/>
      <c r="G1632" s="18"/>
      <c r="H1632" s="28"/>
      <c r="I1632" s="5" t="s">
        <v>21</v>
      </c>
      <c r="J1632" s="11"/>
      <c r="K1632" s="10">
        <v>1.06</v>
      </c>
      <c r="L1632" s="9">
        <v>0.68</v>
      </c>
      <c r="M1632" s="10">
        <v>1.95</v>
      </c>
      <c r="N1632" s="9">
        <v>0.59</v>
      </c>
      <c r="O1632" s="9">
        <v>0.73</v>
      </c>
    </row>
    <row r="1633" spans="1:15" ht="15" thickBot="1" x14ac:dyDescent="0.4">
      <c r="A1633" t="str">
        <f t="shared" si="376"/>
        <v>FC022</v>
      </c>
      <c r="B1633" t="str">
        <f t="shared" si="377"/>
        <v>CPAC Northeast</v>
      </c>
      <c r="C1633" s="19"/>
      <c r="D1633" s="19"/>
      <c r="E1633" s="19"/>
      <c r="F1633" s="19"/>
      <c r="G1633" s="19"/>
      <c r="H1633" s="29"/>
      <c r="I1633" s="3" t="s">
        <v>22</v>
      </c>
      <c r="J1633" s="11" t="s">
        <v>45</v>
      </c>
      <c r="K1633" s="11"/>
      <c r="L1633" s="9" t="s">
        <v>25</v>
      </c>
      <c r="M1633" s="11"/>
      <c r="N1633" s="11"/>
      <c r="O1633" s="11"/>
    </row>
    <row r="1634" spans="1:15" ht="15" thickBot="1" x14ac:dyDescent="0.4">
      <c r="B1634" t="str">
        <f t="shared" si="377"/>
        <v>CPAC Northeast</v>
      </c>
      <c r="C1634" s="16"/>
      <c r="D1634" s="16"/>
      <c r="E1634" s="16"/>
      <c r="F1634" s="16"/>
      <c r="G1634" s="16" t="s">
        <v>364</v>
      </c>
      <c r="H1634" s="27" t="s">
        <v>34</v>
      </c>
      <c r="I1634" s="1"/>
      <c r="J1634" s="1"/>
      <c r="K1634" s="1"/>
      <c r="L1634" s="1"/>
      <c r="M1634" s="1"/>
      <c r="N1634" s="1"/>
      <c r="O1634" s="1"/>
    </row>
    <row r="1635" spans="1:15" ht="15" thickBot="1" x14ac:dyDescent="0.4">
      <c r="A1635" t="str">
        <f t="shared" si="378"/>
        <v>FC318</v>
      </c>
      <c r="B1635" t="str">
        <f t="shared" si="377"/>
        <v>CPAC Northeast</v>
      </c>
      <c r="C1635" s="18"/>
      <c r="D1635" s="18"/>
      <c r="E1635" s="18"/>
      <c r="F1635" s="18"/>
      <c r="G1635" s="18"/>
      <c r="H1635" s="28"/>
      <c r="I1635" s="3" t="s">
        <v>18</v>
      </c>
      <c r="J1635" s="11"/>
      <c r="K1635" s="11"/>
      <c r="L1635" s="11"/>
      <c r="M1635" s="8">
        <v>15</v>
      </c>
      <c r="N1635" s="8">
        <v>18</v>
      </c>
      <c r="O1635" s="4">
        <v>33</v>
      </c>
    </row>
    <row r="1636" spans="1:15" ht="15" thickBot="1" x14ac:dyDescent="0.4">
      <c r="A1636" t="str">
        <f t="shared" ref="A1636:A1696" si="379">IF(LEFT(G1634,2)="FC",LEFT(G1634,5),LEFT(G1634,4))</f>
        <v>FC318</v>
      </c>
      <c r="B1636" t="str">
        <f t="shared" si="377"/>
        <v>CPAC Northeast</v>
      </c>
      <c r="C1636" s="18"/>
      <c r="D1636" s="18"/>
      <c r="E1636" s="18"/>
      <c r="F1636" s="18"/>
      <c r="G1636" s="18"/>
      <c r="H1636" s="28"/>
      <c r="I1636" s="5" t="s">
        <v>19</v>
      </c>
      <c r="J1636" s="11"/>
      <c r="K1636" s="11"/>
      <c r="L1636" s="11"/>
      <c r="M1636" s="9">
        <v>104</v>
      </c>
      <c r="N1636" s="7">
        <v>76</v>
      </c>
      <c r="O1636" s="8">
        <v>38</v>
      </c>
    </row>
    <row r="1637" spans="1:15" ht="15" thickBot="1" x14ac:dyDescent="0.4">
      <c r="A1637" t="str">
        <f t="shared" ref="A1637:A1697" si="380">IF(LEFT(G1634,2)="FC",LEFT(G1634,5),LEFT(G1634,4))</f>
        <v>FC318</v>
      </c>
      <c r="B1637" t="str">
        <f t="shared" si="377"/>
        <v>CPAC Northeast</v>
      </c>
      <c r="C1637" s="18"/>
      <c r="D1637" s="18"/>
      <c r="E1637" s="18"/>
      <c r="F1637" s="18"/>
      <c r="G1637" s="18"/>
      <c r="H1637" s="28"/>
      <c r="I1637" s="3" t="s">
        <v>20</v>
      </c>
      <c r="J1637" s="11"/>
      <c r="K1637" s="11"/>
      <c r="L1637" s="11"/>
      <c r="M1637" s="10">
        <v>11.9</v>
      </c>
      <c r="N1637" s="10">
        <v>16.2</v>
      </c>
      <c r="O1637" s="10">
        <v>15.9</v>
      </c>
    </row>
    <row r="1638" spans="1:15" ht="15" thickBot="1" x14ac:dyDescent="0.4">
      <c r="A1638" t="str">
        <f t="shared" ref="A1638:A1698" si="381">IF(LEFT(G1634,2)="FC",LEFT(G1634,5),LEFT(G1634,4))</f>
        <v>FC318</v>
      </c>
      <c r="B1638" t="str">
        <f t="shared" si="377"/>
        <v>CPAC Northeast</v>
      </c>
      <c r="C1638" s="18"/>
      <c r="D1638" s="18"/>
      <c r="E1638" s="18"/>
      <c r="F1638" s="18"/>
      <c r="G1638" s="18"/>
      <c r="H1638" s="28"/>
      <c r="I1638" s="5" t="s">
        <v>21</v>
      </c>
      <c r="J1638" s="11"/>
      <c r="K1638" s="11"/>
      <c r="L1638" s="11"/>
      <c r="M1638" s="10">
        <v>2.91</v>
      </c>
      <c r="N1638" s="10">
        <v>1.57</v>
      </c>
      <c r="O1638" s="10">
        <v>0.8</v>
      </c>
    </row>
    <row r="1639" spans="1:15" ht="15" thickBot="1" x14ac:dyDescent="0.4">
      <c r="A1639" t="str">
        <f t="shared" ref="A1639:A1699" si="382">IF(LEFT(G1634,2)="FC",LEFT(G1634,5),LEFT(G1634,4))</f>
        <v>FC318</v>
      </c>
      <c r="B1639" t="str">
        <f t="shared" si="377"/>
        <v>CPAC Northeast</v>
      </c>
      <c r="C1639" s="19"/>
      <c r="D1639" s="19"/>
      <c r="E1639" s="19"/>
      <c r="F1639" s="19"/>
      <c r="G1639" s="19"/>
      <c r="H1639" s="29"/>
      <c r="I1639" s="3" t="s">
        <v>22</v>
      </c>
      <c r="J1639" s="11" t="s">
        <v>45</v>
      </c>
      <c r="K1639" s="11" t="s">
        <v>45</v>
      </c>
      <c r="L1639" s="11" t="s">
        <v>45</v>
      </c>
      <c r="M1639" s="10" t="s">
        <v>24</v>
      </c>
      <c r="N1639" s="10" t="s">
        <v>24</v>
      </c>
      <c r="O1639" s="9" t="s">
        <v>25</v>
      </c>
    </row>
    <row r="1640" spans="1:15" ht="15" thickBot="1" x14ac:dyDescent="0.4">
      <c r="B1640" t="str">
        <f t="shared" si="377"/>
        <v>CPAC Northeast</v>
      </c>
      <c r="C1640" s="16"/>
      <c r="D1640" s="16"/>
      <c r="E1640" s="16"/>
      <c r="F1640" s="16"/>
      <c r="G1640" s="16" t="s">
        <v>365</v>
      </c>
      <c r="H1640" s="27" t="s">
        <v>34</v>
      </c>
      <c r="I1640" s="1"/>
      <c r="J1640" s="1"/>
      <c r="K1640" s="1"/>
      <c r="L1640" s="1"/>
      <c r="M1640" s="1"/>
      <c r="N1640" s="1"/>
      <c r="O1640" s="1"/>
    </row>
    <row r="1641" spans="1:15" ht="15" thickBot="1" x14ac:dyDescent="0.4">
      <c r="A1641" t="str">
        <f t="shared" si="378"/>
        <v>FC338</v>
      </c>
      <c r="B1641" t="str">
        <f t="shared" si="377"/>
        <v>CPAC Northeast</v>
      </c>
      <c r="C1641" s="18"/>
      <c r="D1641" s="18"/>
      <c r="E1641" s="18"/>
      <c r="F1641" s="18"/>
      <c r="G1641" s="18"/>
      <c r="H1641" s="28"/>
      <c r="I1641" s="3" t="s">
        <v>18</v>
      </c>
      <c r="J1641" s="4">
        <v>30</v>
      </c>
      <c r="K1641" s="8">
        <v>18</v>
      </c>
      <c r="L1641" s="8">
        <v>18</v>
      </c>
      <c r="M1641" s="8">
        <v>18</v>
      </c>
      <c r="N1641" s="8">
        <v>17</v>
      </c>
      <c r="O1641" s="4">
        <v>44</v>
      </c>
    </row>
    <row r="1642" spans="1:15" ht="15" thickBot="1" x14ac:dyDescent="0.4">
      <c r="A1642" t="str">
        <f t="shared" si="379"/>
        <v>FC338</v>
      </c>
      <c r="B1642" t="str">
        <f t="shared" si="377"/>
        <v>CPAC Northeast</v>
      </c>
      <c r="C1642" s="18"/>
      <c r="D1642" s="18"/>
      <c r="E1642" s="18"/>
      <c r="F1642" s="18"/>
      <c r="G1642" s="18"/>
      <c r="H1642" s="28"/>
      <c r="I1642" s="5" t="s">
        <v>19</v>
      </c>
      <c r="J1642" s="7">
        <v>70</v>
      </c>
      <c r="K1642" s="8">
        <v>33</v>
      </c>
      <c r="L1642" s="7">
        <v>77</v>
      </c>
      <c r="M1642" s="9">
        <v>198</v>
      </c>
      <c r="N1642" s="7">
        <v>78</v>
      </c>
      <c r="O1642" s="7">
        <v>72</v>
      </c>
    </row>
    <row r="1643" spans="1:15" ht="15" thickBot="1" x14ac:dyDescent="0.4">
      <c r="A1643" t="str">
        <f t="shared" si="380"/>
        <v>FC338</v>
      </c>
      <c r="B1643" t="str">
        <f t="shared" si="377"/>
        <v>CPAC Northeast</v>
      </c>
      <c r="C1643" s="18"/>
      <c r="D1643" s="18"/>
      <c r="E1643" s="18"/>
      <c r="F1643" s="18"/>
      <c r="G1643" s="18"/>
      <c r="H1643" s="28"/>
      <c r="I1643" s="3" t="s">
        <v>20</v>
      </c>
      <c r="J1643" s="10">
        <v>25.2</v>
      </c>
      <c r="K1643" s="10">
        <v>11.9</v>
      </c>
      <c r="L1643" s="10">
        <v>21.7</v>
      </c>
      <c r="M1643" s="10">
        <v>19.899999999999999</v>
      </c>
      <c r="N1643" s="9">
        <v>28.7</v>
      </c>
      <c r="O1643" s="10">
        <v>20.7</v>
      </c>
    </row>
    <row r="1644" spans="1:15" ht="15" thickBot="1" x14ac:dyDescent="0.4">
      <c r="A1644" t="str">
        <f t="shared" si="381"/>
        <v>FC338</v>
      </c>
      <c r="B1644" t="str">
        <f t="shared" si="377"/>
        <v>CPAC Northeast</v>
      </c>
      <c r="C1644" s="18"/>
      <c r="D1644" s="18"/>
      <c r="E1644" s="18"/>
      <c r="F1644" s="18"/>
      <c r="G1644" s="18"/>
      <c r="H1644" s="28"/>
      <c r="I1644" s="5" t="s">
        <v>21</v>
      </c>
      <c r="J1644" s="10">
        <v>0.93</v>
      </c>
      <c r="K1644" s="10">
        <v>0.91</v>
      </c>
      <c r="L1644" s="10">
        <v>1.18</v>
      </c>
      <c r="M1644" s="10">
        <v>3.31</v>
      </c>
      <c r="N1644" s="10">
        <v>0.91</v>
      </c>
      <c r="O1644" s="10">
        <v>1.1499999999999999</v>
      </c>
    </row>
    <row r="1645" spans="1:15" ht="15" thickBot="1" x14ac:dyDescent="0.4">
      <c r="A1645" t="str">
        <f t="shared" si="382"/>
        <v>FC338</v>
      </c>
      <c r="B1645" t="str">
        <f t="shared" si="377"/>
        <v>CPAC Northeast</v>
      </c>
      <c r="C1645" s="19"/>
      <c r="D1645" s="19"/>
      <c r="E1645" s="19"/>
      <c r="F1645" s="19"/>
      <c r="G1645" s="19"/>
      <c r="H1645" s="29"/>
      <c r="I1645" s="3" t="s">
        <v>22</v>
      </c>
      <c r="J1645" s="11"/>
      <c r="K1645" s="9" t="s">
        <v>25</v>
      </c>
      <c r="L1645" s="10" t="s">
        <v>24</v>
      </c>
      <c r="M1645" s="10" t="s">
        <v>24</v>
      </c>
      <c r="N1645" s="10" t="s">
        <v>24</v>
      </c>
      <c r="O1645" s="11"/>
    </row>
    <row r="1646" spans="1:15" ht="15" thickBot="1" x14ac:dyDescent="0.4">
      <c r="B1646" t="str">
        <f t="shared" si="377"/>
        <v>CPAC Northeast</v>
      </c>
      <c r="C1646" s="16"/>
      <c r="D1646" s="16"/>
      <c r="E1646" s="16"/>
      <c r="F1646" s="16"/>
      <c r="G1646" s="16" t="s">
        <v>366</v>
      </c>
      <c r="H1646" s="27" t="s">
        <v>34</v>
      </c>
      <c r="I1646" s="1"/>
      <c r="J1646" s="1"/>
      <c r="K1646" s="1"/>
      <c r="L1646" s="1"/>
      <c r="M1646" s="1"/>
      <c r="N1646" s="1"/>
      <c r="O1646" s="1"/>
    </row>
    <row r="1647" spans="1:15" ht="15" thickBot="1" x14ac:dyDescent="0.4">
      <c r="A1647" t="str">
        <f t="shared" si="378"/>
        <v>FC391</v>
      </c>
      <c r="B1647" t="str">
        <f t="shared" si="377"/>
        <v>CPAC Northeast</v>
      </c>
      <c r="C1647" s="18"/>
      <c r="D1647" s="18"/>
      <c r="E1647" s="18"/>
      <c r="F1647" s="18"/>
      <c r="G1647" s="18"/>
      <c r="H1647" s="28"/>
      <c r="I1647" s="3" t="s">
        <v>18</v>
      </c>
      <c r="J1647" s="4">
        <v>43</v>
      </c>
      <c r="K1647" s="4">
        <v>36</v>
      </c>
      <c r="L1647" s="4">
        <v>41</v>
      </c>
      <c r="M1647" s="4">
        <v>35</v>
      </c>
      <c r="N1647" s="4">
        <v>30</v>
      </c>
      <c r="O1647" s="4">
        <v>33</v>
      </c>
    </row>
    <row r="1648" spans="1:15" ht="15" thickBot="1" x14ac:dyDescent="0.4">
      <c r="A1648" t="str">
        <f t="shared" si="379"/>
        <v>FC391</v>
      </c>
      <c r="B1648" t="str">
        <f t="shared" si="377"/>
        <v>CPAC Northeast</v>
      </c>
      <c r="C1648" s="18"/>
      <c r="D1648" s="18"/>
      <c r="E1648" s="18"/>
      <c r="F1648" s="18"/>
      <c r="G1648" s="18"/>
      <c r="H1648" s="28"/>
      <c r="I1648" s="5" t="s">
        <v>19</v>
      </c>
      <c r="J1648" s="7">
        <v>81</v>
      </c>
      <c r="K1648" s="7">
        <v>86</v>
      </c>
      <c r="L1648" s="7">
        <v>71</v>
      </c>
      <c r="M1648" s="7">
        <v>84</v>
      </c>
      <c r="N1648" s="7">
        <v>82</v>
      </c>
      <c r="O1648" s="8">
        <v>38</v>
      </c>
    </row>
    <row r="1649" spans="1:15" ht="15" thickBot="1" x14ac:dyDescent="0.4">
      <c r="A1649" t="str">
        <f t="shared" si="380"/>
        <v>FC391</v>
      </c>
      <c r="B1649" t="str">
        <f t="shared" si="377"/>
        <v>CPAC Northeast</v>
      </c>
      <c r="C1649" s="18"/>
      <c r="D1649" s="18"/>
      <c r="E1649" s="18"/>
      <c r="F1649" s="18"/>
      <c r="G1649" s="18"/>
      <c r="H1649" s="28"/>
      <c r="I1649" s="3" t="s">
        <v>20</v>
      </c>
      <c r="J1649" s="9">
        <v>34.4</v>
      </c>
      <c r="K1649" s="10">
        <v>26.4</v>
      </c>
      <c r="L1649" s="10">
        <v>18.2</v>
      </c>
      <c r="M1649" s="10">
        <v>26.5</v>
      </c>
      <c r="N1649" s="10">
        <v>21.2</v>
      </c>
      <c r="O1649" s="10">
        <v>10.5</v>
      </c>
    </row>
    <row r="1650" spans="1:15" ht="15" thickBot="1" x14ac:dyDescent="0.4">
      <c r="A1650" t="str">
        <f t="shared" si="381"/>
        <v>FC391</v>
      </c>
      <c r="B1650" t="str">
        <f t="shared" si="377"/>
        <v>CPAC Northeast</v>
      </c>
      <c r="C1650" s="18"/>
      <c r="D1650" s="18"/>
      <c r="E1650" s="18"/>
      <c r="F1650" s="18"/>
      <c r="G1650" s="18"/>
      <c r="H1650" s="28"/>
      <c r="I1650" s="5" t="s">
        <v>21</v>
      </c>
      <c r="J1650" s="10">
        <v>0.79</v>
      </c>
      <c r="K1650" s="10">
        <v>1.08</v>
      </c>
      <c r="L1650" s="10">
        <v>1.3</v>
      </c>
      <c r="M1650" s="10">
        <v>1.05</v>
      </c>
      <c r="N1650" s="10">
        <v>1.3</v>
      </c>
      <c r="O1650" s="10">
        <v>1.22</v>
      </c>
    </row>
    <row r="1651" spans="1:15" ht="15" thickBot="1" x14ac:dyDescent="0.4">
      <c r="A1651" t="str">
        <f t="shared" si="382"/>
        <v>FC391</v>
      </c>
      <c r="B1651" t="str">
        <f t="shared" si="377"/>
        <v>CPAC Northeast</v>
      </c>
      <c r="C1651" s="19"/>
      <c r="D1651" s="19"/>
      <c r="E1651" s="19"/>
      <c r="F1651" s="19"/>
      <c r="G1651" s="19"/>
      <c r="H1651" s="29"/>
      <c r="I1651" s="3" t="s">
        <v>22</v>
      </c>
      <c r="J1651" s="11"/>
      <c r="K1651" s="11"/>
      <c r="L1651" s="11"/>
      <c r="M1651" s="10" t="s">
        <v>24</v>
      </c>
      <c r="N1651" s="10" t="s">
        <v>24</v>
      </c>
      <c r="O1651" s="11"/>
    </row>
    <row r="1652" spans="1:15" ht="15" thickBot="1" x14ac:dyDescent="0.4">
      <c r="B1652" t="str">
        <f t="shared" si="377"/>
        <v>CPAC Northeast</v>
      </c>
      <c r="C1652" s="16"/>
      <c r="D1652" s="16"/>
      <c r="E1652" s="16"/>
      <c r="F1652" s="16"/>
      <c r="G1652" s="16" t="s">
        <v>367</v>
      </c>
      <c r="H1652" s="27" t="s">
        <v>34</v>
      </c>
      <c r="I1652" s="1"/>
      <c r="J1652" s="1"/>
      <c r="K1652" s="1"/>
      <c r="L1652" s="1"/>
      <c r="M1652" s="1"/>
      <c r="N1652" s="1"/>
      <c r="O1652" s="1"/>
    </row>
    <row r="1653" spans="1:15" ht="15" thickBot="1" x14ac:dyDescent="0.4">
      <c r="A1653" t="str">
        <f t="shared" si="378"/>
        <v>FC361</v>
      </c>
      <c r="B1653" t="str">
        <f t="shared" si="377"/>
        <v>CPAC Northeast</v>
      </c>
      <c r="C1653" s="18"/>
      <c r="D1653" s="18"/>
      <c r="E1653" s="18"/>
      <c r="F1653" s="18"/>
      <c r="G1653" s="18"/>
      <c r="H1653" s="28"/>
      <c r="I1653" s="3" t="s">
        <v>18</v>
      </c>
      <c r="J1653" s="4">
        <v>35</v>
      </c>
      <c r="K1653" s="4">
        <v>42</v>
      </c>
      <c r="L1653" s="4">
        <v>35</v>
      </c>
      <c r="M1653" s="4">
        <v>35</v>
      </c>
      <c r="N1653" s="4">
        <v>35</v>
      </c>
      <c r="O1653" s="4">
        <v>35</v>
      </c>
    </row>
    <row r="1654" spans="1:15" ht="15" thickBot="1" x14ac:dyDescent="0.4">
      <c r="A1654" t="str">
        <f t="shared" si="379"/>
        <v>FC361</v>
      </c>
      <c r="B1654" t="str">
        <f t="shared" si="377"/>
        <v>CPAC Northeast</v>
      </c>
      <c r="C1654" s="18"/>
      <c r="D1654" s="18"/>
      <c r="E1654" s="18"/>
      <c r="F1654" s="18"/>
      <c r="G1654" s="18"/>
      <c r="H1654" s="28"/>
      <c r="I1654" s="5" t="s">
        <v>19</v>
      </c>
      <c r="J1654" s="7">
        <v>79</v>
      </c>
      <c r="K1654" s="8">
        <v>40</v>
      </c>
      <c r="L1654" s="9">
        <v>96</v>
      </c>
      <c r="M1654" s="7">
        <v>85</v>
      </c>
      <c r="N1654" s="7">
        <v>80</v>
      </c>
      <c r="O1654" s="7">
        <v>72</v>
      </c>
    </row>
    <row r="1655" spans="1:15" ht="15" thickBot="1" x14ac:dyDescent="0.4">
      <c r="A1655" t="str">
        <f t="shared" si="380"/>
        <v>FC361</v>
      </c>
      <c r="B1655" t="str">
        <f t="shared" si="377"/>
        <v>CPAC Northeast</v>
      </c>
      <c r="C1655" s="18"/>
      <c r="D1655" s="18"/>
      <c r="E1655" s="18"/>
      <c r="F1655" s="18"/>
      <c r="G1655" s="18"/>
      <c r="H1655" s="28"/>
      <c r="I1655" s="3" t="s">
        <v>20</v>
      </c>
      <c r="J1655" s="10">
        <v>12</v>
      </c>
      <c r="K1655" s="10">
        <v>20.2</v>
      </c>
      <c r="L1655" s="10">
        <v>12.6</v>
      </c>
      <c r="M1655" s="10">
        <v>11.4</v>
      </c>
      <c r="N1655" s="10">
        <v>18.899999999999999</v>
      </c>
      <c r="O1655" s="10">
        <v>12.2</v>
      </c>
    </row>
    <row r="1656" spans="1:15" ht="15" thickBot="1" x14ac:dyDescent="0.4">
      <c r="A1656" t="str">
        <f t="shared" si="381"/>
        <v>FC361</v>
      </c>
      <c r="B1656" t="str">
        <f t="shared" si="377"/>
        <v>CPAC Northeast</v>
      </c>
      <c r="C1656" s="18"/>
      <c r="D1656" s="18"/>
      <c r="E1656" s="18"/>
      <c r="F1656" s="18"/>
      <c r="G1656" s="18"/>
      <c r="H1656" s="28"/>
      <c r="I1656" s="5" t="s">
        <v>21</v>
      </c>
      <c r="J1656" s="10">
        <v>2.19</v>
      </c>
      <c r="K1656" s="9">
        <v>0.65</v>
      </c>
      <c r="L1656" s="10">
        <v>2.5299999999999998</v>
      </c>
      <c r="M1656" s="10">
        <v>2.4900000000000002</v>
      </c>
      <c r="N1656" s="10">
        <v>1.41</v>
      </c>
      <c r="O1656" s="10">
        <v>1.97</v>
      </c>
    </row>
    <row r="1657" spans="1:15" ht="15" thickBot="1" x14ac:dyDescent="0.4">
      <c r="A1657" t="str">
        <f t="shared" si="382"/>
        <v>FC361</v>
      </c>
      <c r="B1657" t="str">
        <f t="shared" si="377"/>
        <v>CPAC Northeast</v>
      </c>
      <c r="C1657" s="19"/>
      <c r="D1657" s="19"/>
      <c r="E1657" s="19"/>
      <c r="F1657" s="19"/>
      <c r="G1657" s="19"/>
      <c r="H1657" s="29"/>
      <c r="I1657" s="3" t="s">
        <v>22</v>
      </c>
      <c r="J1657" s="11"/>
      <c r="K1657" s="11"/>
      <c r="L1657" s="11"/>
      <c r="M1657" s="11"/>
      <c r="N1657" s="11"/>
      <c r="O1657" s="11"/>
    </row>
    <row r="1658" spans="1:15" ht="15" thickBot="1" x14ac:dyDescent="0.4">
      <c r="B1658" t="str">
        <f t="shared" si="377"/>
        <v>CPAC Northeast</v>
      </c>
      <c r="C1658" s="16"/>
      <c r="D1658" s="16"/>
      <c r="E1658" s="16"/>
      <c r="F1658" s="16" t="s">
        <v>368</v>
      </c>
      <c r="G1658" s="16" t="s">
        <v>369</v>
      </c>
      <c r="H1658" s="20" t="s">
        <v>17</v>
      </c>
      <c r="I1658" s="1"/>
      <c r="J1658" s="1"/>
      <c r="K1658" s="1"/>
      <c r="L1658" s="1"/>
      <c r="M1658" s="1"/>
      <c r="N1658" s="1"/>
      <c r="O1658" s="1"/>
    </row>
    <row r="1659" spans="1:15" ht="15" thickBot="1" x14ac:dyDescent="0.4">
      <c r="A1659" t="str">
        <f t="shared" si="378"/>
        <v>FC002</v>
      </c>
      <c r="B1659" t="str">
        <f t="shared" si="377"/>
        <v>CPAC Northeast</v>
      </c>
      <c r="C1659" s="18"/>
      <c r="D1659" s="18"/>
      <c r="E1659" s="18"/>
      <c r="F1659" s="18"/>
      <c r="G1659" s="18"/>
      <c r="H1659" s="22"/>
      <c r="I1659" s="3" t="s">
        <v>18</v>
      </c>
      <c r="J1659" s="11"/>
      <c r="K1659" s="8">
        <v>18</v>
      </c>
      <c r="L1659" s="8">
        <v>18</v>
      </c>
      <c r="M1659" s="8">
        <v>18</v>
      </c>
      <c r="N1659" s="4">
        <v>30</v>
      </c>
      <c r="O1659" s="11"/>
    </row>
    <row r="1660" spans="1:15" ht="15" thickBot="1" x14ac:dyDescent="0.4">
      <c r="A1660" t="str">
        <f t="shared" si="379"/>
        <v>FC002</v>
      </c>
      <c r="B1660" t="str">
        <f t="shared" si="377"/>
        <v>CPAC Northeast</v>
      </c>
      <c r="C1660" s="18"/>
      <c r="D1660" s="18"/>
      <c r="E1660" s="18"/>
      <c r="F1660" s="18"/>
      <c r="G1660" s="18"/>
      <c r="H1660" s="22"/>
      <c r="I1660" s="5" t="s">
        <v>19</v>
      </c>
      <c r="J1660" s="11"/>
      <c r="K1660" s="9">
        <v>135</v>
      </c>
      <c r="L1660" s="6">
        <v>67</v>
      </c>
      <c r="M1660" s="6">
        <v>57</v>
      </c>
      <c r="N1660" s="7">
        <v>75</v>
      </c>
      <c r="O1660" s="11"/>
    </row>
    <row r="1661" spans="1:15" ht="15" thickBot="1" x14ac:dyDescent="0.4">
      <c r="A1661" t="str">
        <f t="shared" si="380"/>
        <v>FC002</v>
      </c>
      <c r="B1661" t="str">
        <f t="shared" si="377"/>
        <v>CPAC Northeast</v>
      </c>
      <c r="C1661" s="18"/>
      <c r="D1661" s="18"/>
      <c r="E1661" s="18"/>
      <c r="F1661" s="18"/>
      <c r="G1661" s="18"/>
      <c r="H1661" s="22"/>
      <c r="I1661" s="3" t="s">
        <v>20</v>
      </c>
      <c r="J1661" s="11"/>
      <c r="K1661" s="8">
        <v>57</v>
      </c>
      <c r="L1661" s="7">
        <v>35</v>
      </c>
      <c r="M1661" s="10">
        <v>19.600000000000001</v>
      </c>
      <c r="N1661" s="6">
        <v>45.3</v>
      </c>
      <c r="O1661" s="11"/>
    </row>
    <row r="1662" spans="1:15" ht="15" thickBot="1" x14ac:dyDescent="0.4">
      <c r="A1662" t="str">
        <f t="shared" si="381"/>
        <v>FC002</v>
      </c>
      <c r="B1662" t="str">
        <f t="shared" si="377"/>
        <v>CPAC Northeast</v>
      </c>
      <c r="C1662" s="18"/>
      <c r="D1662" s="18"/>
      <c r="E1662" s="18"/>
      <c r="F1662" s="18"/>
      <c r="G1662" s="18"/>
      <c r="H1662" s="22"/>
      <c r="I1662" s="5" t="s">
        <v>21</v>
      </c>
      <c r="J1662" s="11"/>
      <c r="K1662" s="10">
        <v>0.79</v>
      </c>
      <c r="L1662" s="9">
        <v>0.64</v>
      </c>
      <c r="M1662" s="10">
        <v>0.97</v>
      </c>
      <c r="N1662" s="9">
        <v>0.55000000000000004</v>
      </c>
      <c r="O1662" s="11"/>
    </row>
    <row r="1663" spans="1:15" ht="15" thickBot="1" x14ac:dyDescent="0.4">
      <c r="A1663" t="str">
        <f t="shared" si="382"/>
        <v>FC002</v>
      </c>
      <c r="B1663" t="str">
        <f t="shared" si="377"/>
        <v>CPAC Northeast</v>
      </c>
      <c r="C1663" s="19"/>
      <c r="D1663" s="19"/>
      <c r="E1663" s="19"/>
      <c r="F1663" s="19"/>
      <c r="G1663" s="19"/>
      <c r="H1663" s="23"/>
      <c r="I1663" s="3" t="s">
        <v>22</v>
      </c>
      <c r="J1663" s="11" t="s">
        <v>31</v>
      </c>
      <c r="K1663" s="10" t="s">
        <v>24</v>
      </c>
      <c r="L1663" s="9" t="s">
        <v>25</v>
      </c>
      <c r="M1663" s="10" t="s">
        <v>24</v>
      </c>
      <c r="N1663" s="11"/>
      <c r="O1663" s="11" t="s">
        <v>27</v>
      </c>
    </row>
    <row r="1664" spans="1:15" ht="15" thickBot="1" x14ac:dyDescent="0.4">
      <c r="B1664" t="str">
        <f t="shared" si="377"/>
        <v>CPAC Northeast</v>
      </c>
      <c r="C1664" s="16"/>
      <c r="D1664" s="16"/>
      <c r="E1664" s="16"/>
      <c r="F1664" s="16"/>
      <c r="G1664" s="16" t="s">
        <v>370</v>
      </c>
      <c r="H1664" s="27" t="s">
        <v>34</v>
      </c>
      <c r="I1664" s="1"/>
      <c r="J1664" s="1"/>
      <c r="K1664" s="1"/>
      <c r="L1664" s="1"/>
      <c r="M1664" s="1"/>
      <c r="N1664" s="1"/>
      <c r="O1664" s="1"/>
    </row>
    <row r="1665" spans="1:15" ht="15" thickBot="1" x14ac:dyDescent="0.4">
      <c r="A1665" t="str">
        <f t="shared" si="378"/>
        <v>FC189</v>
      </c>
      <c r="B1665" t="str">
        <f t="shared" si="377"/>
        <v>CPAC Northeast</v>
      </c>
      <c r="C1665" s="18"/>
      <c r="D1665" s="18"/>
      <c r="E1665" s="18"/>
      <c r="F1665" s="18"/>
      <c r="G1665" s="18"/>
      <c r="H1665" s="28"/>
      <c r="I1665" s="3" t="s">
        <v>18</v>
      </c>
      <c r="J1665" s="4">
        <v>54</v>
      </c>
      <c r="K1665" s="4">
        <v>33</v>
      </c>
      <c r="L1665" s="4">
        <v>36</v>
      </c>
      <c r="M1665" s="4">
        <v>36</v>
      </c>
      <c r="N1665" s="4">
        <v>36</v>
      </c>
      <c r="O1665" s="4">
        <v>36</v>
      </c>
    </row>
    <row r="1666" spans="1:15" ht="15" thickBot="1" x14ac:dyDescent="0.4">
      <c r="A1666" t="str">
        <f t="shared" si="379"/>
        <v>FC189</v>
      </c>
      <c r="B1666" t="str">
        <f t="shared" si="377"/>
        <v>CPAC Northeast</v>
      </c>
      <c r="C1666" s="18"/>
      <c r="D1666" s="18"/>
      <c r="E1666" s="18"/>
      <c r="F1666" s="18"/>
      <c r="G1666" s="18"/>
      <c r="H1666" s="28"/>
      <c r="I1666" s="5" t="s">
        <v>19</v>
      </c>
      <c r="J1666" s="6">
        <v>64</v>
      </c>
      <c r="K1666" s="6">
        <v>63</v>
      </c>
      <c r="L1666" s="6">
        <v>56</v>
      </c>
      <c r="M1666" s="8">
        <v>49</v>
      </c>
      <c r="N1666" s="9">
        <v>96</v>
      </c>
      <c r="O1666" s="8">
        <v>46</v>
      </c>
    </row>
    <row r="1667" spans="1:15" ht="15" thickBot="1" x14ac:dyDescent="0.4">
      <c r="A1667" t="str">
        <f t="shared" si="380"/>
        <v>FC189</v>
      </c>
      <c r="B1667" t="str">
        <f t="shared" si="377"/>
        <v>CPAC Northeast</v>
      </c>
      <c r="C1667" s="18"/>
      <c r="D1667" s="18"/>
      <c r="E1667" s="18"/>
      <c r="F1667" s="18"/>
      <c r="G1667" s="18"/>
      <c r="H1667" s="28"/>
      <c r="I1667" s="3" t="s">
        <v>20</v>
      </c>
      <c r="J1667" s="7">
        <v>37.799999999999997</v>
      </c>
      <c r="K1667" s="7">
        <v>35</v>
      </c>
      <c r="L1667" s="10">
        <v>26.5</v>
      </c>
      <c r="M1667" s="10">
        <v>22.8</v>
      </c>
      <c r="N1667" s="8">
        <v>51.3</v>
      </c>
      <c r="O1667" s="10">
        <v>13.9</v>
      </c>
    </row>
    <row r="1668" spans="1:15" ht="15" thickBot="1" x14ac:dyDescent="0.4">
      <c r="A1668" t="str">
        <f t="shared" si="381"/>
        <v>FC189</v>
      </c>
      <c r="B1668" t="str">
        <f t="shared" si="377"/>
        <v>CPAC Northeast</v>
      </c>
      <c r="C1668" s="18"/>
      <c r="D1668" s="18"/>
      <c r="E1668" s="18"/>
      <c r="F1668" s="18"/>
      <c r="G1668" s="18"/>
      <c r="H1668" s="28"/>
      <c r="I1668" s="5" t="s">
        <v>21</v>
      </c>
      <c r="J1668" s="9">
        <v>0.56999999999999995</v>
      </c>
      <c r="K1668" s="9">
        <v>0.6</v>
      </c>
      <c r="L1668" s="9">
        <v>0.71</v>
      </c>
      <c r="M1668" s="9">
        <v>0.71</v>
      </c>
      <c r="N1668" s="9">
        <v>0.63</v>
      </c>
      <c r="O1668" s="10">
        <v>1.1100000000000001</v>
      </c>
    </row>
    <row r="1669" spans="1:15" ht="15" thickBot="1" x14ac:dyDescent="0.4">
      <c r="A1669" t="str">
        <f t="shared" si="382"/>
        <v>FC189</v>
      </c>
      <c r="B1669" t="str">
        <f t="shared" si="377"/>
        <v>CPAC Northeast</v>
      </c>
      <c r="C1669" s="19"/>
      <c r="D1669" s="19"/>
      <c r="E1669" s="19"/>
      <c r="F1669" s="19"/>
      <c r="G1669" s="19"/>
      <c r="H1669" s="29"/>
      <c r="I1669" s="3" t="s">
        <v>22</v>
      </c>
      <c r="J1669" s="11"/>
      <c r="K1669" s="11"/>
      <c r="L1669" s="9" t="s">
        <v>25</v>
      </c>
      <c r="M1669" s="11"/>
      <c r="N1669" s="11"/>
      <c r="O1669" s="11"/>
    </row>
    <row r="1670" spans="1:15" ht="15" thickBot="1" x14ac:dyDescent="0.4">
      <c r="B1670" t="str">
        <f t="shared" si="377"/>
        <v>CPAC Northeast</v>
      </c>
      <c r="C1670" s="16"/>
      <c r="D1670" s="16"/>
      <c r="E1670" s="16"/>
      <c r="F1670" s="16"/>
      <c r="G1670" s="16" t="s">
        <v>371</v>
      </c>
      <c r="H1670" s="27" t="s">
        <v>34</v>
      </c>
      <c r="I1670" s="1"/>
      <c r="J1670" s="1"/>
      <c r="K1670" s="1"/>
      <c r="L1670" s="1"/>
      <c r="M1670" s="1"/>
      <c r="N1670" s="1"/>
      <c r="O1670" s="1"/>
    </row>
    <row r="1671" spans="1:15" ht="15" thickBot="1" x14ac:dyDescent="0.4">
      <c r="A1671" t="str">
        <f t="shared" si="378"/>
        <v>FC290</v>
      </c>
      <c r="B1671" t="str">
        <f t="shared" si="377"/>
        <v>CPAC Northeast</v>
      </c>
      <c r="C1671" s="18"/>
      <c r="D1671" s="18"/>
      <c r="E1671" s="18"/>
      <c r="F1671" s="18"/>
      <c r="G1671" s="18"/>
      <c r="H1671" s="28"/>
      <c r="I1671" s="3" t="s">
        <v>18</v>
      </c>
      <c r="J1671" s="8">
        <v>18</v>
      </c>
      <c r="K1671" s="11"/>
      <c r="L1671" s="4">
        <v>30</v>
      </c>
      <c r="M1671" s="4">
        <v>33</v>
      </c>
      <c r="N1671" s="4">
        <v>33</v>
      </c>
      <c r="O1671" s="4">
        <v>39</v>
      </c>
    </row>
    <row r="1672" spans="1:15" ht="15" thickBot="1" x14ac:dyDescent="0.4">
      <c r="A1672" t="str">
        <f t="shared" si="379"/>
        <v>FC290</v>
      </c>
      <c r="B1672" t="str">
        <f t="shared" si="377"/>
        <v>CPAC Northeast</v>
      </c>
      <c r="C1672" s="18"/>
      <c r="D1672" s="18"/>
      <c r="E1672" s="18"/>
      <c r="F1672" s="18"/>
      <c r="G1672" s="18"/>
      <c r="H1672" s="28"/>
      <c r="I1672" s="5" t="s">
        <v>19</v>
      </c>
      <c r="J1672" s="7">
        <v>86</v>
      </c>
      <c r="K1672" s="11"/>
      <c r="L1672" s="9">
        <v>116</v>
      </c>
      <c r="M1672" s="7">
        <v>73</v>
      </c>
      <c r="N1672" s="6">
        <v>55</v>
      </c>
      <c r="O1672" s="6">
        <v>53</v>
      </c>
    </row>
    <row r="1673" spans="1:15" ht="15" thickBot="1" x14ac:dyDescent="0.4">
      <c r="A1673" t="str">
        <f t="shared" si="380"/>
        <v>FC290</v>
      </c>
      <c r="B1673" t="str">
        <f t="shared" si="377"/>
        <v>CPAC Northeast</v>
      </c>
      <c r="C1673" s="18"/>
      <c r="D1673" s="18"/>
      <c r="E1673" s="18"/>
      <c r="F1673" s="18"/>
      <c r="G1673" s="18"/>
      <c r="H1673" s="28"/>
      <c r="I1673" s="3" t="s">
        <v>20</v>
      </c>
      <c r="J1673" s="8">
        <v>54</v>
      </c>
      <c r="K1673" s="11"/>
      <c r="L1673" s="7">
        <v>36.700000000000003</v>
      </c>
      <c r="M1673" s="9">
        <v>31.3</v>
      </c>
      <c r="N1673" s="9">
        <v>29.1</v>
      </c>
      <c r="O1673" s="10">
        <v>26</v>
      </c>
    </row>
    <row r="1674" spans="1:15" ht="15" thickBot="1" x14ac:dyDescent="0.4">
      <c r="A1674" t="str">
        <f t="shared" si="381"/>
        <v>FC290</v>
      </c>
      <c r="B1674" t="str">
        <f t="shared" si="377"/>
        <v>CPAC Northeast</v>
      </c>
      <c r="C1674" s="18"/>
      <c r="D1674" s="18"/>
      <c r="E1674" s="18"/>
      <c r="F1674" s="18"/>
      <c r="G1674" s="18"/>
      <c r="H1674" s="28"/>
      <c r="I1674" s="5" t="s">
        <v>21</v>
      </c>
      <c r="J1674" s="8">
        <v>0.53</v>
      </c>
      <c r="K1674" s="11"/>
      <c r="L1674" s="10">
        <v>1.05</v>
      </c>
      <c r="M1674" s="9">
        <v>0.78</v>
      </c>
      <c r="N1674" s="9">
        <v>0.63</v>
      </c>
      <c r="O1674" s="9">
        <v>0.68</v>
      </c>
    </row>
    <row r="1675" spans="1:15" ht="15" thickBot="1" x14ac:dyDescent="0.4">
      <c r="A1675" t="str">
        <f t="shared" si="382"/>
        <v>FC290</v>
      </c>
      <c r="B1675" t="str">
        <f t="shared" si="377"/>
        <v>CPAC Northeast</v>
      </c>
      <c r="C1675" s="19"/>
      <c r="D1675" s="19"/>
      <c r="E1675" s="19"/>
      <c r="F1675" s="19"/>
      <c r="G1675" s="19"/>
      <c r="H1675" s="29"/>
      <c r="I1675" s="3" t="s">
        <v>22</v>
      </c>
      <c r="J1675" s="8" t="s">
        <v>23</v>
      </c>
      <c r="K1675" s="11" t="s">
        <v>27</v>
      </c>
      <c r="L1675" s="11"/>
      <c r="M1675" s="11"/>
      <c r="N1675" s="11"/>
      <c r="O1675" s="11"/>
    </row>
    <row r="1676" spans="1:15" ht="15" thickBot="1" x14ac:dyDescent="0.4">
      <c r="B1676" t="str">
        <f t="shared" si="377"/>
        <v>CPAC Northeast</v>
      </c>
      <c r="C1676" s="16"/>
      <c r="D1676" s="16"/>
      <c r="E1676" s="16"/>
      <c r="F1676" s="16"/>
      <c r="G1676" s="16" t="s">
        <v>372</v>
      </c>
      <c r="H1676" s="27" t="s">
        <v>34</v>
      </c>
      <c r="I1676" s="1"/>
      <c r="J1676" s="1"/>
      <c r="K1676" s="1"/>
      <c r="L1676" s="1"/>
      <c r="M1676" s="1"/>
      <c r="N1676" s="1"/>
      <c r="O1676" s="1"/>
    </row>
    <row r="1677" spans="1:15" ht="15" thickBot="1" x14ac:dyDescent="0.4">
      <c r="A1677" t="str">
        <f t="shared" si="378"/>
        <v>FC041</v>
      </c>
      <c r="B1677" t="str">
        <f t="shared" si="377"/>
        <v>CPAC Northeast</v>
      </c>
      <c r="C1677" s="18"/>
      <c r="D1677" s="18"/>
      <c r="E1677" s="18"/>
      <c r="F1677" s="18"/>
      <c r="G1677" s="18"/>
      <c r="H1677" s="28"/>
      <c r="I1677" s="3" t="s">
        <v>18</v>
      </c>
      <c r="J1677" s="4">
        <v>30</v>
      </c>
      <c r="K1677" s="4">
        <v>36</v>
      </c>
      <c r="L1677" s="4">
        <v>30</v>
      </c>
      <c r="M1677" s="4">
        <v>30</v>
      </c>
      <c r="N1677" s="4">
        <v>30</v>
      </c>
      <c r="O1677" s="4">
        <v>44</v>
      </c>
    </row>
    <row r="1678" spans="1:15" ht="15" thickBot="1" x14ac:dyDescent="0.4">
      <c r="A1678" t="str">
        <f t="shared" si="379"/>
        <v>FC041</v>
      </c>
      <c r="B1678" t="str">
        <f t="shared" si="377"/>
        <v>CPAC Northeast</v>
      </c>
      <c r="C1678" s="18"/>
      <c r="D1678" s="18"/>
      <c r="E1678" s="18"/>
      <c r="F1678" s="18"/>
      <c r="G1678" s="18"/>
      <c r="H1678" s="28"/>
      <c r="I1678" s="5" t="s">
        <v>19</v>
      </c>
      <c r="J1678" s="9">
        <v>97</v>
      </c>
      <c r="K1678" s="9">
        <v>99</v>
      </c>
      <c r="L1678" s="9">
        <v>94</v>
      </c>
      <c r="M1678" s="9">
        <v>132</v>
      </c>
      <c r="N1678" s="7">
        <v>86</v>
      </c>
      <c r="O1678" s="6">
        <v>64</v>
      </c>
    </row>
    <row r="1679" spans="1:15" ht="15" thickBot="1" x14ac:dyDescent="0.4">
      <c r="A1679" t="str">
        <f t="shared" si="380"/>
        <v>FC041</v>
      </c>
      <c r="B1679" t="str">
        <f t="shared" ref="B1679:B1705" si="383">$D$974</f>
        <v>CPAC Northeast</v>
      </c>
      <c r="C1679" s="18"/>
      <c r="D1679" s="18"/>
      <c r="E1679" s="18"/>
      <c r="F1679" s="18"/>
      <c r="G1679" s="18"/>
      <c r="H1679" s="28"/>
      <c r="I1679" s="3" t="s">
        <v>20</v>
      </c>
      <c r="J1679" s="9">
        <v>33.299999999999997</v>
      </c>
      <c r="K1679" s="10">
        <v>22</v>
      </c>
      <c r="L1679" s="10">
        <v>17.600000000000001</v>
      </c>
      <c r="M1679" s="8">
        <v>63.3</v>
      </c>
      <c r="N1679" s="7">
        <v>39.299999999999997</v>
      </c>
      <c r="O1679" s="9">
        <v>28.6</v>
      </c>
    </row>
    <row r="1680" spans="1:15" ht="15" thickBot="1" x14ac:dyDescent="0.4">
      <c r="A1680" t="str">
        <f t="shared" si="381"/>
        <v>FC041</v>
      </c>
      <c r="B1680" t="str">
        <f t="shared" si="383"/>
        <v>CPAC Northeast</v>
      </c>
      <c r="C1680" s="18"/>
      <c r="D1680" s="18"/>
      <c r="E1680" s="18"/>
      <c r="F1680" s="18"/>
      <c r="G1680" s="18"/>
      <c r="H1680" s="28"/>
      <c r="I1680" s="5" t="s">
        <v>21</v>
      </c>
      <c r="J1680" s="10">
        <v>0.97</v>
      </c>
      <c r="K1680" s="10">
        <v>1.5</v>
      </c>
      <c r="L1680" s="10">
        <v>1.77</v>
      </c>
      <c r="M1680" s="9">
        <v>0.69</v>
      </c>
      <c r="N1680" s="9">
        <v>0.73</v>
      </c>
      <c r="O1680" s="9">
        <v>0.74</v>
      </c>
    </row>
    <row r="1681" spans="1:15" ht="15" thickBot="1" x14ac:dyDescent="0.4">
      <c r="A1681" t="str">
        <f t="shared" si="382"/>
        <v>FC041</v>
      </c>
      <c r="B1681" t="str">
        <f t="shared" si="383"/>
        <v>CPAC Northeast</v>
      </c>
      <c r="C1681" s="19"/>
      <c r="D1681" s="19"/>
      <c r="E1681" s="19"/>
      <c r="F1681" s="19"/>
      <c r="G1681" s="19"/>
      <c r="H1681" s="29"/>
      <c r="I1681" s="3" t="s">
        <v>22</v>
      </c>
      <c r="J1681" s="10" t="s">
        <v>24</v>
      </c>
      <c r="K1681" s="10" t="s">
        <v>24</v>
      </c>
      <c r="L1681" s="10" t="s">
        <v>24</v>
      </c>
      <c r="M1681" s="11"/>
      <c r="N1681" s="11"/>
      <c r="O1681" s="11"/>
    </row>
    <row r="1682" spans="1:15" ht="15" thickBot="1" x14ac:dyDescent="0.4">
      <c r="B1682" t="str">
        <f t="shared" si="383"/>
        <v>CPAC Northeast</v>
      </c>
      <c r="C1682" s="16"/>
      <c r="D1682" s="16"/>
      <c r="E1682" s="16"/>
      <c r="F1682" s="16"/>
      <c r="G1682" s="16" t="s">
        <v>373</v>
      </c>
      <c r="H1682" s="20" t="s">
        <v>17</v>
      </c>
      <c r="I1682" s="1"/>
      <c r="J1682" s="1"/>
      <c r="K1682" s="1"/>
      <c r="L1682" s="1"/>
      <c r="M1682" s="1"/>
      <c r="N1682" s="1"/>
      <c r="O1682" s="1"/>
    </row>
    <row r="1683" spans="1:15" ht="15" thickBot="1" x14ac:dyDescent="0.4">
      <c r="A1683" t="str">
        <f t="shared" si="378"/>
        <v>FC268</v>
      </c>
      <c r="B1683" t="str">
        <f t="shared" si="383"/>
        <v>CPAC Northeast</v>
      </c>
      <c r="C1683" s="18"/>
      <c r="D1683" s="18"/>
      <c r="E1683" s="18"/>
      <c r="F1683" s="18"/>
      <c r="G1683" s="18"/>
      <c r="H1683" s="22"/>
      <c r="I1683" s="3" t="s">
        <v>18</v>
      </c>
      <c r="J1683" s="4">
        <v>33</v>
      </c>
      <c r="K1683" s="4">
        <v>38</v>
      </c>
      <c r="L1683" s="4">
        <v>33</v>
      </c>
      <c r="M1683" s="4">
        <v>42</v>
      </c>
      <c r="N1683" s="4">
        <v>37</v>
      </c>
      <c r="O1683" s="11"/>
    </row>
    <row r="1684" spans="1:15" ht="15" thickBot="1" x14ac:dyDescent="0.4">
      <c r="A1684" t="str">
        <f t="shared" si="379"/>
        <v>FC268</v>
      </c>
      <c r="B1684" t="str">
        <f t="shared" si="383"/>
        <v>CPAC Northeast</v>
      </c>
      <c r="C1684" s="18"/>
      <c r="D1684" s="18"/>
      <c r="E1684" s="18"/>
      <c r="F1684" s="18"/>
      <c r="G1684" s="18"/>
      <c r="H1684" s="22"/>
      <c r="I1684" s="5" t="s">
        <v>19</v>
      </c>
      <c r="J1684" s="9">
        <v>117</v>
      </c>
      <c r="K1684" s="9">
        <v>95</v>
      </c>
      <c r="L1684" s="8">
        <v>48</v>
      </c>
      <c r="M1684" s="9">
        <v>134</v>
      </c>
      <c r="N1684" s="8">
        <v>47</v>
      </c>
      <c r="O1684" s="11"/>
    </row>
    <row r="1685" spans="1:15" ht="15" thickBot="1" x14ac:dyDescent="0.4">
      <c r="A1685" t="str">
        <f t="shared" si="380"/>
        <v>FC268</v>
      </c>
      <c r="B1685" t="str">
        <f t="shared" si="383"/>
        <v>CPAC Northeast</v>
      </c>
      <c r="C1685" s="18"/>
      <c r="D1685" s="18"/>
      <c r="E1685" s="18"/>
      <c r="F1685" s="18"/>
      <c r="G1685" s="18"/>
      <c r="H1685" s="22"/>
      <c r="I1685" s="3" t="s">
        <v>20</v>
      </c>
      <c r="J1685" s="7">
        <v>39.700000000000003</v>
      </c>
      <c r="K1685" s="10">
        <v>25.6</v>
      </c>
      <c r="L1685" s="10">
        <v>22.9</v>
      </c>
      <c r="M1685" s="8">
        <v>77.099999999999994</v>
      </c>
      <c r="N1685" s="10">
        <v>19.2</v>
      </c>
      <c r="O1685" s="11"/>
    </row>
    <row r="1686" spans="1:15" ht="15" thickBot="1" x14ac:dyDescent="0.4">
      <c r="A1686" t="str">
        <f t="shared" si="381"/>
        <v>FC268</v>
      </c>
      <c r="B1686" t="str">
        <f t="shared" si="383"/>
        <v>CPAC Northeast</v>
      </c>
      <c r="C1686" s="18"/>
      <c r="D1686" s="18"/>
      <c r="E1686" s="18"/>
      <c r="F1686" s="18"/>
      <c r="G1686" s="18"/>
      <c r="H1686" s="22"/>
      <c r="I1686" s="5" t="s">
        <v>21</v>
      </c>
      <c r="J1686" s="10">
        <v>0.98</v>
      </c>
      <c r="K1686" s="10">
        <v>1.24</v>
      </c>
      <c r="L1686" s="9">
        <v>0.7</v>
      </c>
      <c r="M1686" s="9">
        <v>0.57999999999999996</v>
      </c>
      <c r="N1686" s="10">
        <v>0.81</v>
      </c>
      <c r="O1686" s="11"/>
    </row>
    <row r="1687" spans="1:15" ht="15" thickBot="1" x14ac:dyDescent="0.4">
      <c r="A1687" t="str">
        <f t="shared" si="382"/>
        <v>FC268</v>
      </c>
      <c r="B1687" t="str">
        <f t="shared" si="383"/>
        <v>CPAC Northeast</v>
      </c>
      <c r="C1687" s="19"/>
      <c r="D1687" s="19"/>
      <c r="E1687" s="19"/>
      <c r="F1687" s="19"/>
      <c r="G1687" s="19"/>
      <c r="H1687" s="23"/>
      <c r="I1687" s="3" t="s">
        <v>22</v>
      </c>
      <c r="J1687" s="11"/>
      <c r="K1687" s="11"/>
      <c r="L1687" s="11"/>
      <c r="M1687" s="11"/>
      <c r="N1687" s="11"/>
      <c r="O1687" s="11" t="s">
        <v>27</v>
      </c>
    </row>
    <row r="1688" spans="1:15" ht="15" thickBot="1" x14ac:dyDescent="0.4">
      <c r="B1688" t="str">
        <f t="shared" si="383"/>
        <v>CPAC Northeast</v>
      </c>
      <c r="C1688" s="16"/>
      <c r="D1688" s="16"/>
      <c r="E1688" s="16"/>
      <c r="F1688" s="16"/>
      <c r="G1688" s="16" t="s">
        <v>374</v>
      </c>
      <c r="H1688" s="27" t="s">
        <v>34</v>
      </c>
      <c r="I1688" s="1"/>
      <c r="J1688" s="1"/>
      <c r="K1688" s="1"/>
      <c r="L1688" s="1"/>
      <c r="M1688" s="1"/>
      <c r="N1688" s="1"/>
      <c r="O1688" s="1"/>
    </row>
    <row r="1689" spans="1:15" ht="15" thickBot="1" x14ac:dyDescent="0.4">
      <c r="A1689" t="str">
        <f t="shared" si="378"/>
        <v>FC222</v>
      </c>
      <c r="B1689" t="str">
        <f t="shared" si="383"/>
        <v>CPAC Northeast</v>
      </c>
      <c r="C1689" s="18"/>
      <c r="D1689" s="18"/>
      <c r="E1689" s="18"/>
      <c r="F1689" s="18"/>
      <c r="G1689" s="18"/>
      <c r="H1689" s="28"/>
      <c r="I1689" s="3" t="s">
        <v>18</v>
      </c>
      <c r="J1689" s="4">
        <v>30</v>
      </c>
      <c r="K1689" s="8">
        <v>21</v>
      </c>
      <c r="L1689" s="4">
        <v>30</v>
      </c>
      <c r="M1689" s="4">
        <v>33</v>
      </c>
      <c r="N1689" s="4">
        <v>30</v>
      </c>
      <c r="O1689" s="4">
        <v>42</v>
      </c>
    </row>
    <row r="1690" spans="1:15" ht="15" thickBot="1" x14ac:dyDescent="0.4">
      <c r="A1690" t="str">
        <f t="shared" si="379"/>
        <v>FC222</v>
      </c>
      <c r="B1690" t="str">
        <f t="shared" si="383"/>
        <v>CPAC Northeast</v>
      </c>
      <c r="C1690" s="18"/>
      <c r="D1690" s="18"/>
      <c r="E1690" s="18"/>
      <c r="F1690" s="18"/>
      <c r="G1690" s="18"/>
      <c r="H1690" s="28"/>
      <c r="I1690" s="5" t="s">
        <v>19</v>
      </c>
      <c r="J1690" s="9">
        <v>102</v>
      </c>
      <c r="K1690" s="6">
        <v>50</v>
      </c>
      <c r="L1690" s="6">
        <v>56</v>
      </c>
      <c r="M1690" s="8">
        <v>49</v>
      </c>
      <c r="N1690" s="6">
        <v>53</v>
      </c>
      <c r="O1690" s="7">
        <v>71</v>
      </c>
    </row>
    <row r="1691" spans="1:15" ht="15" thickBot="1" x14ac:dyDescent="0.4">
      <c r="A1691" t="str">
        <f t="shared" si="380"/>
        <v>FC222</v>
      </c>
      <c r="B1691" t="str">
        <f t="shared" si="383"/>
        <v>CPAC Northeast</v>
      </c>
      <c r="C1691" s="18"/>
      <c r="D1691" s="18"/>
      <c r="E1691" s="18"/>
      <c r="F1691" s="18"/>
      <c r="G1691" s="18"/>
      <c r="H1691" s="28"/>
      <c r="I1691" s="3" t="s">
        <v>20</v>
      </c>
      <c r="J1691" s="6">
        <v>43.8</v>
      </c>
      <c r="K1691" s="9">
        <v>31.1</v>
      </c>
      <c r="L1691" s="10">
        <v>20.3</v>
      </c>
      <c r="M1691" s="10">
        <v>22.4</v>
      </c>
      <c r="N1691" s="10">
        <v>26</v>
      </c>
      <c r="O1691" s="10">
        <v>20.6</v>
      </c>
    </row>
    <row r="1692" spans="1:15" ht="15" thickBot="1" x14ac:dyDescent="0.4">
      <c r="A1692" t="str">
        <f t="shared" si="381"/>
        <v>FC222</v>
      </c>
      <c r="B1692" t="str">
        <f t="shared" si="383"/>
        <v>CPAC Northeast</v>
      </c>
      <c r="C1692" s="18"/>
      <c r="D1692" s="18"/>
      <c r="E1692" s="18"/>
      <c r="F1692" s="18"/>
      <c r="G1692" s="18"/>
      <c r="H1692" s="28"/>
      <c r="I1692" s="5" t="s">
        <v>21</v>
      </c>
      <c r="J1692" s="9">
        <v>0.77</v>
      </c>
      <c r="K1692" s="8">
        <v>0.53</v>
      </c>
      <c r="L1692" s="10">
        <v>0.92</v>
      </c>
      <c r="M1692" s="9">
        <v>0.74</v>
      </c>
      <c r="N1692" s="9">
        <v>0.68</v>
      </c>
      <c r="O1692" s="10">
        <v>1.1399999999999999</v>
      </c>
    </row>
    <row r="1693" spans="1:15" ht="15" thickBot="1" x14ac:dyDescent="0.4">
      <c r="A1693" t="str">
        <f t="shared" si="382"/>
        <v>FC222</v>
      </c>
      <c r="B1693" t="str">
        <f t="shared" si="383"/>
        <v>CPAC Northeast</v>
      </c>
      <c r="C1693" s="19"/>
      <c r="D1693" s="19"/>
      <c r="E1693" s="19"/>
      <c r="F1693" s="19"/>
      <c r="G1693" s="19"/>
      <c r="H1693" s="29"/>
      <c r="I1693" s="3" t="s">
        <v>22</v>
      </c>
      <c r="J1693" s="10" t="s">
        <v>24</v>
      </c>
      <c r="K1693" s="8" t="s">
        <v>23</v>
      </c>
      <c r="L1693" s="10" t="s">
        <v>24</v>
      </c>
      <c r="M1693" s="11"/>
      <c r="N1693" s="9" t="s">
        <v>25</v>
      </c>
      <c r="O1693" s="11"/>
    </row>
    <row r="1694" spans="1:15" ht="15" thickBot="1" x14ac:dyDescent="0.4">
      <c r="B1694" t="str">
        <f t="shared" si="383"/>
        <v>CPAC Northeast</v>
      </c>
      <c r="C1694" s="16"/>
      <c r="D1694" s="16"/>
      <c r="E1694" s="16"/>
      <c r="F1694" s="16"/>
      <c r="G1694" s="16" t="s">
        <v>375</v>
      </c>
      <c r="H1694" s="27" t="s">
        <v>34</v>
      </c>
      <c r="I1694" s="1"/>
      <c r="J1694" s="1"/>
      <c r="K1694" s="1"/>
      <c r="L1694" s="1"/>
      <c r="M1694" s="1"/>
      <c r="N1694" s="1"/>
      <c r="O1694" s="1"/>
    </row>
    <row r="1695" spans="1:15" ht="15" thickBot="1" x14ac:dyDescent="0.4">
      <c r="A1695" t="str">
        <f t="shared" ref="A1695:A1758" si="384">IF(LEFT(G1694,2)="FC",LEFT(G1694,5),LEFT(G1694,4))</f>
        <v>FC231</v>
      </c>
      <c r="B1695" t="str">
        <f t="shared" si="383"/>
        <v>CPAC Northeast</v>
      </c>
      <c r="C1695" s="18"/>
      <c r="D1695" s="18"/>
      <c r="E1695" s="18"/>
      <c r="F1695" s="18"/>
      <c r="G1695" s="18"/>
      <c r="H1695" s="28"/>
      <c r="I1695" s="3" t="s">
        <v>18</v>
      </c>
      <c r="J1695" s="4">
        <v>30</v>
      </c>
      <c r="K1695" s="4">
        <v>30</v>
      </c>
      <c r="L1695" s="4">
        <v>36</v>
      </c>
      <c r="M1695" s="4">
        <v>30</v>
      </c>
      <c r="N1695" s="4">
        <v>30</v>
      </c>
      <c r="O1695" s="4">
        <v>30</v>
      </c>
    </row>
    <row r="1696" spans="1:15" ht="15" thickBot="1" x14ac:dyDescent="0.4">
      <c r="A1696" t="str">
        <f t="shared" si="379"/>
        <v>FC231</v>
      </c>
      <c r="B1696" t="str">
        <f t="shared" si="383"/>
        <v>CPAC Northeast</v>
      </c>
      <c r="C1696" s="18"/>
      <c r="D1696" s="18"/>
      <c r="E1696" s="18"/>
      <c r="F1696" s="18"/>
      <c r="G1696" s="18"/>
      <c r="H1696" s="28"/>
      <c r="I1696" s="5" t="s">
        <v>19</v>
      </c>
      <c r="J1696" s="9">
        <v>121</v>
      </c>
      <c r="K1696" s="9">
        <v>109</v>
      </c>
      <c r="L1696" s="9">
        <v>98</v>
      </c>
      <c r="M1696" s="6">
        <v>52</v>
      </c>
      <c r="N1696" s="6">
        <v>57</v>
      </c>
      <c r="O1696" s="6">
        <v>61</v>
      </c>
    </row>
    <row r="1697" spans="1:15" ht="15" thickBot="1" x14ac:dyDescent="0.4">
      <c r="A1697" t="str">
        <f t="shared" si="380"/>
        <v>FC231</v>
      </c>
      <c r="B1697" t="str">
        <f t="shared" si="383"/>
        <v>CPAC Northeast</v>
      </c>
      <c r="C1697" s="18"/>
      <c r="D1697" s="18"/>
      <c r="E1697" s="18"/>
      <c r="F1697" s="18"/>
      <c r="G1697" s="18"/>
      <c r="H1697" s="28"/>
      <c r="I1697" s="3" t="s">
        <v>20</v>
      </c>
      <c r="J1697" s="9">
        <v>30.7</v>
      </c>
      <c r="K1697" s="7">
        <v>36.799999999999997</v>
      </c>
      <c r="L1697" s="10">
        <v>25.8</v>
      </c>
      <c r="M1697" s="10">
        <v>23.9</v>
      </c>
      <c r="N1697" s="10">
        <v>25.3</v>
      </c>
      <c r="O1697" s="10">
        <v>24.4</v>
      </c>
    </row>
    <row r="1698" spans="1:15" ht="15" thickBot="1" x14ac:dyDescent="0.4">
      <c r="A1698" t="str">
        <f t="shared" si="381"/>
        <v>FC231</v>
      </c>
      <c r="B1698" t="str">
        <f t="shared" si="383"/>
        <v>CPAC Northeast</v>
      </c>
      <c r="C1698" s="18"/>
      <c r="D1698" s="18"/>
      <c r="E1698" s="18"/>
      <c r="F1698" s="18"/>
      <c r="G1698" s="18"/>
      <c r="H1698" s="28"/>
      <c r="I1698" s="5" t="s">
        <v>21</v>
      </c>
      <c r="J1698" s="10">
        <v>1.31</v>
      </c>
      <c r="K1698" s="10">
        <v>0.99</v>
      </c>
      <c r="L1698" s="10">
        <v>1.26</v>
      </c>
      <c r="M1698" s="9">
        <v>0.73</v>
      </c>
      <c r="N1698" s="9">
        <v>0.75</v>
      </c>
      <c r="O1698" s="10">
        <v>0.83</v>
      </c>
    </row>
    <row r="1699" spans="1:15" ht="15" thickBot="1" x14ac:dyDescent="0.4">
      <c r="A1699" t="str">
        <f t="shared" si="382"/>
        <v>FC231</v>
      </c>
      <c r="B1699" t="str">
        <f t="shared" si="383"/>
        <v>CPAC Northeast</v>
      </c>
      <c r="C1699" s="33"/>
      <c r="D1699" s="33"/>
      <c r="E1699" s="33"/>
      <c r="F1699" s="33"/>
      <c r="G1699" s="33"/>
      <c r="H1699" s="34"/>
      <c r="I1699" s="12" t="s">
        <v>22</v>
      </c>
      <c r="J1699" s="15" t="s">
        <v>24</v>
      </c>
      <c r="K1699" s="13"/>
      <c r="L1699" s="13"/>
      <c r="M1699" s="13"/>
      <c r="N1699" s="13"/>
      <c r="O1699" s="13"/>
    </row>
    <row r="1700" spans="1:15" ht="15" thickBot="1" x14ac:dyDescent="0.4">
      <c r="B1700" t="str">
        <f>$D$1700</f>
        <v>RMC - South Chain</v>
      </c>
      <c r="C1700" s="17"/>
      <c r="D1700" s="17" t="s">
        <v>376</v>
      </c>
      <c r="E1700" s="17" t="s">
        <v>377</v>
      </c>
      <c r="F1700" s="17" t="s">
        <v>378</v>
      </c>
      <c r="G1700" s="17" t="s">
        <v>379</v>
      </c>
      <c r="H1700" s="35" t="s">
        <v>30</v>
      </c>
      <c r="I1700" s="1"/>
      <c r="J1700" s="1"/>
      <c r="K1700" s="1"/>
      <c r="L1700" s="1"/>
      <c r="M1700" s="1"/>
      <c r="N1700" s="1"/>
      <c r="O1700" s="1"/>
    </row>
    <row r="1701" spans="1:15" ht="15" thickBot="1" x14ac:dyDescent="0.4">
      <c r="A1701" t="str">
        <f t="shared" si="384"/>
        <v>15DQ</v>
      </c>
      <c r="B1701" t="str">
        <f t="shared" ref="B1701:B1764" si="385">$D$1700</f>
        <v>RMC - South Chain</v>
      </c>
      <c r="C1701" s="18"/>
      <c r="D1701" s="18"/>
      <c r="E1701" s="18"/>
      <c r="F1701" s="18"/>
      <c r="G1701" s="18"/>
      <c r="H1701" s="25"/>
      <c r="I1701" s="3" t="s">
        <v>18</v>
      </c>
      <c r="J1701" s="11"/>
      <c r="K1701" s="11"/>
      <c r="L1701" s="11"/>
      <c r="M1701" s="11"/>
      <c r="N1701" s="11"/>
      <c r="O1701" s="11"/>
    </row>
    <row r="1702" spans="1:15" ht="15" thickBot="1" x14ac:dyDescent="0.4">
      <c r="A1702" t="str">
        <f t="shared" ref="A1702:A1762" si="386">IF(LEFT(G1700,2)="FC",LEFT(G1700,5),LEFT(G1700,4))</f>
        <v>15DQ</v>
      </c>
      <c r="B1702" t="str">
        <f t="shared" si="385"/>
        <v>RMC - South Chain</v>
      </c>
      <c r="C1702" s="18"/>
      <c r="D1702" s="18"/>
      <c r="E1702" s="18"/>
      <c r="F1702" s="18"/>
      <c r="G1702" s="18"/>
      <c r="H1702" s="25"/>
      <c r="I1702" s="5" t="s">
        <v>19</v>
      </c>
      <c r="J1702" s="11"/>
      <c r="K1702" s="11"/>
      <c r="L1702" s="11"/>
      <c r="M1702" s="11"/>
      <c r="N1702" s="11"/>
      <c r="O1702" s="11"/>
    </row>
    <row r="1703" spans="1:15" ht="15" thickBot="1" x14ac:dyDescent="0.4">
      <c r="A1703" t="str">
        <f t="shared" ref="A1703:A1763" si="387">IF(LEFT(G1700,2)="FC",LEFT(G1700,5),LEFT(G1700,4))</f>
        <v>15DQ</v>
      </c>
      <c r="B1703" t="str">
        <f t="shared" si="385"/>
        <v>RMC - South Chain</v>
      </c>
      <c r="C1703" s="18"/>
      <c r="D1703" s="18"/>
      <c r="E1703" s="18"/>
      <c r="F1703" s="18"/>
      <c r="G1703" s="18"/>
      <c r="H1703" s="25"/>
      <c r="I1703" s="3" t="s">
        <v>20</v>
      </c>
      <c r="J1703" s="11"/>
      <c r="K1703" s="11"/>
      <c r="L1703" s="11"/>
      <c r="M1703" s="11"/>
      <c r="N1703" s="11"/>
      <c r="O1703" s="11"/>
    </row>
    <row r="1704" spans="1:15" ht="15" thickBot="1" x14ac:dyDescent="0.4">
      <c r="A1704" t="str">
        <f t="shared" ref="A1704:A1764" si="388">IF(LEFT(G1700,2)="FC",LEFT(G1700,5),LEFT(G1700,4))</f>
        <v>15DQ</v>
      </c>
      <c r="B1704" t="str">
        <f t="shared" si="385"/>
        <v>RMC - South Chain</v>
      </c>
      <c r="C1704" s="18"/>
      <c r="D1704" s="18"/>
      <c r="E1704" s="18"/>
      <c r="F1704" s="18"/>
      <c r="G1704" s="18"/>
      <c r="H1704" s="25"/>
      <c r="I1704" s="5" t="s">
        <v>21</v>
      </c>
      <c r="J1704" s="11"/>
      <c r="K1704" s="11"/>
      <c r="L1704" s="11"/>
      <c r="M1704" s="11"/>
      <c r="N1704" s="11"/>
      <c r="O1704" s="11"/>
    </row>
    <row r="1705" spans="1:15" ht="15" thickBot="1" x14ac:dyDescent="0.4">
      <c r="A1705" t="str">
        <f t="shared" ref="A1705:A1765" si="389">IF(LEFT(G1700,2)="FC",LEFT(G1700,5),LEFT(G1700,4))</f>
        <v>15DQ</v>
      </c>
      <c r="B1705" t="str">
        <f t="shared" si="385"/>
        <v>RMC - South Chain</v>
      </c>
      <c r="C1705" s="19"/>
      <c r="D1705" s="19"/>
      <c r="E1705" s="19"/>
      <c r="F1705" s="19"/>
      <c r="G1705" s="19"/>
      <c r="H1705" s="26"/>
      <c r="I1705" s="3" t="s">
        <v>22</v>
      </c>
      <c r="J1705" s="11" t="s">
        <v>46</v>
      </c>
      <c r="K1705" s="11" t="s">
        <v>46</v>
      </c>
      <c r="L1705" s="11" t="s">
        <v>45</v>
      </c>
      <c r="M1705" s="11" t="s">
        <v>46</v>
      </c>
      <c r="N1705" s="11" t="s">
        <v>46</v>
      </c>
      <c r="O1705" s="11" t="s">
        <v>46</v>
      </c>
    </row>
    <row r="1706" spans="1:15" ht="15" thickBot="1" x14ac:dyDescent="0.4">
      <c r="B1706" t="str">
        <f t="shared" si="385"/>
        <v>RMC - South Chain</v>
      </c>
      <c r="C1706" s="16"/>
      <c r="D1706" s="16"/>
      <c r="E1706" s="16"/>
      <c r="F1706" s="16"/>
      <c r="G1706" s="16" t="s">
        <v>380</v>
      </c>
      <c r="H1706" s="27" t="s">
        <v>34</v>
      </c>
      <c r="I1706" s="1"/>
      <c r="J1706" s="1"/>
      <c r="K1706" s="1"/>
      <c r="L1706" s="1"/>
      <c r="M1706" s="1"/>
      <c r="N1706" s="1"/>
      <c r="O1706" s="1"/>
    </row>
    <row r="1707" spans="1:15" ht="15" thickBot="1" x14ac:dyDescent="0.4">
      <c r="A1707" t="str">
        <f t="shared" si="384"/>
        <v>FC210</v>
      </c>
      <c r="B1707" t="str">
        <f t="shared" si="385"/>
        <v>RMC - South Chain</v>
      </c>
      <c r="C1707" s="18"/>
      <c r="D1707" s="18"/>
      <c r="E1707" s="18"/>
      <c r="F1707" s="18"/>
      <c r="G1707" s="18"/>
      <c r="H1707" s="28"/>
      <c r="I1707" s="3" t="s">
        <v>18</v>
      </c>
      <c r="J1707" s="11"/>
      <c r="K1707" s="11"/>
      <c r="L1707" s="4">
        <v>36</v>
      </c>
      <c r="M1707" s="4">
        <v>36</v>
      </c>
      <c r="N1707" s="4">
        <v>36</v>
      </c>
      <c r="O1707" s="4">
        <v>39</v>
      </c>
    </row>
    <row r="1708" spans="1:15" ht="15" thickBot="1" x14ac:dyDescent="0.4">
      <c r="A1708" t="str">
        <f t="shared" si="386"/>
        <v>FC210</v>
      </c>
      <c r="B1708" t="str">
        <f t="shared" si="385"/>
        <v>RMC - South Chain</v>
      </c>
      <c r="C1708" s="18"/>
      <c r="D1708" s="18"/>
      <c r="E1708" s="18"/>
      <c r="F1708" s="18"/>
      <c r="G1708" s="18"/>
      <c r="H1708" s="28"/>
      <c r="I1708" s="5" t="s">
        <v>19</v>
      </c>
      <c r="J1708" s="11"/>
      <c r="K1708" s="11"/>
      <c r="L1708" s="9">
        <v>107</v>
      </c>
      <c r="M1708" s="9">
        <v>113</v>
      </c>
      <c r="N1708" s="9">
        <v>113</v>
      </c>
      <c r="O1708" s="9">
        <v>107</v>
      </c>
    </row>
    <row r="1709" spans="1:15" ht="15" thickBot="1" x14ac:dyDescent="0.4">
      <c r="A1709" t="str">
        <f t="shared" si="387"/>
        <v>FC210</v>
      </c>
      <c r="B1709" t="str">
        <f t="shared" si="385"/>
        <v>RMC - South Chain</v>
      </c>
      <c r="C1709" s="18"/>
      <c r="D1709" s="18"/>
      <c r="E1709" s="18"/>
      <c r="F1709" s="18"/>
      <c r="G1709" s="18"/>
      <c r="H1709" s="28"/>
      <c r="I1709" s="3" t="s">
        <v>20</v>
      </c>
      <c r="J1709" s="11"/>
      <c r="K1709" s="11"/>
      <c r="L1709" s="7">
        <v>38.799999999999997</v>
      </c>
      <c r="M1709" s="7">
        <v>36.4</v>
      </c>
      <c r="N1709" s="9">
        <v>34</v>
      </c>
      <c r="O1709" s="10">
        <v>25.9</v>
      </c>
    </row>
    <row r="1710" spans="1:15" ht="15" thickBot="1" x14ac:dyDescent="0.4">
      <c r="A1710" t="str">
        <f t="shared" si="388"/>
        <v>FC210</v>
      </c>
      <c r="B1710" t="str">
        <f t="shared" si="385"/>
        <v>RMC - South Chain</v>
      </c>
      <c r="C1710" s="18"/>
      <c r="D1710" s="18"/>
      <c r="E1710" s="18"/>
      <c r="F1710" s="18"/>
      <c r="G1710" s="18"/>
      <c r="H1710" s="28"/>
      <c r="I1710" s="5" t="s">
        <v>21</v>
      </c>
      <c r="J1710" s="11"/>
      <c r="K1710" s="11"/>
      <c r="L1710" s="10">
        <v>0.92</v>
      </c>
      <c r="M1710" s="10">
        <v>1.04</v>
      </c>
      <c r="N1710" s="10">
        <v>1.1000000000000001</v>
      </c>
      <c r="O1710" s="10">
        <v>1.37</v>
      </c>
    </row>
    <row r="1711" spans="1:15" ht="15" thickBot="1" x14ac:dyDescent="0.4">
      <c r="A1711" t="str">
        <f t="shared" si="389"/>
        <v>FC210</v>
      </c>
      <c r="B1711" t="str">
        <f t="shared" si="385"/>
        <v>RMC - South Chain</v>
      </c>
      <c r="C1711" s="19"/>
      <c r="D1711" s="19"/>
      <c r="E1711" s="19"/>
      <c r="F1711" s="19"/>
      <c r="G1711" s="19"/>
      <c r="H1711" s="29"/>
      <c r="I1711" s="3" t="s">
        <v>22</v>
      </c>
      <c r="J1711" s="11" t="s">
        <v>27</v>
      </c>
      <c r="K1711" s="11" t="s">
        <v>27</v>
      </c>
      <c r="L1711" s="11"/>
      <c r="M1711" s="11"/>
      <c r="N1711" s="10" t="s">
        <v>24</v>
      </c>
      <c r="O1711" s="11"/>
    </row>
    <row r="1712" spans="1:15" ht="15" thickBot="1" x14ac:dyDescent="0.4">
      <c r="B1712" t="str">
        <f t="shared" si="385"/>
        <v>RMC - South Chain</v>
      </c>
      <c r="C1712" s="16"/>
      <c r="D1712" s="16"/>
      <c r="E1712" s="16"/>
      <c r="F1712" s="16"/>
      <c r="G1712" s="16" t="s">
        <v>381</v>
      </c>
      <c r="H1712" s="27" t="s">
        <v>34</v>
      </c>
      <c r="I1712" s="1"/>
      <c r="J1712" s="1"/>
      <c r="K1712" s="1"/>
      <c r="L1712" s="1"/>
      <c r="M1712" s="1"/>
      <c r="N1712" s="1"/>
      <c r="O1712" s="1"/>
    </row>
    <row r="1713" spans="1:15" ht="15" thickBot="1" x14ac:dyDescent="0.4">
      <c r="A1713" t="str">
        <f t="shared" si="384"/>
        <v>FC082</v>
      </c>
      <c r="B1713" t="str">
        <f t="shared" si="385"/>
        <v>RMC - South Chain</v>
      </c>
      <c r="C1713" s="18"/>
      <c r="D1713" s="18"/>
      <c r="E1713" s="18"/>
      <c r="F1713" s="18"/>
      <c r="G1713" s="18"/>
      <c r="H1713" s="28"/>
      <c r="I1713" s="3" t="s">
        <v>18</v>
      </c>
      <c r="J1713" s="4">
        <v>30</v>
      </c>
      <c r="K1713" s="8">
        <v>24</v>
      </c>
      <c r="L1713" s="4">
        <v>30</v>
      </c>
      <c r="M1713" s="4">
        <v>36</v>
      </c>
      <c r="N1713" s="4">
        <v>36</v>
      </c>
      <c r="O1713" s="4">
        <v>30</v>
      </c>
    </row>
    <row r="1714" spans="1:15" ht="15" thickBot="1" x14ac:dyDescent="0.4">
      <c r="A1714" t="str">
        <f t="shared" si="386"/>
        <v>FC082</v>
      </c>
      <c r="B1714" t="str">
        <f t="shared" si="385"/>
        <v>RMC - South Chain</v>
      </c>
      <c r="C1714" s="18"/>
      <c r="D1714" s="18"/>
      <c r="E1714" s="18"/>
      <c r="F1714" s="18"/>
      <c r="G1714" s="18"/>
      <c r="H1714" s="28"/>
      <c r="I1714" s="5" t="s">
        <v>19</v>
      </c>
      <c r="J1714" s="9">
        <v>111</v>
      </c>
      <c r="K1714" s="7">
        <v>82</v>
      </c>
      <c r="L1714" s="7">
        <v>77</v>
      </c>
      <c r="M1714" s="8">
        <v>42</v>
      </c>
      <c r="N1714" s="9">
        <v>154</v>
      </c>
      <c r="O1714" s="9">
        <v>113</v>
      </c>
    </row>
    <row r="1715" spans="1:15" ht="15" thickBot="1" x14ac:dyDescent="0.4">
      <c r="A1715" t="str">
        <f t="shared" si="387"/>
        <v>FC082</v>
      </c>
      <c r="B1715" t="str">
        <f t="shared" si="385"/>
        <v>RMC - South Chain</v>
      </c>
      <c r="C1715" s="18"/>
      <c r="D1715" s="18"/>
      <c r="E1715" s="18"/>
      <c r="F1715" s="18"/>
      <c r="G1715" s="18"/>
      <c r="H1715" s="28"/>
      <c r="I1715" s="3" t="s">
        <v>20</v>
      </c>
      <c r="J1715" s="10">
        <v>21.8</v>
      </c>
      <c r="K1715" s="6">
        <v>41.9</v>
      </c>
      <c r="L1715" s="9">
        <v>31.1</v>
      </c>
      <c r="M1715" s="10">
        <v>17.100000000000001</v>
      </c>
      <c r="N1715" s="6">
        <v>45</v>
      </c>
      <c r="O1715" s="10">
        <v>26.1</v>
      </c>
    </row>
    <row r="1716" spans="1:15" ht="15" thickBot="1" x14ac:dyDescent="0.4">
      <c r="A1716" t="str">
        <f t="shared" si="388"/>
        <v>FC082</v>
      </c>
      <c r="B1716" t="str">
        <f t="shared" si="385"/>
        <v>RMC - South Chain</v>
      </c>
      <c r="C1716" s="18"/>
      <c r="D1716" s="18"/>
      <c r="E1716" s="18"/>
      <c r="F1716" s="18"/>
      <c r="G1716" s="18"/>
      <c r="H1716" s="28"/>
      <c r="I1716" s="5" t="s">
        <v>21</v>
      </c>
      <c r="J1716" s="10">
        <v>1.7</v>
      </c>
      <c r="K1716" s="9">
        <v>0.65</v>
      </c>
      <c r="L1716" s="10">
        <v>0.83</v>
      </c>
      <c r="M1716" s="10">
        <v>0.82</v>
      </c>
      <c r="N1716" s="10">
        <v>1.1399999999999999</v>
      </c>
      <c r="O1716" s="10">
        <v>1.44</v>
      </c>
    </row>
    <row r="1717" spans="1:15" ht="15" thickBot="1" x14ac:dyDescent="0.4">
      <c r="A1717" t="str">
        <f t="shared" si="389"/>
        <v>FC082</v>
      </c>
      <c r="B1717" t="str">
        <f t="shared" si="385"/>
        <v>RMC - South Chain</v>
      </c>
      <c r="C1717" s="19"/>
      <c r="D1717" s="19"/>
      <c r="E1717" s="19"/>
      <c r="F1717" s="19"/>
      <c r="G1717" s="19"/>
      <c r="H1717" s="29"/>
      <c r="I1717" s="3" t="s">
        <v>22</v>
      </c>
      <c r="J1717" s="10" t="s">
        <v>24</v>
      </c>
      <c r="K1717" s="9" t="s">
        <v>25</v>
      </c>
      <c r="L1717" s="10" t="s">
        <v>24</v>
      </c>
      <c r="M1717" s="9" t="s">
        <v>25</v>
      </c>
      <c r="N1717" s="10" t="s">
        <v>24</v>
      </c>
      <c r="O1717" s="10" t="s">
        <v>24</v>
      </c>
    </row>
    <row r="1718" spans="1:15" ht="15" thickBot="1" x14ac:dyDescent="0.4">
      <c r="B1718" t="str">
        <f t="shared" si="385"/>
        <v>RMC - South Chain</v>
      </c>
      <c r="C1718" s="16"/>
      <c r="D1718" s="16"/>
      <c r="E1718" s="16"/>
      <c r="F1718" s="16"/>
      <c r="G1718" s="16" t="s">
        <v>382</v>
      </c>
      <c r="H1718" s="20" t="s">
        <v>17</v>
      </c>
      <c r="I1718" s="1"/>
      <c r="J1718" s="1"/>
      <c r="K1718" s="1"/>
      <c r="L1718" s="1"/>
      <c r="M1718" s="1"/>
      <c r="N1718" s="1"/>
      <c r="O1718" s="1"/>
    </row>
    <row r="1719" spans="1:15" ht="15" thickBot="1" x14ac:dyDescent="0.4">
      <c r="A1719" t="str">
        <f t="shared" si="384"/>
        <v>FC028</v>
      </c>
      <c r="B1719" t="str">
        <f t="shared" si="385"/>
        <v>RMC - South Chain</v>
      </c>
      <c r="C1719" s="18"/>
      <c r="D1719" s="18"/>
      <c r="E1719" s="18"/>
      <c r="F1719" s="18"/>
      <c r="G1719" s="18"/>
      <c r="H1719" s="22"/>
      <c r="I1719" s="3" t="s">
        <v>18</v>
      </c>
      <c r="J1719" s="11"/>
      <c r="K1719" s="4">
        <v>39</v>
      </c>
      <c r="L1719" s="4">
        <v>33</v>
      </c>
      <c r="M1719" s="4">
        <v>33</v>
      </c>
      <c r="N1719" s="4">
        <v>39</v>
      </c>
      <c r="O1719" s="4">
        <v>30</v>
      </c>
    </row>
    <row r="1720" spans="1:15" ht="15" thickBot="1" x14ac:dyDescent="0.4">
      <c r="A1720" t="str">
        <f t="shared" si="386"/>
        <v>FC028</v>
      </c>
      <c r="B1720" t="str">
        <f t="shared" si="385"/>
        <v>RMC - South Chain</v>
      </c>
      <c r="C1720" s="18"/>
      <c r="D1720" s="18"/>
      <c r="E1720" s="18"/>
      <c r="F1720" s="18"/>
      <c r="G1720" s="18"/>
      <c r="H1720" s="22"/>
      <c r="I1720" s="5" t="s">
        <v>19</v>
      </c>
      <c r="J1720" s="11"/>
      <c r="K1720" s="6">
        <v>50</v>
      </c>
      <c r="L1720" s="6">
        <v>55</v>
      </c>
      <c r="M1720" s="8">
        <v>32</v>
      </c>
      <c r="N1720" s="8">
        <v>37</v>
      </c>
      <c r="O1720" s="8">
        <v>35</v>
      </c>
    </row>
    <row r="1721" spans="1:15" ht="15" thickBot="1" x14ac:dyDescent="0.4">
      <c r="A1721" t="str">
        <f t="shared" si="387"/>
        <v>FC028</v>
      </c>
      <c r="B1721" t="str">
        <f t="shared" si="385"/>
        <v>RMC - South Chain</v>
      </c>
      <c r="C1721" s="18"/>
      <c r="D1721" s="18"/>
      <c r="E1721" s="18"/>
      <c r="F1721" s="18"/>
      <c r="G1721" s="18"/>
      <c r="H1721" s="22"/>
      <c r="I1721" s="3" t="s">
        <v>20</v>
      </c>
      <c r="J1721" s="11"/>
      <c r="K1721" s="10">
        <v>24.4</v>
      </c>
      <c r="L1721" s="10">
        <v>26.2</v>
      </c>
      <c r="M1721" s="10">
        <v>24.6</v>
      </c>
      <c r="N1721" s="10">
        <v>21.2</v>
      </c>
      <c r="O1721" s="10">
        <v>20.399999999999999</v>
      </c>
    </row>
    <row r="1722" spans="1:15" ht="15" thickBot="1" x14ac:dyDescent="0.4">
      <c r="A1722" t="str">
        <f t="shared" si="388"/>
        <v>FC028</v>
      </c>
      <c r="B1722" t="str">
        <f t="shared" si="385"/>
        <v>RMC - South Chain</v>
      </c>
      <c r="C1722" s="18"/>
      <c r="D1722" s="18"/>
      <c r="E1722" s="18"/>
      <c r="F1722" s="18"/>
      <c r="G1722" s="18"/>
      <c r="H1722" s="22"/>
      <c r="I1722" s="5" t="s">
        <v>21</v>
      </c>
      <c r="J1722" s="11"/>
      <c r="K1722" s="9">
        <v>0.69</v>
      </c>
      <c r="L1722" s="9">
        <v>0.7</v>
      </c>
      <c r="M1722" s="8">
        <v>0.44</v>
      </c>
      <c r="N1722" s="9">
        <v>0.57999999999999996</v>
      </c>
      <c r="O1722" s="9">
        <v>0.56999999999999995</v>
      </c>
    </row>
    <row r="1723" spans="1:15" ht="15" thickBot="1" x14ac:dyDescent="0.4">
      <c r="A1723" t="str">
        <f t="shared" si="389"/>
        <v>FC028</v>
      </c>
      <c r="B1723" t="str">
        <f t="shared" si="385"/>
        <v>RMC - South Chain</v>
      </c>
      <c r="C1723" s="19"/>
      <c r="D1723" s="19"/>
      <c r="E1723" s="19"/>
      <c r="F1723" s="19"/>
      <c r="G1723" s="19"/>
      <c r="H1723" s="23"/>
      <c r="I1723" s="3" t="s">
        <v>22</v>
      </c>
      <c r="J1723" s="11" t="s">
        <v>27</v>
      </c>
      <c r="K1723" s="9" t="s">
        <v>25</v>
      </c>
      <c r="L1723" s="9" t="s">
        <v>25</v>
      </c>
      <c r="M1723" s="8" t="s">
        <v>23</v>
      </c>
      <c r="N1723" s="9" t="s">
        <v>25</v>
      </c>
      <c r="O1723" s="9" t="s">
        <v>25</v>
      </c>
    </row>
    <row r="1724" spans="1:15" ht="15" thickBot="1" x14ac:dyDescent="0.4">
      <c r="B1724" t="str">
        <f t="shared" si="385"/>
        <v>RMC - South Chain</v>
      </c>
      <c r="C1724" s="16"/>
      <c r="D1724" s="16"/>
      <c r="E1724" s="16"/>
      <c r="F1724" s="16" t="s">
        <v>383</v>
      </c>
      <c r="G1724" s="16" t="s">
        <v>384</v>
      </c>
      <c r="H1724" s="24" t="s">
        <v>30</v>
      </c>
      <c r="I1724" s="1"/>
      <c r="J1724" s="1"/>
      <c r="K1724" s="1"/>
      <c r="L1724" s="1"/>
      <c r="M1724" s="1"/>
      <c r="N1724" s="1"/>
      <c r="O1724" s="1"/>
    </row>
    <row r="1725" spans="1:15" ht="15" thickBot="1" x14ac:dyDescent="0.4">
      <c r="A1725" t="str">
        <f t="shared" si="384"/>
        <v>15DL</v>
      </c>
      <c r="B1725" t="str">
        <f t="shared" si="385"/>
        <v>RMC - South Chain</v>
      </c>
      <c r="C1725" s="18"/>
      <c r="D1725" s="18"/>
      <c r="E1725" s="18"/>
      <c r="F1725" s="18"/>
      <c r="G1725" s="18"/>
      <c r="H1725" s="25"/>
      <c r="I1725" s="3" t="s">
        <v>18</v>
      </c>
      <c r="J1725" s="11"/>
      <c r="K1725" s="11"/>
      <c r="L1725" s="11"/>
      <c r="M1725" s="11"/>
      <c r="N1725" s="11"/>
      <c r="O1725" s="11"/>
    </row>
    <row r="1726" spans="1:15" ht="15" thickBot="1" x14ac:dyDescent="0.4">
      <c r="A1726" t="str">
        <f t="shared" si="386"/>
        <v>15DL</v>
      </c>
      <c r="B1726" t="str">
        <f t="shared" si="385"/>
        <v>RMC - South Chain</v>
      </c>
      <c r="C1726" s="18"/>
      <c r="D1726" s="18"/>
      <c r="E1726" s="18"/>
      <c r="F1726" s="18"/>
      <c r="G1726" s="18"/>
      <c r="H1726" s="25"/>
      <c r="I1726" s="5" t="s">
        <v>19</v>
      </c>
      <c r="J1726" s="11"/>
      <c r="K1726" s="11"/>
      <c r="L1726" s="11"/>
      <c r="M1726" s="11"/>
      <c r="N1726" s="11"/>
      <c r="O1726" s="11"/>
    </row>
    <row r="1727" spans="1:15" ht="15" thickBot="1" x14ac:dyDescent="0.4">
      <c r="A1727" t="str">
        <f t="shared" si="387"/>
        <v>15DL</v>
      </c>
      <c r="B1727" t="str">
        <f t="shared" si="385"/>
        <v>RMC - South Chain</v>
      </c>
      <c r="C1727" s="18"/>
      <c r="D1727" s="18"/>
      <c r="E1727" s="18"/>
      <c r="F1727" s="18"/>
      <c r="G1727" s="18"/>
      <c r="H1727" s="25"/>
      <c r="I1727" s="3" t="s">
        <v>20</v>
      </c>
      <c r="J1727" s="11"/>
      <c r="K1727" s="11"/>
      <c r="L1727" s="11"/>
      <c r="M1727" s="11"/>
      <c r="N1727" s="11"/>
      <c r="O1727" s="11"/>
    </row>
    <row r="1728" spans="1:15" ht="15" thickBot="1" x14ac:dyDescent="0.4">
      <c r="A1728" t="str">
        <f t="shared" si="388"/>
        <v>15DL</v>
      </c>
      <c r="B1728" t="str">
        <f t="shared" si="385"/>
        <v>RMC - South Chain</v>
      </c>
      <c r="C1728" s="18"/>
      <c r="D1728" s="18"/>
      <c r="E1728" s="18"/>
      <c r="F1728" s="18"/>
      <c r="G1728" s="18"/>
      <c r="H1728" s="25"/>
      <c r="I1728" s="5" t="s">
        <v>21</v>
      </c>
      <c r="J1728" s="11"/>
      <c r="K1728" s="11"/>
      <c r="L1728" s="11"/>
      <c r="M1728" s="11"/>
      <c r="N1728" s="11"/>
      <c r="O1728" s="11"/>
    </row>
    <row r="1729" spans="1:15" ht="15" thickBot="1" x14ac:dyDescent="0.4">
      <c r="A1729" t="str">
        <f t="shared" si="389"/>
        <v>15DL</v>
      </c>
      <c r="B1729" t="str">
        <f t="shared" si="385"/>
        <v>RMC - South Chain</v>
      </c>
      <c r="C1729" s="19"/>
      <c r="D1729" s="19"/>
      <c r="E1729" s="19"/>
      <c r="F1729" s="19"/>
      <c r="G1729" s="19"/>
      <c r="H1729" s="26"/>
      <c r="I1729" s="3" t="s">
        <v>22</v>
      </c>
      <c r="J1729" s="11" t="s">
        <v>46</v>
      </c>
      <c r="K1729" s="11" t="s">
        <v>45</v>
      </c>
      <c r="L1729" s="11" t="s">
        <v>46</v>
      </c>
      <c r="M1729" s="11" t="s">
        <v>45</v>
      </c>
      <c r="N1729" s="11" t="s">
        <v>45</v>
      </c>
      <c r="O1729" s="11" t="s">
        <v>45</v>
      </c>
    </row>
    <row r="1730" spans="1:15" ht="15" thickBot="1" x14ac:dyDescent="0.4">
      <c r="B1730" t="str">
        <f t="shared" si="385"/>
        <v>RMC - South Chain</v>
      </c>
      <c r="C1730" s="16"/>
      <c r="D1730" s="16"/>
      <c r="E1730" s="16"/>
      <c r="F1730" s="16"/>
      <c r="G1730" s="16" t="s">
        <v>385</v>
      </c>
      <c r="H1730" s="24" t="s">
        <v>30</v>
      </c>
      <c r="I1730" s="1"/>
      <c r="J1730" s="1"/>
      <c r="K1730" s="1"/>
      <c r="L1730" s="1"/>
      <c r="M1730" s="1"/>
      <c r="N1730" s="1"/>
      <c r="O1730" s="1"/>
    </row>
    <row r="1731" spans="1:15" ht="15" thickBot="1" x14ac:dyDescent="0.4">
      <c r="A1731" t="str">
        <f t="shared" si="384"/>
        <v>15DR</v>
      </c>
      <c r="B1731" t="str">
        <f t="shared" si="385"/>
        <v>RMC - South Chain</v>
      </c>
      <c r="C1731" s="18"/>
      <c r="D1731" s="18"/>
      <c r="E1731" s="18"/>
      <c r="F1731" s="18"/>
      <c r="G1731" s="18"/>
      <c r="H1731" s="25"/>
      <c r="I1731" s="3" t="s">
        <v>18</v>
      </c>
      <c r="J1731" s="11"/>
      <c r="K1731" s="11"/>
      <c r="L1731" s="11"/>
      <c r="M1731" s="11"/>
      <c r="N1731" s="11"/>
      <c r="O1731" s="11"/>
    </row>
    <row r="1732" spans="1:15" ht="15" thickBot="1" x14ac:dyDescent="0.4">
      <c r="A1732" t="str">
        <f t="shared" si="386"/>
        <v>15DR</v>
      </c>
      <c r="B1732" t="str">
        <f t="shared" si="385"/>
        <v>RMC - South Chain</v>
      </c>
      <c r="C1732" s="18"/>
      <c r="D1732" s="18"/>
      <c r="E1732" s="18"/>
      <c r="F1732" s="18"/>
      <c r="G1732" s="18"/>
      <c r="H1732" s="25"/>
      <c r="I1732" s="5" t="s">
        <v>19</v>
      </c>
      <c r="J1732" s="11"/>
      <c r="K1732" s="11"/>
      <c r="L1732" s="11"/>
      <c r="M1732" s="11"/>
      <c r="N1732" s="11"/>
      <c r="O1732" s="11"/>
    </row>
    <row r="1733" spans="1:15" ht="15" thickBot="1" x14ac:dyDescent="0.4">
      <c r="A1733" t="str">
        <f t="shared" si="387"/>
        <v>15DR</v>
      </c>
      <c r="B1733" t="str">
        <f t="shared" si="385"/>
        <v>RMC - South Chain</v>
      </c>
      <c r="C1733" s="18"/>
      <c r="D1733" s="18"/>
      <c r="E1733" s="18"/>
      <c r="F1733" s="18"/>
      <c r="G1733" s="18"/>
      <c r="H1733" s="25"/>
      <c r="I1733" s="3" t="s">
        <v>20</v>
      </c>
      <c r="J1733" s="11"/>
      <c r="K1733" s="11"/>
      <c r="L1733" s="11"/>
      <c r="M1733" s="11"/>
      <c r="N1733" s="11"/>
      <c r="O1733" s="11"/>
    </row>
    <row r="1734" spans="1:15" ht="15" thickBot="1" x14ac:dyDescent="0.4">
      <c r="A1734" t="str">
        <f t="shared" si="388"/>
        <v>15DR</v>
      </c>
      <c r="B1734" t="str">
        <f t="shared" si="385"/>
        <v>RMC - South Chain</v>
      </c>
      <c r="C1734" s="18"/>
      <c r="D1734" s="18"/>
      <c r="E1734" s="18"/>
      <c r="F1734" s="18"/>
      <c r="G1734" s="18"/>
      <c r="H1734" s="25"/>
      <c r="I1734" s="5" t="s">
        <v>21</v>
      </c>
      <c r="J1734" s="11"/>
      <c r="K1734" s="11"/>
      <c r="L1734" s="11"/>
      <c r="M1734" s="11"/>
      <c r="N1734" s="11"/>
      <c r="O1734" s="11"/>
    </row>
    <row r="1735" spans="1:15" ht="15" thickBot="1" x14ac:dyDescent="0.4">
      <c r="A1735" t="str">
        <f t="shared" si="389"/>
        <v>15DR</v>
      </c>
      <c r="B1735" t="str">
        <f t="shared" si="385"/>
        <v>RMC - South Chain</v>
      </c>
      <c r="C1735" s="19"/>
      <c r="D1735" s="19"/>
      <c r="E1735" s="19"/>
      <c r="F1735" s="19"/>
      <c r="G1735" s="19"/>
      <c r="H1735" s="26"/>
      <c r="I1735" s="3" t="s">
        <v>22</v>
      </c>
      <c r="J1735" s="11" t="s">
        <v>46</v>
      </c>
      <c r="K1735" s="11" t="s">
        <v>46</v>
      </c>
      <c r="L1735" s="11" t="s">
        <v>46</v>
      </c>
      <c r="M1735" s="11" t="s">
        <v>46</v>
      </c>
      <c r="N1735" s="11" t="s">
        <v>46</v>
      </c>
      <c r="O1735" s="11" t="s">
        <v>46</v>
      </c>
    </row>
    <row r="1736" spans="1:15" ht="15" thickBot="1" x14ac:dyDescent="0.4">
      <c r="B1736" t="str">
        <f t="shared" si="385"/>
        <v>RMC - South Chain</v>
      </c>
      <c r="C1736" s="16"/>
      <c r="D1736" s="16"/>
      <c r="E1736" s="16"/>
      <c r="F1736" s="16"/>
      <c r="G1736" s="16" t="s">
        <v>386</v>
      </c>
      <c r="H1736" s="24" t="s">
        <v>30</v>
      </c>
      <c r="I1736" s="1"/>
      <c r="J1736" s="1"/>
      <c r="K1736" s="1"/>
      <c r="L1736" s="1"/>
      <c r="M1736" s="1"/>
      <c r="N1736" s="1"/>
      <c r="O1736" s="1"/>
    </row>
    <row r="1737" spans="1:15" ht="15" thickBot="1" x14ac:dyDescent="0.4">
      <c r="A1737" t="str">
        <f t="shared" si="384"/>
        <v>FC366</v>
      </c>
      <c r="B1737" t="str">
        <f t="shared" si="385"/>
        <v>RMC - South Chain</v>
      </c>
      <c r="C1737" s="18"/>
      <c r="D1737" s="18"/>
      <c r="E1737" s="18"/>
      <c r="F1737" s="18"/>
      <c r="G1737" s="18"/>
      <c r="H1737" s="25"/>
      <c r="I1737" s="3" t="s">
        <v>18</v>
      </c>
      <c r="J1737" s="11"/>
      <c r="K1737" s="11"/>
      <c r="L1737" s="11"/>
      <c r="M1737" s="11"/>
      <c r="N1737" s="11"/>
      <c r="O1737" s="11"/>
    </row>
    <row r="1738" spans="1:15" ht="15" thickBot="1" x14ac:dyDescent="0.4">
      <c r="A1738" t="str">
        <f t="shared" si="386"/>
        <v>FC366</v>
      </c>
      <c r="B1738" t="str">
        <f t="shared" si="385"/>
        <v>RMC - South Chain</v>
      </c>
      <c r="C1738" s="18"/>
      <c r="D1738" s="18"/>
      <c r="E1738" s="18"/>
      <c r="F1738" s="18"/>
      <c r="G1738" s="18"/>
      <c r="H1738" s="25"/>
      <c r="I1738" s="5" t="s">
        <v>19</v>
      </c>
      <c r="J1738" s="11"/>
      <c r="K1738" s="11"/>
      <c r="L1738" s="11"/>
      <c r="M1738" s="11"/>
      <c r="N1738" s="11"/>
      <c r="O1738" s="11"/>
    </row>
    <row r="1739" spans="1:15" ht="15" thickBot="1" x14ac:dyDescent="0.4">
      <c r="A1739" t="str">
        <f t="shared" si="387"/>
        <v>FC366</v>
      </c>
      <c r="B1739" t="str">
        <f t="shared" si="385"/>
        <v>RMC - South Chain</v>
      </c>
      <c r="C1739" s="18"/>
      <c r="D1739" s="18"/>
      <c r="E1739" s="18"/>
      <c r="F1739" s="18"/>
      <c r="G1739" s="18"/>
      <c r="H1739" s="25"/>
      <c r="I1739" s="3" t="s">
        <v>20</v>
      </c>
      <c r="J1739" s="11"/>
      <c r="K1739" s="11"/>
      <c r="L1739" s="11"/>
      <c r="M1739" s="11"/>
      <c r="N1739" s="11"/>
      <c r="O1739" s="11"/>
    </row>
    <row r="1740" spans="1:15" ht="15" thickBot="1" x14ac:dyDescent="0.4">
      <c r="A1740" t="str">
        <f t="shared" si="388"/>
        <v>FC366</v>
      </c>
      <c r="B1740" t="str">
        <f t="shared" si="385"/>
        <v>RMC - South Chain</v>
      </c>
      <c r="C1740" s="18"/>
      <c r="D1740" s="18"/>
      <c r="E1740" s="18"/>
      <c r="F1740" s="18"/>
      <c r="G1740" s="18"/>
      <c r="H1740" s="25"/>
      <c r="I1740" s="5" t="s">
        <v>21</v>
      </c>
      <c r="J1740" s="11"/>
      <c r="K1740" s="11"/>
      <c r="L1740" s="11"/>
      <c r="M1740" s="11"/>
      <c r="N1740" s="11"/>
      <c r="O1740" s="11"/>
    </row>
    <row r="1741" spans="1:15" ht="15" thickBot="1" x14ac:dyDescent="0.4">
      <c r="A1741" t="str">
        <f t="shared" si="389"/>
        <v>FC366</v>
      </c>
      <c r="B1741" t="str">
        <f t="shared" si="385"/>
        <v>RMC - South Chain</v>
      </c>
      <c r="C1741" s="19"/>
      <c r="D1741" s="19"/>
      <c r="E1741" s="19"/>
      <c r="F1741" s="19"/>
      <c r="G1741" s="19"/>
      <c r="H1741" s="26"/>
      <c r="I1741" s="3" t="s">
        <v>22</v>
      </c>
      <c r="J1741" s="11" t="s">
        <v>27</v>
      </c>
      <c r="K1741" s="11" t="s">
        <v>31</v>
      </c>
      <c r="L1741" s="11" t="s">
        <v>45</v>
      </c>
      <c r="M1741" s="11" t="s">
        <v>46</v>
      </c>
      <c r="N1741" s="11" t="s">
        <v>46</v>
      </c>
      <c r="O1741" s="11" t="s">
        <v>46</v>
      </c>
    </row>
    <row r="1742" spans="1:15" ht="15" thickBot="1" x14ac:dyDescent="0.4">
      <c r="B1742" t="str">
        <f t="shared" si="385"/>
        <v>RMC - South Chain</v>
      </c>
      <c r="C1742" s="16"/>
      <c r="D1742" s="16"/>
      <c r="E1742" s="16"/>
      <c r="F1742" s="16"/>
      <c r="G1742" s="16" t="s">
        <v>387</v>
      </c>
      <c r="H1742" s="20" t="s">
        <v>17</v>
      </c>
      <c r="I1742" s="1"/>
      <c r="J1742" s="1"/>
      <c r="K1742" s="1"/>
      <c r="L1742" s="1"/>
      <c r="M1742" s="1"/>
      <c r="N1742" s="1"/>
      <c r="O1742" s="1"/>
    </row>
    <row r="1743" spans="1:15" ht="15" thickBot="1" x14ac:dyDescent="0.4">
      <c r="A1743" t="str">
        <f t="shared" si="384"/>
        <v>FC238</v>
      </c>
      <c r="B1743" t="str">
        <f t="shared" si="385"/>
        <v>RMC - South Chain</v>
      </c>
      <c r="C1743" s="18"/>
      <c r="D1743" s="18"/>
      <c r="E1743" s="18"/>
      <c r="F1743" s="18"/>
      <c r="G1743" s="18"/>
      <c r="H1743" s="22"/>
      <c r="I1743" s="3" t="s">
        <v>18</v>
      </c>
      <c r="J1743" s="4">
        <v>30</v>
      </c>
      <c r="K1743" s="4">
        <v>30</v>
      </c>
      <c r="L1743" s="4">
        <v>30</v>
      </c>
      <c r="M1743" s="4">
        <v>30</v>
      </c>
      <c r="N1743" s="11"/>
      <c r="O1743" s="11"/>
    </row>
    <row r="1744" spans="1:15" ht="15" thickBot="1" x14ac:dyDescent="0.4">
      <c r="A1744" t="str">
        <f t="shared" si="386"/>
        <v>FC238</v>
      </c>
      <c r="B1744" t="str">
        <f t="shared" si="385"/>
        <v>RMC - South Chain</v>
      </c>
      <c r="C1744" s="18"/>
      <c r="D1744" s="18"/>
      <c r="E1744" s="18"/>
      <c r="F1744" s="18"/>
      <c r="G1744" s="18"/>
      <c r="H1744" s="22"/>
      <c r="I1744" s="5" t="s">
        <v>19</v>
      </c>
      <c r="J1744" s="8">
        <v>39</v>
      </c>
      <c r="K1744" s="8">
        <v>39</v>
      </c>
      <c r="L1744" s="8">
        <v>33</v>
      </c>
      <c r="M1744" s="8">
        <v>30</v>
      </c>
      <c r="N1744" s="11"/>
      <c r="O1744" s="11"/>
    </row>
    <row r="1745" spans="1:15" ht="15" thickBot="1" x14ac:dyDescent="0.4">
      <c r="A1745" t="str">
        <f t="shared" si="387"/>
        <v>FC238</v>
      </c>
      <c r="B1745" t="str">
        <f t="shared" si="385"/>
        <v>RMC - South Chain</v>
      </c>
      <c r="C1745" s="18"/>
      <c r="D1745" s="18"/>
      <c r="E1745" s="18"/>
      <c r="F1745" s="18"/>
      <c r="G1745" s="18"/>
      <c r="H1745" s="22"/>
      <c r="I1745" s="3" t="s">
        <v>20</v>
      </c>
      <c r="J1745" s="10">
        <v>15.9</v>
      </c>
      <c r="K1745" s="10">
        <v>17.399999999999999</v>
      </c>
      <c r="L1745" s="9">
        <v>30.4</v>
      </c>
      <c r="M1745" s="10">
        <v>17.3</v>
      </c>
      <c r="N1745" s="11"/>
      <c r="O1745" s="11"/>
    </row>
    <row r="1746" spans="1:15" ht="15" thickBot="1" x14ac:dyDescent="0.4">
      <c r="A1746" t="str">
        <f t="shared" si="388"/>
        <v>FC238</v>
      </c>
      <c r="B1746" t="str">
        <f t="shared" si="385"/>
        <v>RMC - South Chain</v>
      </c>
      <c r="C1746" s="18"/>
      <c r="D1746" s="18"/>
      <c r="E1746" s="18"/>
      <c r="F1746" s="18"/>
      <c r="G1746" s="18"/>
      <c r="H1746" s="22"/>
      <c r="I1746" s="5" t="s">
        <v>21</v>
      </c>
      <c r="J1746" s="10">
        <v>0.83</v>
      </c>
      <c r="K1746" s="9">
        <v>0.74</v>
      </c>
      <c r="L1746" s="8">
        <v>0.36</v>
      </c>
      <c r="M1746" s="9">
        <v>0.57999999999999996</v>
      </c>
      <c r="N1746" s="11"/>
      <c r="O1746" s="11"/>
    </row>
    <row r="1747" spans="1:15" ht="15" thickBot="1" x14ac:dyDescent="0.4">
      <c r="A1747" t="str">
        <f t="shared" si="389"/>
        <v>FC238</v>
      </c>
      <c r="B1747" t="str">
        <f t="shared" si="385"/>
        <v>RMC - South Chain</v>
      </c>
      <c r="C1747" s="19"/>
      <c r="D1747" s="19"/>
      <c r="E1747" s="19"/>
      <c r="F1747" s="19"/>
      <c r="G1747" s="19"/>
      <c r="H1747" s="23"/>
      <c r="I1747" s="3" t="s">
        <v>22</v>
      </c>
      <c r="J1747" s="9" t="s">
        <v>25</v>
      </c>
      <c r="K1747" s="9" t="s">
        <v>25</v>
      </c>
      <c r="L1747" s="8" t="s">
        <v>23</v>
      </c>
      <c r="M1747" s="9" t="s">
        <v>25</v>
      </c>
      <c r="N1747" s="11" t="s">
        <v>45</v>
      </c>
      <c r="O1747" s="11" t="s">
        <v>46</v>
      </c>
    </row>
    <row r="1748" spans="1:15" ht="15" thickBot="1" x14ac:dyDescent="0.4">
      <c r="B1748" t="str">
        <f t="shared" si="385"/>
        <v>RMC - South Chain</v>
      </c>
      <c r="C1748" s="16"/>
      <c r="D1748" s="16"/>
      <c r="E1748" s="16"/>
      <c r="F1748" s="16"/>
      <c r="G1748" s="16" t="s">
        <v>388</v>
      </c>
      <c r="H1748" s="20" t="s">
        <v>17</v>
      </c>
      <c r="I1748" s="1"/>
      <c r="J1748" s="1"/>
      <c r="K1748" s="1"/>
      <c r="L1748" s="1"/>
      <c r="M1748" s="1"/>
      <c r="N1748" s="1"/>
      <c r="O1748" s="1"/>
    </row>
    <row r="1749" spans="1:15" ht="15" thickBot="1" x14ac:dyDescent="0.4">
      <c r="A1749" t="str">
        <f t="shared" si="384"/>
        <v>FC310</v>
      </c>
      <c r="B1749" t="str">
        <f t="shared" si="385"/>
        <v>RMC - South Chain</v>
      </c>
      <c r="C1749" s="18"/>
      <c r="D1749" s="18"/>
      <c r="E1749" s="18"/>
      <c r="F1749" s="18"/>
      <c r="G1749" s="18"/>
      <c r="H1749" s="22"/>
      <c r="I1749" s="3" t="s">
        <v>18</v>
      </c>
      <c r="J1749" s="11"/>
      <c r="K1749" s="11"/>
      <c r="L1749" s="11"/>
      <c r="M1749" s="11"/>
      <c r="N1749" s="8">
        <v>29</v>
      </c>
      <c r="O1749" s="8">
        <v>27</v>
      </c>
    </row>
    <row r="1750" spans="1:15" ht="15" thickBot="1" x14ac:dyDescent="0.4">
      <c r="A1750" t="str">
        <f t="shared" si="386"/>
        <v>FC310</v>
      </c>
      <c r="B1750" t="str">
        <f t="shared" si="385"/>
        <v>RMC - South Chain</v>
      </c>
      <c r="C1750" s="18"/>
      <c r="D1750" s="18"/>
      <c r="E1750" s="18"/>
      <c r="F1750" s="18"/>
      <c r="G1750" s="18"/>
      <c r="H1750" s="22"/>
      <c r="I1750" s="5" t="s">
        <v>19</v>
      </c>
      <c r="J1750" s="11"/>
      <c r="K1750" s="11"/>
      <c r="L1750" s="11"/>
      <c r="M1750" s="11"/>
      <c r="N1750" s="8">
        <v>42</v>
      </c>
      <c r="O1750" s="6">
        <v>61</v>
      </c>
    </row>
    <row r="1751" spans="1:15" ht="15" thickBot="1" x14ac:dyDescent="0.4">
      <c r="A1751" t="str">
        <f t="shared" si="387"/>
        <v>FC310</v>
      </c>
      <c r="B1751" t="str">
        <f t="shared" si="385"/>
        <v>RMC - South Chain</v>
      </c>
      <c r="C1751" s="18"/>
      <c r="D1751" s="18"/>
      <c r="E1751" s="18"/>
      <c r="F1751" s="18"/>
      <c r="G1751" s="18"/>
      <c r="H1751" s="22"/>
      <c r="I1751" s="3" t="s">
        <v>20</v>
      </c>
      <c r="J1751" s="11"/>
      <c r="K1751" s="11"/>
      <c r="L1751" s="11"/>
      <c r="M1751" s="11"/>
      <c r="N1751" s="10">
        <v>23.1</v>
      </c>
      <c r="O1751" s="10">
        <v>20.8</v>
      </c>
    </row>
    <row r="1752" spans="1:15" ht="15" thickBot="1" x14ac:dyDescent="0.4">
      <c r="A1752" t="str">
        <f t="shared" si="388"/>
        <v>FC310</v>
      </c>
      <c r="B1752" t="str">
        <f t="shared" si="385"/>
        <v>RMC - South Chain</v>
      </c>
      <c r="C1752" s="18"/>
      <c r="D1752" s="18"/>
      <c r="E1752" s="18"/>
      <c r="F1752" s="18"/>
      <c r="G1752" s="18"/>
      <c r="H1752" s="22"/>
      <c r="I1752" s="5" t="s">
        <v>21</v>
      </c>
      <c r="J1752" s="11"/>
      <c r="K1752" s="11"/>
      <c r="L1752" s="11"/>
      <c r="M1752" s="11"/>
      <c r="N1752" s="9">
        <v>0.61</v>
      </c>
      <c r="O1752" s="10">
        <v>0.98</v>
      </c>
    </row>
    <row r="1753" spans="1:15" ht="15" thickBot="1" x14ac:dyDescent="0.4">
      <c r="A1753" t="str">
        <f t="shared" si="389"/>
        <v>FC310</v>
      </c>
      <c r="B1753" t="str">
        <f t="shared" si="385"/>
        <v>RMC - South Chain</v>
      </c>
      <c r="C1753" s="19"/>
      <c r="D1753" s="19"/>
      <c r="E1753" s="19"/>
      <c r="F1753" s="19"/>
      <c r="G1753" s="19"/>
      <c r="H1753" s="23"/>
      <c r="I1753" s="3" t="s">
        <v>22</v>
      </c>
      <c r="J1753" s="11" t="s">
        <v>45</v>
      </c>
      <c r="K1753" s="11" t="s">
        <v>45</v>
      </c>
      <c r="L1753" s="11" t="s">
        <v>46</v>
      </c>
      <c r="M1753" s="11" t="s">
        <v>46</v>
      </c>
      <c r="N1753" s="9" t="s">
        <v>25</v>
      </c>
      <c r="O1753" s="10" t="s">
        <v>24</v>
      </c>
    </row>
    <row r="1754" spans="1:15" ht="15" thickBot="1" x14ac:dyDescent="0.4">
      <c r="B1754" t="str">
        <f t="shared" si="385"/>
        <v>RMC - South Chain</v>
      </c>
      <c r="C1754" s="16"/>
      <c r="D1754" s="16"/>
      <c r="E1754" s="16"/>
      <c r="F1754" s="16"/>
      <c r="G1754" s="16" t="s">
        <v>389</v>
      </c>
      <c r="H1754" s="24" t="s">
        <v>30</v>
      </c>
      <c r="I1754" s="1"/>
      <c r="J1754" s="1"/>
      <c r="K1754" s="1"/>
      <c r="L1754" s="1"/>
      <c r="M1754" s="1"/>
      <c r="N1754" s="1"/>
      <c r="O1754" s="1"/>
    </row>
    <row r="1755" spans="1:15" ht="15" thickBot="1" x14ac:dyDescent="0.4">
      <c r="A1755" t="str">
        <f t="shared" si="384"/>
        <v>FC218</v>
      </c>
      <c r="B1755" t="str">
        <f t="shared" si="385"/>
        <v>RMC - South Chain</v>
      </c>
      <c r="C1755" s="18"/>
      <c r="D1755" s="18"/>
      <c r="E1755" s="18"/>
      <c r="F1755" s="18"/>
      <c r="G1755" s="18"/>
      <c r="H1755" s="25"/>
      <c r="I1755" s="3" t="s">
        <v>18</v>
      </c>
      <c r="J1755" s="11"/>
      <c r="K1755" s="11"/>
      <c r="L1755" s="11"/>
      <c r="M1755" s="11"/>
      <c r="N1755" s="11"/>
      <c r="O1755" s="11"/>
    </row>
    <row r="1756" spans="1:15" ht="15" thickBot="1" x14ac:dyDescent="0.4">
      <c r="A1756" t="str">
        <f t="shared" si="386"/>
        <v>FC218</v>
      </c>
      <c r="B1756" t="str">
        <f t="shared" si="385"/>
        <v>RMC - South Chain</v>
      </c>
      <c r="C1756" s="18"/>
      <c r="D1756" s="18"/>
      <c r="E1756" s="18"/>
      <c r="F1756" s="18"/>
      <c r="G1756" s="18"/>
      <c r="H1756" s="25"/>
      <c r="I1756" s="5" t="s">
        <v>19</v>
      </c>
      <c r="J1756" s="11"/>
      <c r="K1756" s="11"/>
      <c r="L1756" s="11"/>
      <c r="M1756" s="11"/>
      <c r="N1756" s="11"/>
      <c r="O1756" s="11"/>
    </row>
    <row r="1757" spans="1:15" ht="15" thickBot="1" x14ac:dyDescent="0.4">
      <c r="A1757" t="str">
        <f t="shared" si="387"/>
        <v>FC218</v>
      </c>
      <c r="B1757" t="str">
        <f t="shared" si="385"/>
        <v>RMC - South Chain</v>
      </c>
      <c r="C1757" s="18"/>
      <c r="D1757" s="18"/>
      <c r="E1757" s="18"/>
      <c r="F1757" s="18"/>
      <c r="G1757" s="18"/>
      <c r="H1757" s="25"/>
      <c r="I1757" s="3" t="s">
        <v>20</v>
      </c>
      <c r="J1757" s="11"/>
      <c r="K1757" s="11"/>
      <c r="L1757" s="11"/>
      <c r="M1757" s="11"/>
      <c r="N1757" s="11"/>
      <c r="O1757" s="11"/>
    </row>
    <row r="1758" spans="1:15" ht="15" thickBot="1" x14ac:dyDescent="0.4">
      <c r="A1758" t="str">
        <f t="shared" si="388"/>
        <v>FC218</v>
      </c>
      <c r="B1758" t="str">
        <f t="shared" si="385"/>
        <v>RMC - South Chain</v>
      </c>
      <c r="C1758" s="18"/>
      <c r="D1758" s="18"/>
      <c r="E1758" s="18"/>
      <c r="F1758" s="18"/>
      <c r="G1758" s="18"/>
      <c r="H1758" s="25"/>
      <c r="I1758" s="5" t="s">
        <v>21</v>
      </c>
      <c r="J1758" s="11"/>
      <c r="K1758" s="11"/>
      <c r="L1758" s="11"/>
      <c r="M1758" s="11"/>
      <c r="N1758" s="11"/>
      <c r="O1758" s="11"/>
    </row>
    <row r="1759" spans="1:15" ht="15" thickBot="1" x14ac:dyDescent="0.4">
      <c r="A1759" t="str">
        <f t="shared" si="389"/>
        <v>FC218</v>
      </c>
      <c r="B1759" t="str">
        <f t="shared" si="385"/>
        <v>RMC - South Chain</v>
      </c>
      <c r="C1759" s="19"/>
      <c r="D1759" s="19"/>
      <c r="E1759" s="19"/>
      <c r="F1759" s="19"/>
      <c r="G1759" s="19"/>
      <c r="H1759" s="26"/>
      <c r="I1759" s="3" t="s">
        <v>22</v>
      </c>
      <c r="J1759" s="11" t="s">
        <v>46</v>
      </c>
      <c r="K1759" s="11" t="s">
        <v>45</v>
      </c>
      <c r="L1759" s="11" t="s">
        <v>45</v>
      </c>
      <c r="M1759" s="11" t="s">
        <v>46</v>
      </c>
      <c r="N1759" s="11" t="s">
        <v>45</v>
      </c>
      <c r="O1759" s="11" t="s">
        <v>46</v>
      </c>
    </row>
    <row r="1760" spans="1:15" ht="15" thickBot="1" x14ac:dyDescent="0.4">
      <c r="B1760" t="str">
        <f t="shared" si="385"/>
        <v>RMC - South Chain</v>
      </c>
      <c r="C1760" s="16"/>
      <c r="D1760" s="16"/>
      <c r="E1760" s="16"/>
      <c r="F1760" s="16"/>
      <c r="G1760" s="16" t="s">
        <v>390</v>
      </c>
      <c r="H1760" s="20" t="s">
        <v>17</v>
      </c>
      <c r="I1760" s="1"/>
      <c r="J1760" s="1"/>
      <c r="K1760" s="1"/>
      <c r="L1760" s="1"/>
      <c r="M1760" s="1"/>
      <c r="N1760" s="1"/>
      <c r="O1760" s="1"/>
    </row>
    <row r="1761" spans="1:15" ht="15" thickBot="1" x14ac:dyDescent="0.4">
      <c r="A1761" t="str">
        <f t="shared" ref="A1761:A1824" si="390">IF(LEFT(G1760,2)="FC",LEFT(G1760,5),LEFT(G1760,4))</f>
        <v>FC027</v>
      </c>
      <c r="B1761" t="str">
        <f t="shared" si="385"/>
        <v>RMC - South Chain</v>
      </c>
      <c r="C1761" s="18"/>
      <c r="D1761" s="18"/>
      <c r="E1761" s="18"/>
      <c r="F1761" s="18"/>
      <c r="G1761" s="18"/>
      <c r="H1761" s="22"/>
      <c r="I1761" s="3" t="s">
        <v>18</v>
      </c>
      <c r="J1761" s="4">
        <v>30</v>
      </c>
      <c r="K1761" s="4">
        <v>30</v>
      </c>
      <c r="L1761" s="4">
        <v>30</v>
      </c>
      <c r="M1761" s="4">
        <v>30</v>
      </c>
      <c r="N1761" s="8">
        <v>15</v>
      </c>
      <c r="O1761" s="4">
        <v>30</v>
      </c>
    </row>
    <row r="1762" spans="1:15" ht="15" thickBot="1" x14ac:dyDescent="0.4">
      <c r="A1762" t="str">
        <f t="shared" si="386"/>
        <v>FC027</v>
      </c>
      <c r="B1762" t="str">
        <f t="shared" si="385"/>
        <v>RMC - South Chain</v>
      </c>
      <c r="C1762" s="18"/>
      <c r="D1762" s="18"/>
      <c r="E1762" s="18"/>
      <c r="F1762" s="18"/>
      <c r="G1762" s="18"/>
      <c r="H1762" s="22"/>
      <c r="I1762" s="5" t="s">
        <v>19</v>
      </c>
      <c r="J1762" s="6">
        <v>52</v>
      </c>
      <c r="K1762" s="7">
        <v>70</v>
      </c>
      <c r="L1762" s="7">
        <v>80</v>
      </c>
      <c r="M1762" s="9">
        <v>121</v>
      </c>
      <c r="N1762" s="7">
        <v>77</v>
      </c>
      <c r="O1762" s="6">
        <v>52</v>
      </c>
    </row>
    <row r="1763" spans="1:15" ht="15" thickBot="1" x14ac:dyDescent="0.4">
      <c r="A1763" t="str">
        <f t="shared" si="387"/>
        <v>FC027</v>
      </c>
      <c r="B1763" t="str">
        <f t="shared" si="385"/>
        <v>RMC - South Chain</v>
      </c>
      <c r="C1763" s="18"/>
      <c r="D1763" s="18"/>
      <c r="E1763" s="18"/>
      <c r="F1763" s="18"/>
      <c r="G1763" s="18"/>
      <c r="H1763" s="22"/>
      <c r="I1763" s="3" t="s">
        <v>20</v>
      </c>
      <c r="J1763" s="10">
        <v>24.7</v>
      </c>
      <c r="K1763" s="10">
        <v>24.2</v>
      </c>
      <c r="L1763" s="8">
        <v>62.7</v>
      </c>
      <c r="M1763" s="9">
        <v>33.6</v>
      </c>
      <c r="N1763" s="6">
        <v>47.9</v>
      </c>
      <c r="O1763" s="7">
        <v>37.1</v>
      </c>
    </row>
    <row r="1764" spans="1:15" ht="15" thickBot="1" x14ac:dyDescent="0.4">
      <c r="A1764" t="str">
        <f t="shared" si="388"/>
        <v>FC027</v>
      </c>
      <c r="B1764" t="str">
        <f t="shared" si="385"/>
        <v>RMC - South Chain</v>
      </c>
      <c r="C1764" s="18"/>
      <c r="D1764" s="18"/>
      <c r="E1764" s="18"/>
      <c r="F1764" s="18"/>
      <c r="G1764" s="18"/>
      <c r="H1764" s="22"/>
      <c r="I1764" s="5" t="s">
        <v>21</v>
      </c>
      <c r="J1764" s="9">
        <v>0.7</v>
      </c>
      <c r="K1764" s="10">
        <v>0.96</v>
      </c>
      <c r="L1764" s="8">
        <v>0.43</v>
      </c>
      <c r="M1764" s="10">
        <v>1.2</v>
      </c>
      <c r="N1764" s="8">
        <v>0.54</v>
      </c>
      <c r="O1764" s="8">
        <v>0.46</v>
      </c>
    </row>
    <row r="1765" spans="1:15" ht="15" thickBot="1" x14ac:dyDescent="0.4">
      <c r="A1765" t="str">
        <f t="shared" si="389"/>
        <v>FC027</v>
      </c>
      <c r="B1765" t="str">
        <f t="shared" ref="B1765:B1828" si="391">$D$1700</f>
        <v>RMC - South Chain</v>
      </c>
      <c r="C1765" s="19"/>
      <c r="D1765" s="19"/>
      <c r="E1765" s="19"/>
      <c r="F1765" s="19"/>
      <c r="G1765" s="19"/>
      <c r="H1765" s="23"/>
      <c r="I1765" s="3" t="s">
        <v>22</v>
      </c>
      <c r="J1765" s="9" t="s">
        <v>25</v>
      </c>
      <c r="K1765" s="11"/>
      <c r="L1765" s="11"/>
      <c r="M1765" s="11"/>
      <c r="N1765" s="8" t="s">
        <v>23</v>
      </c>
      <c r="O1765" s="11"/>
    </row>
    <row r="1766" spans="1:15" ht="15" thickBot="1" x14ac:dyDescent="0.4">
      <c r="B1766" t="str">
        <f t="shared" si="391"/>
        <v>RMC - South Chain</v>
      </c>
      <c r="C1766" s="16"/>
      <c r="D1766" s="16"/>
      <c r="E1766" s="16"/>
      <c r="F1766" s="16"/>
      <c r="G1766" s="16" t="s">
        <v>391</v>
      </c>
      <c r="H1766" s="24" t="s">
        <v>30</v>
      </c>
      <c r="I1766" s="1"/>
      <c r="J1766" s="1"/>
      <c r="K1766" s="1"/>
      <c r="L1766" s="1"/>
      <c r="M1766" s="1"/>
      <c r="N1766" s="1"/>
      <c r="O1766" s="1"/>
    </row>
    <row r="1767" spans="1:15" ht="15" thickBot="1" x14ac:dyDescent="0.4">
      <c r="A1767" t="str">
        <f t="shared" si="390"/>
        <v>FC058</v>
      </c>
      <c r="B1767" t="str">
        <f t="shared" si="391"/>
        <v>RMC - South Chain</v>
      </c>
      <c r="C1767" s="18"/>
      <c r="D1767" s="18"/>
      <c r="E1767" s="18"/>
      <c r="F1767" s="18"/>
      <c r="G1767" s="18"/>
      <c r="H1767" s="25"/>
      <c r="I1767" s="3" t="s">
        <v>18</v>
      </c>
      <c r="J1767" s="11"/>
      <c r="K1767" s="8">
        <v>17</v>
      </c>
      <c r="L1767" s="11"/>
      <c r="M1767" s="11"/>
      <c r="N1767" s="11"/>
      <c r="O1767" s="11"/>
    </row>
    <row r="1768" spans="1:15" ht="15" thickBot="1" x14ac:dyDescent="0.4">
      <c r="A1768" t="str">
        <f t="shared" ref="A1768:A1828" si="392">IF(LEFT(G1766,2)="FC",LEFT(G1766,5),LEFT(G1766,4))</f>
        <v>FC058</v>
      </c>
      <c r="B1768" t="str">
        <f t="shared" si="391"/>
        <v>RMC - South Chain</v>
      </c>
      <c r="C1768" s="18"/>
      <c r="D1768" s="18"/>
      <c r="E1768" s="18"/>
      <c r="F1768" s="18"/>
      <c r="G1768" s="18"/>
      <c r="H1768" s="25"/>
      <c r="I1768" s="5" t="s">
        <v>19</v>
      </c>
      <c r="J1768" s="11"/>
      <c r="K1768" s="9">
        <v>96</v>
      </c>
      <c r="L1768" s="11"/>
      <c r="M1768" s="11"/>
      <c r="N1768" s="11"/>
      <c r="O1768" s="11"/>
    </row>
    <row r="1769" spans="1:15" ht="15" thickBot="1" x14ac:dyDescent="0.4">
      <c r="A1769" t="str">
        <f t="shared" ref="A1769:A1829" si="393">IF(LEFT(G1766,2)="FC",LEFT(G1766,5),LEFT(G1766,4))</f>
        <v>FC058</v>
      </c>
      <c r="B1769" t="str">
        <f t="shared" si="391"/>
        <v>RMC - South Chain</v>
      </c>
      <c r="C1769" s="18"/>
      <c r="D1769" s="18"/>
      <c r="E1769" s="18"/>
      <c r="F1769" s="18"/>
      <c r="G1769" s="18"/>
      <c r="H1769" s="25"/>
      <c r="I1769" s="3" t="s">
        <v>20</v>
      </c>
      <c r="J1769" s="11"/>
      <c r="K1769" s="9">
        <v>34.5</v>
      </c>
      <c r="L1769" s="11"/>
      <c r="M1769" s="11"/>
      <c r="N1769" s="11"/>
      <c r="O1769" s="11"/>
    </row>
    <row r="1770" spans="1:15" ht="15" thickBot="1" x14ac:dyDescent="0.4">
      <c r="A1770" t="str">
        <f t="shared" ref="A1770:A1830" si="394">IF(LEFT(G1766,2)="FC",LEFT(G1766,5),LEFT(G1766,4))</f>
        <v>FC058</v>
      </c>
      <c r="B1770" t="str">
        <f t="shared" si="391"/>
        <v>RMC - South Chain</v>
      </c>
      <c r="C1770" s="18"/>
      <c r="D1770" s="18"/>
      <c r="E1770" s="18"/>
      <c r="F1770" s="18"/>
      <c r="G1770" s="18"/>
      <c r="H1770" s="25"/>
      <c r="I1770" s="5" t="s">
        <v>21</v>
      </c>
      <c r="J1770" s="11"/>
      <c r="K1770" s="10">
        <v>0.93</v>
      </c>
      <c r="L1770" s="11"/>
      <c r="M1770" s="11"/>
      <c r="N1770" s="11"/>
      <c r="O1770" s="11"/>
    </row>
    <row r="1771" spans="1:15" ht="15" thickBot="1" x14ac:dyDescent="0.4">
      <c r="A1771" t="str">
        <f t="shared" ref="A1771:A1831" si="395">IF(LEFT(G1766,2)="FC",LEFT(G1766,5),LEFT(G1766,4))</f>
        <v>FC058</v>
      </c>
      <c r="B1771" t="str">
        <f t="shared" si="391"/>
        <v>RMC - South Chain</v>
      </c>
      <c r="C1771" s="19"/>
      <c r="D1771" s="19"/>
      <c r="E1771" s="19"/>
      <c r="F1771" s="19"/>
      <c r="G1771" s="19"/>
      <c r="H1771" s="26"/>
      <c r="I1771" s="3" t="s">
        <v>22</v>
      </c>
      <c r="J1771" s="11" t="s">
        <v>31</v>
      </c>
      <c r="K1771" s="10" t="s">
        <v>24</v>
      </c>
      <c r="L1771" s="11" t="s">
        <v>27</v>
      </c>
      <c r="M1771" s="11" t="s">
        <v>31</v>
      </c>
      <c r="N1771" s="11" t="s">
        <v>45</v>
      </c>
      <c r="O1771" s="11" t="s">
        <v>45</v>
      </c>
    </row>
    <row r="1772" spans="1:15" ht="15" thickBot="1" x14ac:dyDescent="0.4">
      <c r="B1772" t="str">
        <f t="shared" si="391"/>
        <v>RMC - South Chain</v>
      </c>
      <c r="C1772" s="16"/>
      <c r="D1772" s="16"/>
      <c r="E1772" s="16"/>
      <c r="F1772" s="16"/>
      <c r="G1772" s="16" t="s">
        <v>392</v>
      </c>
      <c r="H1772" s="20" t="s">
        <v>17</v>
      </c>
      <c r="I1772" s="1"/>
      <c r="J1772" s="1"/>
      <c r="K1772" s="1"/>
      <c r="L1772" s="1"/>
      <c r="M1772" s="1"/>
      <c r="N1772" s="1"/>
      <c r="O1772" s="1"/>
    </row>
    <row r="1773" spans="1:15" ht="15" thickBot="1" x14ac:dyDescent="0.4">
      <c r="A1773" t="str">
        <f t="shared" si="390"/>
        <v>FC212</v>
      </c>
      <c r="B1773" t="str">
        <f t="shared" si="391"/>
        <v>RMC - South Chain</v>
      </c>
      <c r="C1773" s="18"/>
      <c r="D1773" s="18"/>
      <c r="E1773" s="18"/>
      <c r="F1773" s="18"/>
      <c r="G1773" s="18"/>
      <c r="H1773" s="22"/>
      <c r="I1773" s="3" t="s">
        <v>18</v>
      </c>
      <c r="J1773" s="11"/>
      <c r="K1773" s="11"/>
      <c r="L1773" s="11"/>
      <c r="M1773" s="8">
        <v>18</v>
      </c>
      <c r="N1773" s="4">
        <v>30</v>
      </c>
      <c r="O1773" s="8">
        <v>15</v>
      </c>
    </row>
    <row r="1774" spans="1:15" ht="15" thickBot="1" x14ac:dyDescent="0.4">
      <c r="A1774" t="str">
        <f t="shared" si="392"/>
        <v>FC212</v>
      </c>
      <c r="B1774" t="str">
        <f t="shared" si="391"/>
        <v>RMC - South Chain</v>
      </c>
      <c r="C1774" s="18"/>
      <c r="D1774" s="18"/>
      <c r="E1774" s="18"/>
      <c r="F1774" s="18"/>
      <c r="G1774" s="18"/>
      <c r="H1774" s="22"/>
      <c r="I1774" s="5" t="s">
        <v>19</v>
      </c>
      <c r="J1774" s="11"/>
      <c r="K1774" s="11"/>
      <c r="L1774" s="11"/>
      <c r="M1774" s="9">
        <v>128</v>
      </c>
      <c r="N1774" s="7">
        <v>73</v>
      </c>
      <c r="O1774" s="9">
        <v>115</v>
      </c>
    </row>
    <row r="1775" spans="1:15" ht="15" thickBot="1" x14ac:dyDescent="0.4">
      <c r="A1775" t="str">
        <f t="shared" si="393"/>
        <v>FC212</v>
      </c>
      <c r="B1775" t="str">
        <f t="shared" si="391"/>
        <v>RMC - South Chain</v>
      </c>
      <c r="C1775" s="18"/>
      <c r="D1775" s="18"/>
      <c r="E1775" s="18"/>
      <c r="F1775" s="18"/>
      <c r="G1775" s="18"/>
      <c r="H1775" s="22"/>
      <c r="I1775" s="3" t="s">
        <v>20</v>
      </c>
      <c r="J1775" s="11"/>
      <c r="K1775" s="11"/>
      <c r="L1775" s="11"/>
      <c r="M1775" s="8">
        <v>79.8</v>
      </c>
      <c r="N1775" s="7">
        <v>41.7</v>
      </c>
      <c r="O1775" s="10">
        <v>26.5</v>
      </c>
    </row>
    <row r="1776" spans="1:15" ht="15" thickBot="1" x14ac:dyDescent="0.4">
      <c r="A1776" t="str">
        <f t="shared" si="394"/>
        <v>FC212</v>
      </c>
      <c r="B1776" t="str">
        <f t="shared" si="391"/>
        <v>RMC - South Chain</v>
      </c>
      <c r="C1776" s="18"/>
      <c r="D1776" s="18"/>
      <c r="E1776" s="18"/>
      <c r="F1776" s="18"/>
      <c r="G1776" s="18"/>
      <c r="H1776" s="22"/>
      <c r="I1776" s="5" t="s">
        <v>21</v>
      </c>
      <c r="J1776" s="11"/>
      <c r="K1776" s="11"/>
      <c r="L1776" s="11"/>
      <c r="M1776" s="8">
        <v>0.54</v>
      </c>
      <c r="N1776" s="9">
        <v>0.57999999999999996</v>
      </c>
      <c r="O1776" s="10">
        <v>1.45</v>
      </c>
    </row>
    <row r="1777" spans="1:15" ht="15" thickBot="1" x14ac:dyDescent="0.4">
      <c r="A1777" t="str">
        <f t="shared" si="395"/>
        <v>FC212</v>
      </c>
      <c r="B1777" t="str">
        <f t="shared" si="391"/>
        <v>RMC - South Chain</v>
      </c>
      <c r="C1777" s="19"/>
      <c r="D1777" s="19"/>
      <c r="E1777" s="19"/>
      <c r="F1777" s="19"/>
      <c r="G1777" s="19"/>
      <c r="H1777" s="23"/>
      <c r="I1777" s="3" t="s">
        <v>22</v>
      </c>
      <c r="J1777" s="11" t="s">
        <v>27</v>
      </c>
      <c r="K1777" s="11" t="s">
        <v>45</v>
      </c>
      <c r="L1777" s="11" t="s">
        <v>45</v>
      </c>
      <c r="M1777" s="8" t="s">
        <v>23</v>
      </c>
      <c r="N1777" s="9" t="s">
        <v>25</v>
      </c>
      <c r="O1777" s="10" t="s">
        <v>24</v>
      </c>
    </row>
    <row r="1778" spans="1:15" ht="15" thickBot="1" x14ac:dyDescent="0.4">
      <c r="B1778" t="str">
        <f t="shared" si="391"/>
        <v>RMC - South Chain</v>
      </c>
      <c r="C1778" s="16"/>
      <c r="D1778" s="16"/>
      <c r="E1778" s="16"/>
      <c r="F1778" s="16" t="s">
        <v>393</v>
      </c>
      <c r="G1778" s="16" t="s">
        <v>394</v>
      </c>
      <c r="H1778" s="27" t="s">
        <v>34</v>
      </c>
      <c r="I1778" s="1"/>
      <c r="J1778" s="1"/>
      <c r="K1778" s="1"/>
      <c r="L1778" s="1"/>
      <c r="M1778" s="1"/>
      <c r="N1778" s="1"/>
      <c r="O1778" s="1"/>
    </row>
    <row r="1779" spans="1:15" ht="15" thickBot="1" x14ac:dyDescent="0.4">
      <c r="A1779" t="str">
        <f t="shared" si="390"/>
        <v>FC199</v>
      </c>
      <c r="B1779" t="str">
        <f t="shared" si="391"/>
        <v>RMC - South Chain</v>
      </c>
      <c r="C1779" s="18"/>
      <c r="D1779" s="18"/>
      <c r="E1779" s="18"/>
      <c r="F1779" s="18"/>
      <c r="G1779" s="18"/>
      <c r="H1779" s="28"/>
      <c r="I1779" s="3" t="s">
        <v>18</v>
      </c>
      <c r="J1779" s="8">
        <v>18</v>
      </c>
      <c r="K1779" s="4">
        <v>39</v>
      </c>
      <c r="L1779" s="4">
        <v>30</v>
      </c>
      <c r="M1779" s="4">
        <v>36</v>
      </c>
      <c r="N1779" s="4">
        <v>30</v>
      </c>
      <c r="O1779" s="4">
        <v>36</v>
      </c>
    </row>
    <row r="1780" spans="1:15" ht="15" thickBot="1" x14ac:dyDescent="0.4">
      <c r="A1780" t="str">
        <f t="shared" si="392"/>
        <v>FC199</v>
      </c>
      <c r="B1780" t="str">
        <f t="shared" si="391"/>
        <v>RMC - South Chain</v>
      </c>
      <c r="C1780" s="18"/>
      <c r="D1780" s="18"/>
      <c r="E1780" s="18"/>
      <c r="F1780" s="18"/>
      <c r="G1780" s="18"/>
      <c r="H1780" s="28"/>
      <c r="I1780" s="5" t="s">
        <v>19</v>
      </c>
      <c r="J1780" s="6">
        <v>58</v>
      </c>
      <c r="K1780" s="8">
        <v>48</v>
      </c>
      <c r="L1780" s="6">
        <v>68</v>
      </c>
      <c r="M1780" s="7">
        <v>84</v>
      </c>
      <c r="N1780" s="9">
        <v>93</v>
      </c>
      <c r="O1780" s="7">
        <v>77</v>
      </c>
    </row>
    <row r="1781" spans="1:15" ht="15" thickBot="1" x14ac:dyDescent="0.4">
      <c r="A1781" t="str">
        <f t="shared" si="393"/>
        <v>FC199</v>
      </c>
      <c r="B1781" t="str">
        <f t="shared" si="391"/>
        <v>RMC - South Chain</v>
      </c>
      <c r="C1781" s="18"/>
      <c r="D1781" s="18"/>
      <c r="E1781" s="18"/>
      <c r="F1781" s="18"/>
      <c r="G1781" s="18"/>
      <c r="H1781" s="28"/>
      <c r="I1781" s="3" t="s">
        <v>20</v>
      </c>
      <c r="J1781" s="7">
        <v>38.5</v>
      </c>
      <c r="K1781" s="10">
        <v>16.8</v>
      </c>
      <c r="L1781" s="10">
        <v>27.7</v>
      </c>
      <c r="M1781" s="10">
        <v>20.5</v>
      </c>
      <c r="N1781" s="6">
        <v>43.4</v>
      </c>
      <c r="O1781" s="10">
        <v>15.2</v>
      </c>
    </row>
    <row r="1782" spans="1:15" ht="15" thickBot="1" x14ac:dyDescent="0.4">
      <c r="A1782" t="str">
        <f t="shared" si="394"/>
        <v>FC199</v>
      </c>
      <c r="B1782" t="str">
        <f t="shared" si="391"/>
        <v>RMC - South Chain</v>
      </c>
      <c r="C1782" s="18"/>
      <c r="D1782" s="18"/>
      <c r="E1782" s="18"/>
      <c r="F1782" s="18"/>
      <c r="G1782" s="18"/>
      <c r="H1782" s="28"/>
      <c r="I1782" s="5" t="s">
        <v>21</v>
      </c>
      <c r="J1782" s="8">
        <v>0.5</v>
      </c>
      <c r="K1782" s="10">
        <v>0.95</v>
      </c>
      <c r="L1782" s="10">
        <v>0.82</v>
      </c>
      <c r="M1782" s="10">
        <v>1.36</v>
      </c>
      <c r="N1782" s="9">
        <v>0.72</v>
      </c>
      <c r="O1782" s="10">
        <v>1.68</v>
      </c>
    </row>
    <row r="1783" spans="1:15" ht="15" thickBot="1" x14ac:dyDescent="0.4">
      <c r="A1783" t="str">
        <f t="shared" si="395"/>
        <v>FC199</v>
      </c>
      <c r="B1783" t="str">
        <f t="shared" si="391"/>
        <v>RMC - South Chain</v>
      </c>
      <c r="C1783" s="19"/>
      <c r="D1783" s="19"/>
      <c r="E1783" s="19"/>
      <c r="F1783" s="19"/>
      <c r="G1783" s="19"/>
      <c r="H1783" s="29"/>
      <c r="I1783" s="3" t="s">
        <v>22</v>
      </c>
      <c r="J1783" s="8" t="s">
        <v>23</v>
      </c>
      <c r="K1783" s="11"/>
      <c r="L1783" s="10" t="s">
        <v>24</v>
      </c>
      <c r="M1783" s="11"/>
      <c r="N1783" s="11"/>
      <c r="O1783" s="11"/>
    </row>
    <row r="1784" spans="1:15" ht="15" thickBot="1" x14ac:dyDescent="0.4">
      <c r="B1784" t="str">
        <f t="shared" si="391"/>
        <v>RMC - South Chain</v>
      </c>
      <c r="C1784" s="16"/>
      <c r="D1784" s="16"/>
      <c r="E1784" s="16"/>
      <c r="F1784" s="16"/>
      <c r="G1784" s="16" t="s">
        <v>395</v>
      </c>
      <c r="H1784" s="20" t="s">
        <v>17</v>
      </c>
      <c r="I1784" s="1"/>
      <c r="J1784" s="1"/>
      <c r="K1784" s="1"/>
      <c r="L1784" s="1"/>
      <c r="M1784" s="1"/>
      <c r="N1784" s="1"/>
      <c r="O1784" s="1"/>
    </row>
    <row r="1785" spans="1:15" ht="15" thickBot="1" x14ac:dyDescent="0.4">
      <c r="A1785" t="str">
        <f t="shared" si="390"/>
        <v>FC166</v>
      </c>
      <c r="B1785" t="str">
        <f t="shared" si="391"/>
        <v>RMC - South Chain</v>
      </c>
      <c r="C1785" s="18"/>
      <c r="D1785" s="18"/>
      <c r="E1785" s="18"/>
      <c r="F1785" s="18"/>
      <c r="G1785" s="18"/>
      <c r="H1785" s="22"/>
      <c r="I1785" s="3" t="s">
        <v>18</v>
      </c>
      <c r="J1785" s="11"/>
      <c r="K1785" s="4">
        <v>45</v>
      </c>
      <c r="L1785" s="4">
        <v>36</v>
      </c>
      <c r="M1785" s="11"/>
      <c r="N1785" s="8">
        <v>21</v>
      </c>
      <c r="O1785" s="11"/>
    </row>
    <row r="1786" spans="1:15" ht="15" thickBot="1" x14ac:dyDescent="0.4">
      <c r="A1786" t="str">
        <f t="shared" si="392"/>
        <v>FC166</v>
      </c>
      <c r="B1786" t="str">
        <f t="shared" si="391"/>
        <v>RMC - South Chain</v>
      </c>
      <c r="C1786" s="18"/>
      <c r="D1786" s="18"/>
      <c r="E1786" s="18"/>
      <c r="F1786" s="18"/>
      <c r="G1786" s="18"/>
      <c r="H1786" s="22"/>
      <c r="I1786" s="5" t="s">
        <v>19</v>
      </c>
      <c r="J1786" s="11"/>
      <c r="K1786" s="9">
        <v>103</v>
      </c>
      <c r="L1786" s="9">
        <v>99</v>
      </c>
      <c r="M1786" s="11"/>
      <c r="N1786" s="9">
        <v>93</v>
      </c>
      <c r="O1786" s="11"/>
    </row>
    <row r="1787" spans="1:15" ht="15" thickBot="1" x14ac:dyDescent="0.4">
      <c r="A1787" t="str">
        <f t="shared" si="393"/>
        <v>FC166</v>
      </c>
      <c r="B1787" t="str">
        <f t="shared" si="391"/>
        <v>RMC - South Chain</v>
      </c>
      <c r="C1787" s="18"/>
      <c r="D1787" s="18"/>
      <c r="E1787" s="18"/>
      <c r="F1787" s="18"/>
      <c r="G1787" s="18"/>
      <c r="H1787" s="22"/>
      <c r="I1787" s="3" t="s">
        <v>20</v>
      </c>
      <c r="J1787" s="11"/>
      <c r="K1787" s="10">
        <v>10</v>
      </c>
      <c r="L1787" s="10">
        <v>11</v>
      </c>
      <c r="M1787" s="11"/>
      <c r="N1787" s="8">
        <v>53.9</v>
      </c>
      <c r="O1787" s="11"/>
    </row>
    <row r="1788" spans="1:15" ht="15" thickBot="1" x14ac:dyDescent="0.4">
      <c r="A1788" t="str">
        <f t="shared" si="394"/>
        <v>FC166</v>
      </c>
      <c r="B1788" t="str">
        <f t="shared" si="391"/>
        <v>RMC - South Chain</v>
      </c>
      <c r="C1788" s="18"/>
      <c r="D1788" s="18"/>
      <c r="E1788" s="18"/>
      <c r="F1788" s="18"/>
      <c r="G1788" s="18"/>
      <c r="H1788" s="22"/>
      <c r="I1788" s="5" t="s">
        <v>21</v>
      </c>
      <c r="J1788" s="11"/>
      <c r="K1788" s="10">
        <v>3.45</v>
      </c>
      <c r="L1788" s="10">
        <v>2.99</v>
      </c>
      <c r="M1788" s="11"/>
      <c r="N1788" s="9">
        <v>0.57999999999999996</v>
      </c>
      <c r="O1788" s="11"/>
    </row>
    <row r="1789" spans="1:15" ht="15" thickBot="1" x14ac:dyDescent="0.4">
      <c r="A1789" t="str">
        <f t="shared" si="395"/>
        <v>FC166</v>
      </c>
      <c r="B1789" t="str">
        <f t="shared" si="391"/>
        <v>RMC - South Chain</v>
      </c>
      <c r="C1789" s="19"/>
      <c r="D1789" s="19"/>
      <c r="E1789" s="19"/>
      <c r="F1789" s="19"/>
      <c r="G1789" s="19"/>
      <c r="H1789" s="23"/>
      <c r="I1789" s="3" t="s">
        <v>22</v>
      </c>
      <c r="J1789" s="11" t="s">
        <v>27</v>
      </c>
      <c r="K1789" s="10" t="s">
        <v>24</v>
      </c>
      <c r="L1789" s="10" t="s">
        <v>24</v>
      </c>
      <c r="M1789" s="11" t="s">
        <v>27</v>
      </c>
      <c r="N1789" s="9" t="s">
        <v>25</v>
      </c>
      <c r="O1789" s="11" t="s">
        <v>45</v>
      </c>
    </row>
    <row r="1790" spans="1:15" ht="15" thickBot="1" x14ac:dyDescent="0.4">
      <c r="B1790" t="str">
        <f t="shared" si="391"/>
        <v>RMC - South Chain</v>
      </c>
      <c r="C1790" s="16"/>
      <c r="D1790" s="16"/>
      <c r="E1790" s="16"/>
      <c r="F1790" s="16"/>
      <c r="G1790" s="16" t="s">
        <v>396</v>
      </c>
      <c r="H1790" s="27" t="s">
        <v>34</v>
      </c>
      <c r="I1790" s="1"/>
      <c r="J1790" s="1"/>
      <c r="K1790" s="1"/>
      <c r="L1790" s="1"/>
      <c r="M1790" s="1"/>
      <c r="N1790" s="1"/>
      <c r="O1790" s="1"/>
    </row>
    <row r="1791" spans="1:15" ht="15" thickBot="1" x14ac:dyDescent="0.4">
      <c r="A1791" t="str">
        <f t="shared" si="390"/>
        <v>FC127</v>
      </c>
      <c r="B1791" t="str">
        <f t="shared" si="391"/>
        <v>RMC - South Chain</v>
      </c>
      <c r="C1791" s="18"/>
      <c r="D1791" s="18"/>
      <c r="E1791" s="18"/>
      <c r="F1791" s="18"/>
      <c r="G1791" s="18"/>
      <c r="H1791" s="28"/>
      <c r="I1791" s="3" t="s">
        <v>18</v>
      </c>
      <c r="J1791" s="4">
        <v>45</v>
      </c>
      <c r="K1791" s="4">
        <v>39</v>
      </c>
      <c r="L1791" s="8">
        <v>15</v>
      </c>
      <c r="M1791" s="8">
        <v>15</v>
      </c>
      <c r="N1791" s="8">
        <v>21</v>
      </c>
      <c r="O1791" s="4">
        <v>39</v>
      </c>
    </row>
    <row r="1792" spans="1:15" ht="15" thickBot="1" x14ac:dyDescent="0.4">
      <c r="A1792" t="str">
        <f t="shared" si="392"/>
        <v>FC127</v>
      </c>
      <c r="B1792" t="str">
        <f t="shared" si="391"/>
        <v>RMC - South Chain</v>
      </c>
      <c r="C1792" s="18"/>
      <c r="D1792" s="18"/>
      <c r="E1792" s="18"/>
      <c r="F1792" s="18"/>
      <c r="G1792" s="18"/>
      <c r="H1792" s="28"/>
      <c r="I1792" s="5" t="s">
        <v>19</v>
      </c>
      <c r="J1792" s="9">
        <v>104</v>
      </c>
      <c r="K1792" s="9">
        <v>98</v>
      </c>
      <c r="L1792" s="9">
        <v>148</v>
      </c>
      <c r="M1792" s="9">
        <v>212</v>
      </c>
      <c r="N1792" s="6">
        <v>65</v>
      </c>
      <c r="O1792" s="6">
        <v>61</v>
      </c>
    </row>
    <row r="1793" spans="1:15" ht="15" thickBot="1" x14ac:dyDescent="0.4">
      <c r="A1793" t="str">
        <f t="shared" si="393"/>
        <v>FC127</v>
      </c>
      <c r="B1793" t="str">
        <f t="shared" si="391"/>
        <v>RMC - South Chain</v>
      </c>
      <c r="C1793" s="18"/>
      <c r="D1793" s="18"/>
      <c r="E1793" s="18"/>
      <c r="F1793" s="18"/>
      <c r="G1793" s="18"/>
      <c r="H1793" s="28"/>
      <c r="I1793" s="3" t="s">
        <v>20</v>
      </c>
      <c r="J1793" s="10">
        <v>16.100000000000001</v>
      </c>
      <c r="K1793" s="10">
        <v>13.6</v>
      </c>
      <c r="L1793" s="7">
        <v>35.6</v>
      </c>
      <c r="M1793" s="8">
        <v>105.7</v>
      </c>
      <c r="N1793" s="10">
        <v>26.9</v>
      </c>
      <c r="O1793" s="9">
        <v>30.8</v>
      </c>
    </row>
    <row r="1794" spans="1:15" ht="15" thickBot="1" x14ac:dyDescent="0.4">
      <c r="A1794" t="str">
        <f t="shared" si="394"/>
        <v>FC127</v>
      </c>
      <c r="B1794" t="str">
        <f t="shared" si="391"/>
        <v>RMC - South Chain</v>
      </c>
      <c r="C1794" s="18"/>
      <c r="D1794" s="18"/>
      <c r="E1794" s="18"/>
      <c r="F1794" s="18"/>
      <c r="G1794" s="18"/>
      <c r="H1794" s="28"/>
      <c r="I1794" s="5" t="s">
        <v>21</v>
      </c>
      <c r="J1794" s="10">
        <v>2.17</v>
      </c>
      <c r="K1794" s="10">
        <v>2.42</v>
      </c>
      <c r="L1794" s="10">
        <v>1.39</v>
      </c>
      <c r="M1794" s="9">
        <v>0.67</v>
      </c>
      <c r="N1794" s="10">
        <v>0.81</v>
      </c>
      <c r="O1794" s="9">
        <v>0.66</v>
      </c>
    </row>
    <row r="1795" spans="1:15" ht="15" thickBot="1" x14ac:dyDescent="0.4">
      <c r="A1795" t="str">
        <f t="shared" si="395"/>
        <v>FC127</v>
      </c>
      <c r="B1795" t="str">
        <f t="shared" si="391"/>
        <v>RMC - South Chain</v>
      </c>
      <c r="C1795" s="19"/>
      <c r="D1795" s="19"/>
      <c r="E1795" s="19"/>
      <c r="F1795" s="19"/>
      <c r="G1795" s="19"/>
      <c r="H1795" s="29"/>
      <c r="I1795" s="3" t="s">
        <v>22</v>
      </c>
      <c r="J1795" s="10" t="s">
        <v>24</v>
      </c>
      <c r="K1795" s="10" t="s">
        <v>24</v>
      </c>
      <c r="L1795" s="10" t="s">
        <v>24</v>
      </c>
      <c r="M1795" s="10" t="s">
        <v>24</v>
      </c>
      <c r="N1795" s="10" t="s">
        <v>24</v>
      </c>
      <c r="O1795" s="9" t="s">
        <v>25</v>
      </c>
    </row>
    <row r="1796" spans="1:15" ht="15" thickBot="1" x14ac:dyDescent="0.4">
      <c r="B1796" t="str">
        <f t="shared" si="391"/>
        <v>RMC - South Chain</v>
      </c>
      <c r="C1796" s="16"/>
      <c r="D1796" s="16"/>
      <c r="E1796" s="16"/>
      <c r="F1796" s="16"/>
      <c r="G1796" s="16" t="s">
        <v>397</v>
      </c>
      <c r="H1796" s="27" t="s">
        <v>34</v>
      </c>
      <c r="I1796" s="1"/>
      <c r="J1796" s="1"/>
      <c r="K1796" s="1"/>
      <c r="L1796" s="1"/>
      <c r="M1796" s="1"/>
      <c r="N1796" s="1"/>
      <c r="O1796" s="1"/>
    </row>
    <row r="1797" spans="1:15" ht="15" thickBot="1" x14ac:dyDescent="0.4">
      <c r="A1797" t="str">
        <f t="shared" si="390"/>
        <v>FC227</v>
      </c>
      <c r="B1797" t="str">
        <f t="shared" si="391"/>
        <v>RMC - South Chain</v>
      </c>
      <c r="C1797" s="18"/>
      <c r="D1797" s="18"/>
      <c r="E1797" s="18"/>
      <c r="F1797" s="18"/>
      <c r="G1797" s="18"/>
      <c r="H1797" s="28"/>
      <c r="I1797" s="3" t="s">
        <v>18</v>
      </c>
      <c r="J1797" s="4">
        <v>30</v>
      </c>
      <c r="K1797" s="4">
        <v>30</v>
      </c>
      <c r="L1797" s="4">
        <v>30</v>
      </c>
      <c r="M1797" s="4">
        <v>30</v>
      </c>
      <c r="N1797" s="4">
        <v>33</v>
      </c>
      <c r="O1797" s="4">
        <v>30</v>
      </c>
    </row>
    <row r="1798" spans="1:15" ht="15" thickBot="1" x14ac:dyDescent="0.4">
      <c r="A1798" t="str">
        <f t="shared" si="392"/>
        <v>FC227</v>
      </c>
      <c r="B1798" t="str">
        <f t="shared" si="391"/>
        <v>RMC - South Chain</v>
      </c>
      <c r="C1798" s="18"/>
      <c r="D1798" s="18"/>
      <c r="E1798" s="18"/>
      <c r="F1798" s="18"/>
      <c r="G1798" s="18"/>
      <c r="H1798" s="28"/>
      <c r="I1798" s="5" t="s">
        <v>19</v>
      </c>
      <c r="J1798" s="9">
        <v>102</v>
      </c>
      <c r="K1798" s="9">
        <v>102</v>
      </c>
      <c r="L1798" s="7">
        <v>80</v>
      </c>
      <c r="M1798" s="9">
        <v>104</v>
      </c>
      <c r="N1798" s="9">
        <v>96</v>
      </c>
      <c r="O1798" s="7">
        <v>79</v>
      </c>
    </row>
    <row r="1799" spans="1:15" ht="15" thickBot="1" x14ac:dyDescent="0.4">
      <c r="A1799" t="str">
        <f t="shared" si="393"/>
        <v>FC227</v>
      </c>
      <c r="B1799" t="str">
        <f t="shared" si="391"/>
        <v>RMC - South Chain</v>
      </c>
      <c r="C1799" s="18"/>
      <c r="D1799" s="18"/>
      <c r="E1799" s="18"/>
      <c r="F1799" s="18"/>
      <c r="G1799" s="18"/>
      <c r="H1799" s="28"/>
      <c r="I1799" s="3" t="s">
        <v>20</v>
      </c>
      <c r="J1799" s="9">
        <v>33.700000000000003</v>
      </c>
      <c r="K1799" s="10">
        <v>27.9</v>
      </c>
      <c r="L1799" s="10">
        <v>20.399999999999999</v>
      </c>
      <c r="M1799" s="10">
        <v>27.1</v>
      </c>
      <c r="N1799" s="9">
        <v>34.1</v>
      </c>
      <c r="O1799" s="10">
        <v>25.5</v>
      </c>
    </row>
    <row r="1800" spans="1:15" ht="15" thickBot="1" x14ac:dyDescent="0.4">
      <c r="A1800" t="str">
        <f t="shared" si="394"/>
        <v>FC227</v>
      </c>
      <c r="B1800" t="str">
        <f t="shared" si="391"/>
        <v>RMC - South Chain</v>
      </c>
      <c r="C1800" s="18"/>
      <c r="D1800" s="18"/>
      <c r="E1800" s="18"/>
      <c r="F1800" s="18"/>
      <c r="G1800" s="18"/>
      <c r="H1800" s="28"/>
      <c r="I1800" s="5" t="s">
        <v>21</v>
      </c>
      <c r="J1800" s="10">
        <v>1.01</v>
      </c>
      <c r="K1800" s="10">
        <v>1.22</v>
      </c>
      <c r="L1800" s="10">
        <v>1.31</v>
      </c>
      <c r="M1800" s="10">
        <v>1.28</v>
      </c>
      <c r="N1800" s="10">
        <v>0.94</v>
      </c>
      <c r="O1800" s="10">
        <v>1.04</v>
      </c>
    </row>
    <row r="1801" spans="1:15" ht="15" thickBot="1" x14ac:dyDescent="0.4">
      <c r="A1801" t="str">
        <f t="shared" si="395"/>
        <v>FC227</v>
      </c>
      <c r="B1801" t="str">
        <f t="shared" si="391"/>
        <v>RMC - South Chain</v>
      </c>
      <c r="C1801" s="19"/>
      <c r="D1801" s="19"/>
      <c r="E1801" s="19"/>
      <c r="F1801" s="19"/>
      <c r="G1801" s="19"/>
      <c r="H1801" s="29"/>
      <c r="I1801" s="3" t="s">
        <v>22</v>
      </c>
      <c r="J1801" s="11"/>
      <c r="K1801" s="11"/>
      <c r="L1801" s="10" t="s">
        <v>24</v>
      </c>
      <c r="M1801" s="10" t="s">
        <v>24</v>
      </c>
      <c r="N1801" s="11"/>
      <c r="O1801" s="10" t="s">
        <v>24</v>
      </c>
    </row>
    <row r="1802" spans="1:15" ht="15" thickBot="1" x14ac:dyDescent="0.4">
      <c r="B1802" t="str">
        <f t="shared" si="391"/>
        <v>RMC - South Chain</v>
      </c>
      <c r="C1802" s="16"/>
      <c r="D1802" s="16"/>
      <c r="E1802" s="16"/>
      <c r="F1802" s="16"/>
      <c r="G1802" s="16" t="s">
        <v>398</v>
      </c>
      <c r="H1802" s="27" t="s">
        <v>34</v>
      </c>
      <c r="I1802" s="1"/>
      <c r="J1802" s="1"/>
      <c r="K1802" s="1"/>
      <c r="L1802" s="1"/>
      <c r="M1802" s="1"/>
      <c r="N1802" s="1"/>
      <c r="O1802" s="1"/>
    </row>
    <row r="1803" spans="1:15" ht="15" thickBot="1" x14ac:dyDescent="0.4">
      <c r="A1803" t="str">
        <f t="shared" si="390"/>
        <v>FC072</v>
      </c>
      <c r="B1803" t="str">
        <f t="shared" si="391"/>
        <v>RMC - South Chain</v>
      </c>
      <c r="C1803" s="18"/>
      <c r="D1803" s="18"/>
      <c r="E1803" s="18"/>
      <c r="F1803" s="18"/>
      <c r="G1803" s="18"/>
      <c r="H1803" s="28"/>
      <c r="I1803" s="3" t="s">
        <v>18</v>
      </c>
      <c r="J1803" s="4">
        <v>30</v>
      </c>
      <c r="K1803" s="4">
        <v>36</v>
      </c>
      <c r="L1803" s="8">
        <v>15</v>
      </c>
      <c r="M1803" s="4">
        <v>84</v>
      </c>
      <c r="N1803" s="4">
        <v>60</v>
      </c>
      <c r="O1803" s="4">
        <v>30</v>
      </c>
    </row>
    <row r="1804" spans="1:15" ht="15" thickBot="1" x14ac:dyDescent="0.4">
      <c r="A1804" t="str">
        <f t="shared" si="392"/>
        <v>FC072</v>
      </c>
      <c r="B1804" t="str">
        <f t="shared" si="391"/>
        <v>RMC - South Chain</v>
      </c>
      <c r="C1804" s="18"/>
      <c r="D1804" s="18"/>
      <c r="E1804" s="18"/>
      <c r="F1804" s="18"/>
      <c r="G1804" s="18"/>
      <c r="H1804" s="28"/>
      <c r="I1804" s="5" t="s">
        <v>19</v>
      </c>
      <c r="J1804" s="6">
        <v>68</v>
      </c>
      <c r="K1804" s="6">
        <v>69</v>
      </c>
      <c r="L1804" s="6">
        <v>54</v>
      </c>
      <c r="M1804" s="6">
        <v>64</v>
      </c>
      <c r="N1804" s="7">
        <v>79</v>
      </c>
      <c r="O1804" s="6">
        <v>65</v>
      </c>
    </row>
    <row r="1805" spans="1:15" ht="15" thickBot="1" x14ac:dyDescent="0.4">
      <c r="A1805" t="str">
        <f t="shared" si="393"/>
        <v>FC072</v>
      </c>
      <c r="B1805" t="str">
        <f t="shared" si="391"/>
        <v>RMC - South Chain</v>
      </c>
      <c r="C1805" s="18"/>
      <c r="D1805" s="18"/>
      <c r="E1805" s="18"/>
      <c r="F1805" s="18"/>
      <c r="G1805" s="18"/>
      <c r="H1805" s="28"/>
      <c r="I1805" s="3" t="s">
        <v>20</v>
      </c>
      <c r="J1805" s="10">
        <v>22.2</v>
      </c>
      <c r="K1805" s="10">
        <v>23.8</v>
      </c>
      <c r="L1805" s="9">
        <v>28.7</v>
      </c>
      <c r="M1805" s="10">
        <v>28.5</v>
      </c>
      <c r="N1805" s="9">
        <v>31.9</v>
      </c>
      <c r="O1805" s="7">
        <v>37.1</v>
      </c>
    </row>
    <row r="1806" spans="1:15" ht="15" thickBot="1" x14ac:dyDescent="0.4">
      <c r="A1806" t="str">
        <f t="shared" si="394"/>
        <v>FC072</v>
      </c>
      <c r="B1806" t="str">
        <f t="shared" si="391"/>
        <v>RMC - South Chain</v>
      </c>
      <c r="C1806" s="18"/>
      <c r="D1806" s="18"/>
      <c r="E1806" s="18"/>
      <c r="F1806" s="18"/>
      <c r="G1806" s="18"/>
      <c r="H1806" s="28"/>
      <c r="I1806" s="5" t="s">
        <v>21</v>
      </c>
      <c r="J1806" s="10">
        <v>1.01</v>
      </c>
      <c r="K1806" s="10">
        <v>0.96</v>
      </c>
      <c r="L1806" s="9">
        <v>0.63</v>
      </c>
      <c r="M1806" s="9">
        <v>0.75</v>
      </c>
      <c r="N1806" s="10">
        <v>0.83</v>
      </c>
      <c r="O1806" s="9">
        <v>0.57999999999999996</v>
      </c>
    </row>
    <row r="1807" spans="1:15" ht="15" thickBot="1" x14ac:dyDescent="0.4">
      <c r="A1807" t="str">
        <f t="shared" si="395"/>
        <v>FC072</v>
      </c>
      <c r="B1807" t="str">
        <f t="shared" si="391"/>
        <v>RMC - South Chain</v>
      </c>
      <c r="C1807" s="19"/>
      <c r="D1807" s="19"/>
      <c r="E1807" s="19"/>
      <c r="F1807" s="19"/>
      <c r="G1807" s="19"/>
      <c r="H1807" s="29"/>
      <c r="I1807" s="3" t="s">
        <v>22</v>
      </c>
      <c r="J1807" s="10" t="s">
        <v>24</v>
      </c>
      <c r="K1807" s="11"/>
      <c r="L1807" s="9" t="s">
        <v>25</v>
      </c>
      <c r="M1807" s="9" t="s">
        <v>25</v>
      </c>
      <c r="N1807" s="10" t="s">
        <v>24</v>
      </c>
      <c r="O1807" s="9" t="s">
        <v>25</v>
      </c>
    </row>
    <row r="1808" spans="1:15" ht="15" thickBot="1" x14ac:dyDescent="0.4">
      <c r="B1808" t="str">
        <f t="shared" si="391"/>
        <v>RMC - South Chain</v>
      </c>
      <c r="C1808" s="16"/>
      <c r="D1808" s="16"/>
      <c r="E1808" s="16"/>
      <c r="F1808" s="16"/>
      <c r="G1808" s="16" t="s">
        <v>399</v>
      </c>
      <c r="H1808" s="20" t="s">
        <v>17</v>
      </c>
      <c r="I1808" s="1"/>
      <c r="J1808" s="1"/>
      <c r="K1808" s="1"/>
      <c r="L1808" s="1"/>
      <c r="M1808" s="1"/>
      <c r="N1808" s="1"/>
      <c r="O1808" s="1"/>
    </row>
    <row r="1809" spans="1:15" ht="15" thickBot="1" x14ac:dyDescent="0.4">
      <c r="A1809" t="str">
        <f t="shared" si="390"/>
        <v>FC162</v>
      </c>
      <c r="B1809" t="str">
        <f t="shared" si="391"/>
        <v>RMC - South Chain</v>
      </c>
      <c r="C1809" s="18"/>
      <c r="D1809" s="18"/>
      <c r="E1809" s="18"/>
      <c r="F1809" s="18"/>
      <c r="G1809" s="18"/>
      <c r="H1809" s="22"/>
      <c r="I1809" s="3" t="s">
        <v>18</v>
      </c>
      <c r="J1809" s="4">
        <v>30</v>
      </c>
      <c r="K1809" s="4">
        <v>30</v>
      </c>
      <c r="L1809" s="4">
        <v>30</v>
      </c>
      <c r="M1809" s="4">
        <v>30</v>
      </c>
      <c r="N1809" s="8">
        <v>27</v>
      </c>
      <c r="O1809" s="4">
        <v>30</v>
      </c>
    </row>
    <row r="1810" spans="1:15" ht="15" thickBot="1" x14ac:dyDescent="0.4">
      <c r="A1810" t="str">
        <f t="shared" si="392"/>
        <v>FC162</v>
      </c>
      <c r="B1810" t="str">
        <f t="shared" si="391"/>
        <v>RMC - South Chain</v>
      </c>
      <c r="C1810" s="18"/>
      <c r="D1810" s="18"/>
      <c r="E1810" s="18"/>
      <c r="F1810" s="18"/>
      <c r="G1810" s="18"/>
      <c r="H1810" s="22"/>
      <c r="I1810" s="5" t="s">
        <v>19</v>
      </c>
      <c r="J1810" s="7">
        <v>76</v>
      </c>
      <c r="K1810" s="6">
        <v>54</v>
      </c>
      <c r="L1810" s="6">
        <v>57</v>
      </c>
      <c r="M1810" s="6">
        <v>51</v>
      </c>
      <c r="N1810" s="8">
        <v>38</v>
      </c>
      <c r="O1810" s="6">
        <v>62</v>
      </c>
    </row>
    <row r="1811" spans="1:15" ht="15" thickBot="1" x14ac:dyDescent="0.4">
      <c r="A1811" t="str">
        <f t="shared" si="393"/>
        <v>FC162</v>
      </c>
      <c r="B1811" t="str">
        <f t="shared" si="391"/>
        <v>RMC - South Chain</v>
      </c>
      <c r="C1811" s="18"/>
      <c r="D1811" s="18"/>
      <c r="E1811" s="18"/>
      <c r="F1811" s="18"/>
      <c r="G1811" s="18"/>
      <c r="H1811" s="22"/>
      <c r="I1811" s="3" t="s">
        <v>20</v>
      </c>
      <c r="J1811" s="10">
        <v>21.4</v>
      </c>
      <c r="K1811" s="10">
        <v>25.3</v>
      </c>
      <c r="L1811" s="10">
        <v>24</v>
      </c>
      <c r="M1811" s="10">
        <v>22.4</v>
      </c>
      <c r="N1811" s="10">
        <v>19.2</v>
      </c>
      <c r="O1811" s="8">
        <v>64.3</v>
      </c>
    </row>
    <row r="1812" spans="1:15" ht="15" thickBot="1" x14ac:dyDescent="0.4">
      <c r="A1812" t="str">
        <f t="shared" si="394"/>
        <v>FC162</v>
      </c>
      <c r="B1812" t="str">
        <f t="shared" si="391"/>
        <v>RMC - South Chain</v>
      </c>
      <c r="C1812" s="18"/>
      <c r="D1812" s="18"/>
      <c r="E1812" s="18"/>
      <c r="F1812" s="18"/>
      <c r="G1812" s="18"/>
      <c r="H1812" s="22"/>
      <c r="I1812" s="5" t="s">
        <v>21</v>
      </c>
      <c r="J1812" s="10">
        <v>1.18</v>
      </c>
      <c r="K1812" s="9">
        <v>0.71</v>
      </c>
      <c r="L1812" s="10">
        <v>0.79</v>
      </c>
      <c r="M1812" s="9">
        <v>0.76</v>
      </c>
      <c r="N1812" s="9">
        <v>0.67</v>
      </c>
      <c r="O1812" s="8">
        <v>0.32</v>
      </c>
    </row>
    <row r="1813" spans="1:15" ht="15" thickBot="1" x14ac:dyDescent="0.4">
      <c r="A1813" t="str">
        <f t="shared" si="395"/>
        <v>FC162</v>
      </c>
      <c r="B1813" t="str">
        <f t="shared" si="391"/>
        <v>RMC - South Chain</v>
      </c>
      <c r="C1813" s="19"/>
      <c r="D1813" s="19"/>
      <c r="E1813" s="19"/>
      <c r="F1813" s="19"/>
      <c r="G1813" s="19"/>
      <c r="H1813" s="23"/>
      <c r="I1813" s="3" t="s">
        <v>22</v>
      </c>
      <c r="J1813" s="10" t="s">
        <v>24</v>
      </c>
      <c r="K1813" s="9" t="s">
        <v>25</v>
      </c>
      <c r="L1813" s="11"/>
      <c r="M1813" s="9" t="s">
        <v>25</v>
      </c>
      <c r="N1813" s="9" t="s">
        <v>25</v>
      </c>
      <c r="O1813" s="8" t="s">
        <v>23</v>
      </c>
    </row>
    <row r="1814" spans="1:15" ht="15" thickBot="1" x14ac:dyDescent="0.4">
      <c r="B1814" t="str">
        <f t="shared" si="391"/>
        <v>RMC - South Chain</v>
      </c>
      <c r="C1814" s="16"/>
      <c r="D1814" s="16"/>
      <c r="E1814" s="16" t="s">
        <v>400</v>
      </c>
      <c r="F1814" s="16" t="s">
        <v>401</v>
      </c>
      <c r="G1814" s="16" t="s">
        <v>402</v>
      </c>
      <c r="H1814" s="27" t="s">
        <v>34</v>
      </c>
      <c r="I1814" s="1"/>
      <c r="J1814" s="1"/>
      <c r="K1814" s="1"/>
      <c r="L1814" s="1"/>
      <c r="M1814" s="1"/>
      <c r="N1814" s="1"/>
      <c r="O1814" s="1"/>
    </row>
    <row r="1815" spans="1:15" ht="15" thickBot="1" x14ac:dyDescent="0.4">
      <c r="A1815" t="str">
        <f t="shared" si="390"/>
        <v>3164</v>
      </c>
      <c r="B1815" t="str">
        <f t="shared" si="391"/>
        <v>RMC - South Chain</v>
      </c>
      <c r="C1815" s="18"/>
      <c r="D1815" s="18"/>
      <c r="E1815" s="18"/>
      <c r="F1815" s="18"/>
      <c r="G1815" s="18"/>
      <c r="H1815" s="28"/>
      <c r="I1815" s="3" t="s">
        <v>18</v>
      </c>
      <c r="J1815" s="4">
        <v>30</v>
      </c>
      <c r="K1815" s="4">
        <v>30</v>
      </c>
      <c r="L1815" s="4">
        <v>30</v>
      </c>
      <c r="M1815" s="4">
        <v>33</v>
      </c>
      <c r="N1815" s="4">
        <v>33</v>
      </c>
      <c r="O1815" s="4">
        <v>33</v>
      </c>
    </row>
    <row r="1816" spans="1:15" ht="15" thickBot="1" x14ac:dyDescent="0.4">
      <c r="A1816" t="str">
        <f t="shared" si="392"/>
        <v>3164</v>
      </c>
      <c r="B1816" t="str">
        <f t="shared" si="391"/>
        <v>RMC - South Chain</v>
      </c>
      <c r="C1816" s="18"/>
      <c r="D1816" s="18"/>
      <c r="E1816" s="18"/>
      <c r="F1816" s="18"/>
      <c r="G1816" s="18"/>
      <c r="H1816" s="28"/>
      <c r="I1816" s="5" t="s">
        <v>19</v>
      </c>
      <c r="J1816" s="9">
        <v>98</v>
      </c>
      <c r="K1816" s="7">
        <v>77</v>
      </c>
      <c r="L1816" s="6">
        <v>59</v>
      </c>
      <c r="M1816" s="9">
        <v>108</v>
      </c>
      <c r="N1816" s="8">
        <v>42</v>
      </c>
      <c r="O1816" s="8">
        <v>41</v>
      </c>
    </row>
    <row r="1817" spans="1:15" ht="15" thickBot="1" x14ac:dyDescent="0.4">
      <c r="A1817" t="str">
        <f t="shared" si="393"/>
        <v>3164</v>
      </c>
      <c r="B1817" t="str">
        <f t="shared" si="391"/>
        <v>RMC - South Chain</v>
      </c>
      <c r="C1817" s="18"/>
      <c r="D1817" s="18"/>
      <c r="E1817" s="18"/>
      <c r="F1817" s="18"/>
      <c r="G1817" s="18"/>
      <c r="H1817" s="28"/>
      <c r="I1817" s="3" t="s">
        <v>20</v>
      </c>
      <c r="J1817" s="10">
        <v>19.399999999999999</v>
      </c>
      <c r="K1817" s="9">
        <v>29.4</v>
      </c>
      <c r="L1817" s="9">
        <v>28.8</v>
      </c>
      <c r="M1817" s="8">
        <v>61.2</v>
      </c>
      <c r="N1817" s="10">
        <v>18.5</v>
      </c>
      <c r="O1817" s="10">
        <v>21.6</v>
      </c>
    </row>
    <row r="1818" spans="1:15" ht="15" thickBot="1" x14ac:dyDescent="0.4">
      <c r="A1818" t="str">
        <f t="shared" si="394"/>
        <v>3164</v>
      </c>
      <c r="B1818" t="str">
        <f t="shared" si="391"/>
        <v>RMC - South Chain</v>
      </c>
      <c r="C1818" s="18"/>
      <c r="D1818" s="18"/>
      <c r="E1818" s="18"/>
      <c r="F1818" s="18"/>
      <c r="G1818" s="18"/>
      <c r="H1818" s="28"/>
      <c r="I1818" s="5" t="s">
        <v>21</v>
      </c>
      <c r="J1818" s="10">
        <v>1.68</v>
      </c>
      <c r="K1818" s="10">
        <v>0.87</v>
      </c>
      <c r="L1818" s="9">
        <v>0.68</v>
      </c>
      <c r="M1818" s="9">
        <v>0.59</v>
      </c>
      <c r="N1818" s="9">
        <v>0.75</v>
      </c>
      <c r="O1818" s="9">
        <v>0.64</v>
      </c>
    </row>
    <row r="1819" spans="1:15" ht="15" thickBot="1" x14ac:dyDescent="0.4">
      <c r="A1819" t="str">
        <f t="shared" si="395"/>
        <v>3164</v>
      </c>
      <c r="B1819" t="str">
        <f t="shared" si="391"/>
        <v>RMC - South Chain</v>
      </c>
      <c r="C1819" s="19"/>
      <c r="D1819" s="19"/>
      <c r="E1819" s="19"/>
      <c r="F1819" s="19"/>
      <c r="G1819" s="19"/>
      <c r="H1819" s="29"/>
      <c r="I1819" s="3" t="s">
        <v>22</v>
      </c>
      <c r="J1819" s="10" t="s">
        <v>24</v>
      </c>
      <c r="K1819" s="10" t="s">
        <v>24</v>
      </c>
      <c r="L1819" s="9" t="s">
        <v>25</v>
      </c>
      <c r="M1819" s="9" t="s">
        <v>25</v>
      </c>
      <c r="N1819" s="11"/>
      <c r="O1819" s="9" t="s">
        <v>25</v>
      </c>
    </row>
    <row r="1820" spans="1:15" ht="15" thickBot="1" x14ac:dyDescent="0.4">
      <c r="B1820" t="str">
        <f t="shared" si="391"/>
        <v>RMC - South Chain</v>
      </c>
      <c r="C1820" s="16"/>
      <c r="D1820" s="16"/>
      <c r="E1820" s="16"/>
      <c r="F1820" s="16"/>
      <c r="G1820" s="16" t="s">
        <v>403</v>
      </c>
      <c r="H1820" s="30" t="s">
        <v>39</v>
      </c>
      <c r="I1820" s="1"/>
      <c r="J1820" s="1"/>
      <c r="K1820" s="1"/>
      <c r="L1820" s="1"/>
      <c r="M1820" s="1"/>
      <c r="N1820" s="1"/>
      <c r="O1820" s="1"/>
    </row>
    <row r="1821" spans="1:15" ht="15" thickBot="1" x14ac:dyDescent="0.4">
      <c r="A1821" t="str">
        <f t="shared" si="390"/>
        <v>3168</v>
      </c>
      <c r="B1821" t="str">
        <f t="shared" si="391"/>
        <v>RMC - South Chain</v>
      </c>
      <c r="C1821" s="18"/>
      <c r="D1821" s="18"/>
      <c r="E1821" s="18"/>
      <c r="F1821" s="18"/>
      <c r="G1821" s="18"/>
      <c r="H1821" s="31"/>
      <c r="I1821" s="3" t="s">
        <v>18</v>
      </c>
      <c r="J1821" s="4">
        <v>32</v>
      </c>
      <c r="K1821" s="8">
        <v>15</v>
      </c>
      <c r="L1821" s="4">
        <v>44</v>
      </c>
      <c r="M1821" s="4">
        <v>36</v>
      </c>
      <c r="N1821" s="4">
        <v>36</v>
      </c>
      <c r="O1821" s="4">
        <v>36</v>
      </c>
    </row>
    <row r="1822" spans="1:15" ht="15" thickBot="1" x14ac:dyDescent="0.4">
      <c r="A1822" t="str">
        <f t="shared" si="392"/>
        <v>3168</v>
      </c>
      <c r="B1822" t="str">
        <f t="shared" si="391"/>
        <v>RMC - South Chain</v>
      </c>
      <c r="C1822" s="18"/>
      <c r="D1822" s="18"/>
      <c r="E1822" s="18"/>
      <c r="F1822" s="18"/>
      <c r="G1822" s="18"/>
      <c r="H1822" s="31"/>
      <c r="I1822" s="5" t="s">
        <v>19</v>
      </c>
      <c r="J1822" s="7">
        <v>80</v>
      </c>
      <c r="K1822" s="9">
        <v>169</v>
      </c>
      <c r="L1822" s="9">
        <v>134</v>
      </c>
      <c r="M1822" s="9">
        <v>151</v>
      </c>
      <c r="N1822" s="9">
        <v>143</v>
      </c>
      <c r="O1822" s="9">
        <v>119</v>
      </c>
    </row>
    <row r="1823" spans="1:15" ht="15" thickBot="1" x14ac:dyDescent="0.4">
      <c r="A1823" t="str">
        <f t="shared" si="393"/>
        <v>3168</v>
      </c>
      <c r="B1823" t="str">
        <f t="shared" si="391"/>
        <v>RMC - South Chain</v>
      </c>
      <c r="C1823" s="18"/>
      <c r="D1823" s="18"/>
      <c r="E1823" s="18"/>
      <c r="F1823" s="18"/>
      <c r="G1823" s="18"/>
      <c r="H1823" s="31"/>
      <c r="I1823" s="3" t="s">
        <v>20</v>
      </c>
      <c r="J1823" s="10">
        <v>25.7</v>
      </c>
      <c r="K1823" s="10">
        <v>27.8</v>
      </c>
      <c r="L1823" s="9">
        <v>33.4</v>
      </c>
      <c r="M1823" s="9">
        <v>30.9</v>
      </c>
      <c r="N1823" s="9">
        <v>32.4</v>
      </c>
      <c r="O1823" s="6">
        <v>47.4</v>
      </c>
    </row>
    <row r="1824" spans="1:15" ht="15" thickBot="1" x14ac:dyDescent="0.4">
      <c r="A1824" t="str">
        <f t="shared" si="394"/>
        <v>3168</v>
      </c>
      <c r="B1824" t="str">
        <f t="shared" si="391"/>
        <v>RMC - South Chain</v>
      </c>
      <c r="C1824" s="18"/>
      <c r="D1824" s="18"/>
      <c r="E1824" s="18"/>
      <c r="F1824" s="18"/>
      <c r="G1824" s="18"/>
      <c r="H1824" s="31"/>
      <c r="I1824" s="5" t="s">
        <v>21</v>
      </c>
      <c r="J1824" s="10">
        <v>1.04</v>
      </c>
      <c r="K1824" s="10">
        <v>2.02</v>
      </c>
      <c r="L1824" s="10">
        <v>1.34</v>
      </c>
      <c r="M1824" s="10">
        <v>1.62</v>
      </c>
      <c r="N1824" s="10">
        <v>1.47</v>
      </c>
      <c r="O1824" s="10">
        <v>0.84</v>
      </c>
    </row>
    <row r="1825" spans="1:15" ht="15" thickBot="1" x14ac:dyDescent="0.4">
      <c r="A1825" t="str">
        <f t="shared" si="395"/>
        <v>3168</v>
      </c>
      <c r="B1825" t="str">
        <f t="shared" si="391"/>
        <v>RMC - South Chain</v>
      </c>
      <c r="C1825" s="19"/>
      <c r="D1825" s="19"/>
      <c r="E1825" s="19"/>
      <c r="F1825" s="19"/>
      <c r="G1825" s="19"/>
      <c r="H1825" s="32"/>
      <c r="I1825" s="3" t="s">
        <v>22</v>
      </c>
      <c r="J1825" s="11"/>
      <c r="K1825" s="10" t="s">
        <v>24</v>
      </c>
      <c r="L1825" s="11"/>
      <c r="M1825" s="10" t="s">
        <v>24</v>
      </c>
      <c r="N1825" s="10" t="s">
        <v>24</v>
      </c>
      <c r="O1825" s="10" t="s">
        <v>24</v>
      </c>
    </row>
    <row r="1826" spans="1:15" ht="15" thickBot="1" x14ac:dyDescent="0.4">
      <c r="B1826" t="str">
        <f t="shared" si="391"/>
        <v>RMC - South Chain</v>
      </c>
      <c r="C1826" s="16"/>
      <c r="D1826" s="16"/>
      <c r="E1826" s="16"/>
      <c r="F1826" s="16"/>
      <c r="G1826" s="16" t="s">
        <v>404</v>
      </c>
      <c r="H1826" s="20" t="s">
        <v>17</v>
      </c>
      <c r="I1826" s="1"/>
      <c r="J1826" s="1"/>
      <c r="K1826" s="1"/>
      <c r="L1826" s="1"/>
      <c r="M1826" s="1"/>
      <c r="N1826" s="1"/>
      <c r="O1826" s="1"/>
    </row>
    <row r="1827" spans="1:15" ht="15" thickBot="1" x14ac:dyDescent="0.4">
      <c r="A1827" t="str">
        <f t="shared" ref="A1827:A1890" si="396">IF(LEFT(G1826,2)="FC",LEFT(G1826,5),LEFT(G1826,4))</f>
        <v>FC381</v>
      </c>
      <c r="B1827" t="str">
        <f t="shared" si="391"/>
        <v>RMC - South Chain</v>
      </c>
      <c r="C1827" s="18"/>
      <c r="D1827" s="18"/>
      <c r="E1827" s="18"/>
      <c r="F1827" s="18"/>
      <c r="G1827" s="18"/>
      <c r="H1827" s="22"/>
      <c r="I1827" s="3" t="s">
        <v>18</v>
      </c>
      <c r="J1827" s="8">
        <v>18</v>
      </c>
      <c r="K1827" s="4">
        <v>49</v>
      </c>
      <c r="L1827" s="8">
        <v>24</v>
      </c>
      <c r="M1827" s="11"/>
      <c r="N1827" s="4">
        <v>30</v>
      </c>
      <c r="O1827" s="8">
        <v>18</v>
      </c>
    </row>
    <row r="1828" spans="1:15" ht="15" thickBot="1" x14ac:dyDescent="0.4">
      <c r="A1828" t="str">
        <f t="shared" si="392"/>
        <v>FC381</v>
      </c>
      <c r="B1828" t="str">
        <f t="shared" si="391"/>
        <v>RMC - South Chain</v>
      </c>
      <c r="C1828" s="18"/>
      <c r="D1828" s="18"/>
      <c r="E1828" s="18"/>
      <c r="F1828" s="18"/>
      <c r="G1828" s="18"/>
      <c r="H1828" s="22"/>
      <c r="I1828" s="5" t="s">
        <v>19</v>
      </c>
      <c r="J1828" s="9">
        <v>177</v>
      </c>
      <c r="K1828" s="9">
        <v>106</v>
      </c>
      <c r="L1828" s="9">
        <v>100</v>
      </c>
      <c r="M1828" s="11"/>
      <c r="N1828" s="7">
        <v>77</v>
      </c>
      <c r="O1828" s="7">
        <v>82</v>
      </c>
    </row>
    <row r="1829" spans="1:15" ht="15" thickBot="1" x14ac:dyDescent="0.4">
      <c r="A1829" t="str">
        <f t="shared" si="393"/>
        <v>FC381</v>
      </c>
      <c r="B1829" t="str">
        <f t="shared" ref="B1829:B1892" si="397">$D$1700</f>
        <v>RMC - South Chain</v>
      </c>
      <c r="C1829" s="18"/>
      <c r="D1829" s="18"/>
      <c r="E1829" s="18"/>
      <c r="F1829" s="18"/>
      <c r="G1829" s="18"/>
      <c r="H1829" s="22"/>
      <c r="I1829" s="3" t="s">
        <v>20</v>
      </c>
      <c r="J1829" s="8">
        <v>52.4</v>
      </c>
      <c r="K1829" s="7">
        <v>35</v>
      </c>
      <c r="L1829" s="10">
        <v>24.2</v>
      </c>
      <c r="M1829" s="11"/>
      <c r="N1829" s="7">
        <v>39.700000000000003</v>
      </c>
      <c r="O1829" s="6">
        <v>45.9</v>
      </c>
    </row>
    <row r="1830" spans="1:15" ht="15" thickBot="1" x14ac:dyDescent="0.4">
      <c r="A1830" t="str">
        <f t="shared" si="394"/>
        <v>FC381</v>
      </c>
      <c r="B1830" t="str">
        <f t="shared" si="397"/>
        <v>RMC - South Chain</v>
      </c>
      <c r="C1830" s="18"/>
      <c r="D1830" s="18"/>
      <c r="E1830" s="18"/>
      <c r="F1830" s="18"/>
      <c r="G1830" s="18"/>
      <c r="H1830" s="22"/>
      <c r="I1830" s="5" t="s">
        <v>21</v>
      </c>
      <c r="J1830" s="10">
        <v>1.1299999999999999</v>
      </c>
      <c r="K1830" s="10">
        <v>1.01</v>
      </c>
      <c r="L1830" s="10">
        <v>1.38</v>
      </c>
      <c r="M1830" s="11"/>
      <c r="N1830" s="9">
        <v>0.65</v>
      </c>
      <c r="O1830" s="9">
        <v>0.59</v>
      </c>
    </row>
    <row r="1831" spans="1:15" ht="15" thickBot="1" x14ac:dyDescent="0.4">
      <c r="A1831" t="str">
        <f t="shared" si="395"/>
        <v>FC381</v>
      </c>
      <c r="B1831" t="str">
        <f t="shared" si="397"/>
        <v>RMC - South Chain</v>
      </c>
      <c r="C1831" s="19"/>
      <c r="D1831" s="19"/>
      <c r="E1831" s="19"/>
      <c r="F1831" s="19"/>
      <c r="G1831" s="19"/>
      <c r="H1831" s="23"/>
      <c r="I1831" s="3" t="s">
        <v>22</v>
      </c>
      <c r="J1831" s="10" t="s">
        <v>24</v>
      </c>
      <c r="K1831" s="10" t="s">
        <v>24</v>
      </c>
      <c r="L1831" s="10" t="s">
        <v>24</v>
      </c>
      <c r="M1831" s="11" t="s">
        <v>31</v>
      </c>
      <c r="N1831" s="11"/>
      <c r="O1831" s="9" t="s">
        <v>25</v>
      </c>
    </row>
    <row r="1832" spans="1:15" ht="15" thickBot="1" x14ac:dyDescent="0.4">
      <c r="B1832" t="str">
        <f t="shared" si="397"/>
        <v>RMC - South Chain</v>
      </c>
      <c r="C1832" s="16"/>
      <c r="D1832" s="16"/>
      <c r="E1832" s="16"/>
      <c r="F1832" s="16"/>
      <c r="G1832" s="16" t="s">
        <v>405</v>
      </c>
      <c r="H1832" s="20" t="s">
        <v>17</v>
      </c>
      <c r="I1832" s="1"/>
      <c r="J1832" s="1"/>
      <c r="K1832" s="1"/>
      <c r="L1832" s="1"/>
      <c r="M1832" s="1"/>
      <c r="N1832" s="1"/>
      <c r="O1832" s="1"/>
    </row>
    <row r="1833" spans="1:15" ht="15" thickBot="1" x14ac:dyDescent="0.4">
      <c r="A1833" t="str">
        <f t="shared" si="396"/>
        <v>FC129</v>
      </c>
      <c r="B1833" t="str">
        <f t="shared" si="397"/>
        <v>RMC - South Chain</v>
      </c>
      <c r="C1833" s="18"/>
      <c r="D1833" s="18"/>
      <c r="E1833" s="18"/>
      <c r="F1833" s="18"/>
      <c r="G1833" s="18"/>
      <c r="H1833" s="22"/>
      <c r="I1833" s="3" t="s">
        <v>18</v>
      </c>
      <c r="J1833" s="4">
        <v>40</v>
      </c>
      <c r="K1833" s="8">
        <v>27</v>
      </c>
      <c r="L1833" s="8">
        <v>15</v>
      </c>
      <c r="M1833" s="4">
        <v>45</v>
      </c>
      <c r="N1833" s="8">
        <v>21</v>
      </c>
      <c r="O1833" s="4">
        <v>31</v>
      </c>
    </row>
    <row r="1834" spans="1:15" ht="15" thickBot="1" x14ac:dyDescent="0.4">
      <c r="A1834" t="str">
        <f t="shared" ref="A1834:A1894" si="398">IF(LEFT(G1832,2)="FC",LEFT(G1832,5),LEFT(G1832,4))</f>
        <v>FC129</v>
      </c>
      <c r="B1834" t="str">
        <f t="shared" si="397"/>
        <v>RMC - South Chain</v>
      </c>
      <c r="C1834" s="18"/>
      <c r="D1834" s="18"/>
      <c r="E1834" s="18"/>
      <c r="F1834" s="18"/>
      <c r="G1834" s="18"/>
      <c r="H1834" s="22"/>
      <c r="I1834" s="5" t="s">
        <v>19</v>
      </c>
      <c r="J1834" s="7">
        <v>83</v>
      </c>
      <c r="K1834" s="6">
        <v>69</v>
      </c>
      <c r="L1834" s="9">
        <v>99</v>
      </c>
      <c r="M1834" s="8">
        <v>5</v>
      </c>
      <c r="N1834" s="7">
        <v>81</v>
      </c>
      <c r="O1834" s="7">
        <v>73</v>
      </c>
    </row>
    <row r="1835" spans="1:15" ht="15" thickBot="1" x14ac:dyDescent="0.4">
      <c r="A1835" t="str">
        <f t="shared" ref="A1835:A1895" si="399">IF(LEFT(G1832,2)="FC",LEFT(G1832,5),LEFT(G1832,4))</f>
        <v>FC129</v>
      </c>
      <c r="B1835" t="str">
        <f t="shared" si="397"/>
        <v>RMC - South Chain</v>
      </c>
      <c r="C1835" s="18"/>
      <c r="D1835" s="18"/>
      <c r="E1835" s="18"/>
      <c r="F1835" s="18"/>
      <c r="G1835" s="18"/>
      <c r="H1835" s="22"/>
      <c r="I1835" s="3" t="s">
        <v>20</v>
      </c>
      <c r="J1835" s="10">
        <v>28.5</v>
      </c>
      <c r="K1835" s="10">
        <v>20.100000000000001</v>
      </c>
      <c r="L1835" s="10">
        <v>19.5</v>
      </c>
      <c r="M1835" s="9">
        <v>28.8</v>
      </c>
      <c r="N1835" s="10">
        <v>26.4</v>
      </c>
      <c r="O1835" s="9">
        <v>29.4</v>
      </c>
    </row>
    <row r="1836" spans="1:15" ht="15" thickBot="1" x14ac:dyDescent="0.4">
      <c r="A1836" t="str">
        <f t="shared" ref="A1836:A1896" si="400">IF(LEFT(G1832,2)="FC",LEFT(G1832,5),LEFT(G1832,4))</f>
        <v>FC129</v>
      </c>
      <c r="B1836" t="str">
        <f t="shared" si="397"/>
        <v>RMC - South Chain</v>
      </c>
      <c r="C1836" s="18"/>
      <c r="D1836" s="18"/>
      <c r="E1836" s="18"/>
      <c r="F1836" s="18"/>
      <c r="G1836" s="18"/>
      <c r="H1836" s="22"/>
      <c r="I1836" s="5" t="s">
        <v>21</v>
      </c>
      <c r="J1836" s="10">
        <v>0.97</v>
      </c>
      <c r="K1836" s="10">
        <v>1.1399999999999999</v>
      </c>
      <c r="L1836" s="10">
        <v>1.69</v>
      </c>
      <c r="M1836" s="8">
        <v>0.06</v>
      </c>
      <c r="N1836" s="10">
        <v>1.03</v>
      </c>
      <c r="O1836" s="10">
        <v>0.83</v>
      </c>
    </row>
    <row r="1837" spans="1:15" ht="15" thickBot="1" x14ac:dyDescent="0.4">
      <c r="A1837" t="str">
        <f t="shared" ref="A1837:A1897" si="401">IF(LEFT(G1832,2)="FC",LEFT(G1832,5),LEFT(G1832,4))</f>
        <v>FC129</v>
      </c>
      <c r="B1837" t="str">
        <f t="shared" si="397"/>
        <v>RMC - South Chain</v>
      </c>
      <c r="C1837" s="19"/>
      <c r="D1837" s="19"/>
      <c r="E1837" s="19"/>
      <c r="F1837" s="19"/>
      <c r="G1837" s="19"/>
      <c r="H1837" s="23"/>
      <c r="I1837" s="3" t="s">
        <v>22</v>
      </c>
      <c r="J1837" s="10" t="s">
        <v>24</v>
      </c>
      <c r="K1837" s="10" t="s">
        <v>24</v>
      </c>
      <c r="L1837" s="10" t="s">
        <v>24</v>
      </c>
      <c r="M1837" s="8" t="s">
        <v>23</v>
      </c>
      <c r="N1837" s="10" t="s">
        <v>24</v>
      </c>
      <c r="O1837" s="11"/>
    </row>
    <row r="1838" spans="1:15" ht="15" thickBot="1" x14ac:dyDescent="0.4">
      <c r="B1838" t="str">
        <f t="shared" si="397"/>
        <v>RMC - South Chain</v>
      </c>
      <c r="C1838" s="16"/>
      <c r="D1838" s="16"/>
      <c r="E1838" s="16"/>
      <c r="F1838" s="16"/>
      <c r="G1838" s="16" t="s">
        <v>406</v>
      </c>
      <c r="H1838" s="20" t="s">
        <v>17</v>
      </c>
      <c r="I1838" s="1"/>
      <c r="J1838" s="1"/>
      <c r="K1838" s="1"/>
      <c r="L1838" s="1"/>
      <c r="M1838" s="1"/>
      <c r="N1838" s="1"/>
      <c r="O1838" s="1"/>
    </row>
    <row r="1839" spans="1:15" ht="15" thickBot="1" x14ac:dyDescent="0.4">
      <c r="A1839" t="str">
        <f t="shared" si="396"/>
        <v>FC253</v>
      </c>
      <c r="B1839" t="str">
        <f t="shared" si="397"/>
        <v>RMC - South Chain</v>
      </c>
      <c r="C1839" s="18"/>
      <c r="D1839" s="18"/>
      <c r="E1839" s="18"/>
      <c r="F1839" s="18"/>
      <c r="G1839" s="18"/>
      <c r="H1839" s="22"/>
      <c r="I1839" s="3" t="s">
        <v>18</v>
      </c>
      <c r="J1839" s="4">
        <v>39</v>
      </c>
      <c r="K1839" s="8">
        <v>18</v>
      </c>
      <c r="L1839" s="4">
        <v>42</v>
      </c>
      <c r="M1839" s="11"/>
      <c r="N1839" s="4">
        <v>39</v>
      </c>
      <c r="O1839" s="4">
        <v>48</v>
      </c>
    </row>
    <row r="1840" spans="1:15" ht="15" thickBot="1" x14ac:dyDescent="0.4">
      <c r="A1840" t="str">
        <f t="shared" si="398"/>
        <v>FC253</v>
      </c>
      <c r="B1840" t="str">
        <f t="shared" si="397"/>
        <v>RMC - South Chain</v>
      </c>
      <c r="C1840" s="18"/>
      <c r="D1840" s="18"/>
      <c r="E1840" s="18"/>
      <c r="F1840" s="18"/>
      <c r="G1840" s="18"/>
      <c r="H1840" s="22"/>
      <c r="I1840" s="5" t="s">
        <v>19</v>
      </c>
      <c r="J1840" s="7">
        <v>82</v>
      </c>
      <c r="K1840" s="6">
        <v>64</v>
      </c>
      <c r="L1840" s="7">
        <v>71</v>
      </c>
      <c r="M1840" s="11"/>
      <c r="N1840" s="7">
        <v>83</v>
      </c>
      <c r="O1840" s="6">
        <v>50</v>
      </c>
    </row>
    <row r="1841" spans="1:15" ht="15" thickBot="1" x14ac:dyDescent="0.4">
      <c r="A1841" t="str">
        <f t="shared" si="399"/>
        <v>FC253</v>
      </c>
      <c r="B1841" t="str">
        <f t="shared" si="397"/>
        <v>RMC - South Chain</v>
      </c>
      <c r="C1841" s="18"/>
      <c r="D1841" s="18"/>
      <c r="E1841" s="18"/>
      <c r="F1841" s="18"/>
      <c r="G1841" s="18"/>
      <c r="H1841" s="22"/>
      <c r="I1841" s="3" t="s">
        <v>20</v>
      </c>
      <c r="J1841" s="9">
        <v>32.200000000000003</v>
      </c>
      <c r="K1841" s="10">
        <v>27</v>
      </c>
      <c r="L1841" s="7">
        <v>41.6</v>
      </c>
      <c r="M1841" s="11"/>
      <c r="N1841" s="10">
        <v>26.7</v>
      </c>
      <c r="O1841" s="10">
        <v>15.4</v>
      </c>
    </row>
    <row r="1842" spans="1:15" ht="15" thickBot="1" x14ac:dyDescent="0.4">
      <c r="A1842" t="str">
        <f t="shared" si="400"/>
        <v>FC253</v>
      </c>
      <c r="B1842" t="str">
        <f t="shared" si="397"/>
        <v>RMC - South Chain</v>
      </c>
      <c r="C1842" s="18"/>
      <c r="D1842" s="18"/>
      <c r="E1842" s="18"/>
      <c r="F1842" s="18"/>
      <c r="G1842" s="18"/>
      <c r="H1842" s="22"/>
      <c r="I1842" s="5" t="s">
        <v>21</v>
      </c>
      <c r="J1842" s="10">
        <v>0.85</v>
      </c>
      <c r="K1842" s="10">
        <v>0.79</v>
      </c>
      <c r="L1842" s="9">
        <v>0.56999999999999995</v>
      </c>
      <c r="M1842" s="11"/>
      <c r="N1842" s="10">
        <v>1.04</v>
      </c>
      <c r="O1842" s="10">
        <v>1.08</v>
      </c>
    </row>
    <row r="1843" spans="1:15" ht="15" thickBot="1" x14ac:dyDescent="0.4">
      <c r="A1843" t="str">
        <f t="shared" si="401"/>
        <v>FC253</v>
      </c>
      <c r="B1843" t="str">
        <f t="shared" si="397"/>
        <v>RMC - South Chain</v>
      </c>
      <c r="C1843" s="19"/>
      <c r="D1843" s="19"/>
      <c r="E1843" s="19"/>
      <c r="F1843" s="19"/>
      <c r="G1843" s="19"/>
      <c r="H1843" s="23"/>
      <c r="I1843" s="3" t="s">
        <v>22</v>
      </c>
      <c r="J1843" s="10" t="s">
        <v>24</v>
      </c>
      <c r="K1843" s="9" t="s">
        <v>25</v>
      </c>
      <c r="L1843" s="9" t="s">
        <v>25</v>
      </c>
      <c r="M1843" s="11" t="s">
        <v>31</v>
      </c>
      <c r="N1843" s="10" t="s">
        <v>24</v>
      </c>
      <c r="O1843" s="10" t="s">
        <v>24</v>
      </c>
    </row>
    <row r="1844" spans="1:15" ht="15" thickBot="1" x14ac:dyDescent="0.4">
      <c r="B1844" t="str">
        <f t="shared" si="397"/>
        <v>RMC - South Chain</v>
      </c>
      <c r="C1844" s="16"/>
      <c r="D1844" s="16"/>
      <c r="E1844" s="16"/>
      <c r="F1844" s="16"/>
      <c r="G1844" s="16" t="s">
        <v>407</v>
      </c>
      <c r="H1844" s="24" t="s">
        <v>30</v>
      </c>
      <c r="I1844" s="1"/>
      <c r="J1844" s="1"/>
      <c r="K1844" s="1"/>
      <c r="L1844" s="1"/>
      <c r="M1844" s="1"/>
      <c r="N1844" s="1"/>
      <c r="O1844" s="1"/>
    </row>
    <row r="1845" spans="1:15" ht="15" thickBot="1" x14ac:dyDescent="0.4">
      <c r="A1845" t="str">
        <f t="shared" si="396"/>
        <v>FC356</v>
      </c>
      <c r="B1845" t="str">
        <f t="shared" si="397"/>
        <v>RMC - South Chain</v>
      </c>
      <c r="C1845" s="18"/>
      <c r="D1845" s="18"/>
      <c r="E1845" s="18"/>
      <c r="F1845" s="18"/>
      <c r="G1845" s="18"/>
      <c r="H1845" s="25"/>
      <c r="I1845" s="3" t="s">
        <v>18</v>
      </c>
      <c r="J1845" s="11"/>
      <c r="K1845" s="11"/>
      <c r="L1845" s="11"/>
      <c r="M1845" s="11"/>
      <c r="N1845" s="11"/>
      <c r="O1845" s="11"/>
    </row>
    <row r="1846" spans="1:15" ht="15" thickBot="1" x14ac:dyDescent="0.4">
      <c r="A1846" t="str">
        <f t="shared" si="398"/>
        <v>FC356</v>
      </c>
      <c r="B1846" t="str">
        <f t="shared" si="397"/>
        <v>RMC - South Chain</v>
      </c>
      <c r="C1846" s="18"/>
      <c r="D1846" s="18"/>
      <c r="E1846" s="18"/>
      <c r="F1846" s="18"/>
      <c r="G1846" s="18"/>
      <c r="H1846" s="25"/>
      <c r="I1846" s="5" t="s">
        <v>19</v>
      </c>
      <c r="J1846" s="11"/>
      <c r="K1846" s="11"/>
      <c r="L1846" s="11"/>
      <c r="M1846" s="11"/>
      <c r="N1846" s="11"/>
      <c r="O1846" s="11"/>
    </row>
    <row r="1847" spans="1:15" ht="15" thickBot="1" x14ac:dyDescent="0.4">
      <c r="A1847" t="str">
        <f t="shared" si="399"/>
        <v>FC356</v>
      </c>
      <c r="B1847" t="str">
        <f t="shared" si="397"/>
        <v>RMC - South Chain</v>
      </c>
      <c r="C1847" s="18"/>
      <c r="D1847" s="18"/>
      <c r="E1847" s="18"/>
      <c r="F1847" s="18"/>
      <c r="G1847" s="18"/>
      <c r="H1847" s="25"/>
      <c r="I1847" s="3" t="s">
        <v>20</v>
      </c>
      <c r="J1847" s="11"/>
      <c r="K1847" s="11"/>
      <c r="L1847" s="11"/>
      <c r="M1847" s="11"/>
      <c r="N1847" s="11"/>
      <c r="O1847" s="11"/>
    </row>
    <row r="1848" spans="1:15" ht="15" thickBot="1" x14ac:dyDescent="0.4">
      <c r="A1848" t="str">
        <f t="shared" si="400"/>
        <v>FC356</v>
      </c>
      <c r="B1848" t="str">
        <f t="shared" si="397"/>
        <v>RMC - South Chain</v>
      </c>
      <c r="C1848" s="18"/>
      <c r="D1848" s="18"/>
      <c r="E1848" s="18"/>
      <c r="F1848" s="18"/>
      <c r="G1848" s="18"/>
      <c r="H1848" s="25"/>
      <c r="I1848" s="5" t="s">
        <v>21</v>
      </c>
      <c r="J1848" s="11"/>
      <c r="K1848" s="11"/>
      <c r="L1848" s="11"/>
      <c r="M1848" s="11"/>
      <c r="N1848" s="11"/>
      <c r="O1848" s="11"/>
    </row>
    <row r="1849" spans="1:15" ht="15" thickBot="1" x14ac:dyDescent="0.4">
      <c r="A1849" t="str">
        <f t="shared" si="401"/>
        <v>FC356</v>
      </c>
      <c r="B1849" t="str">
        <f t="shared" si="397"/>
        <v>RMC - South Chain</v>
      </c>
      <c r="C1849" s="19"/>
      <c r="D1849" s="19"/>
      <c r="E1849" s="19"/>
      <c r="F1849" s="19"/>
      <c r="G1849" s="19"/>
      <c r="H1849" s="26"/>
      <c r="I1849" s="3" t="s">
        <v>22</v>
      </c>
      <c r="J1849" s="11" t="s">
        <v>31</v>
      </c>
      <c r="K1849" s="11" t="s">
        <v>46</v>
      </c>
      <c r="L1849" s="11" t="s">
        <v>46</v>
      </c>
      <c r="M1849" s="11" t="s">
        <v>46</v>
      </c>
      <c r="N1849" s="11" t="s">
        <v>46</v>
      </c>
      <c r="O1849" s="11" t="s">
        <v>46</v>
      </c>
    </row>
    <row r="1850" spans="1:15" ht="15" thickBot="1" x14ac:dyDescent="0.4">
      <c r="B1850" t="str">
        <f t="shared" si="397"/>
        <v>RMC - South Chain</v>
      </c>
      <c r="C1850" s="16"/>
      <c r="D1850" s="16"/>
      <c r="E1850" s="16"/>
      <c r="F1850" s="16"/>
      <c r="G1850" s="16" t="s">
        <v>408</v>
      </c>
      <c r="H1850" s="27" t="s">
        <v>34</v>
      </c>
      <c r="I1850" s="1"/>
      <c r="J1850" s="1"/>
      <c r="K1850" s="1"/>
      <c r="L1850" s="1"/>
      <c r="M1850" s="1"/>
      <c r="N1850" s="1"/>
      <c r="O1850" s="1"/>
    </row>
    <row r="1851" spans="1:15" ht="15" thickBot="1" x14ac:dyDescent="0.4">
      <c r="A1851" t="str">
        <f t="shared" si="396"/>
        <v>FC295</v>
      </c>
      <c r="B1851" t="str">
        <f t="shared" si="397"/>
        <v>RMC - South Chain</v>
      </c>
      <c r="C1851" s="18"/>
      <c r="D1851" s="18"/>
      <c r="E1851" s="18"/>
      <c r="F1851" s="18"/>
      <c r="G1851" s="18"/>
      <c r="H1851" s="28"/>
      <c r="I1851" s="3" t="s">
        <v>18</v>
      </c>
      <c r="J1851" s="4">
        <v>45</v>
      </c>
      <c r="K1851" s="4">
        <v>54</v>
      </c>
      <c r="L1851" s="4">
        <v>54</v>
      </c>
      <c r="M1851" s="4">
        <v>42</v>
      </c>
      <c r="N1851" s="4">
        <v>42</v>
      </c>
      <c r="O1851" s="4">
        <v>54</v>
      </c>
    </row>
    <row r="1852" spans="1:15" ht="15" thickBot="1" x14ac:dyDescent="0.4">
      <c r="A1852" t="str">
        <f t="shared" si="398"/>
        <v>FC295</v>
      </c>
      <c r="B1852" t="str">
        <f t="shared" si="397"/>
        <v>RMC - South Chain</v>
      </c>
      <c r="C1852" s="18"/>
      <c r="D1852" s="18"/>
      <c r="E1852" s="18"/>
      <c r="F1852" s="18"/>
      <c r="G1852" s="18"/>
      <c r="H1852" s="28"/>
      <c r="I1852" s="5" t="s">
        <v>19</v>
      </c>
      <c r="J1852" s="7">
        <v>75</v>
      </c>
      <c r="K1852" s="6">
        <v>64</v>
      </c>
      <c r="L1852" s="7">
        <v>72</v>
      </c>
      <c r="M1852" s="6">
        <v>68</v>
      </c>
      <c r="N1852" s="7">
        <v>73</v>
      </c>
      <c r="O1852" s="9">
        <v>96</v>
      </c>
    </row>
    <row r="1853" spans="1:15" ht="15" thickBot="1" x14ac:dyDescent="0.4">
      <c r="A1853" t="str">
        <f t="shared" si="399"/>
        <v>FC295</v>
      </c>
      <c r="B1853" t="str">
        <f t="shared" si="397"/>
        <v>RMC - South Chain</v>
      </c>
      <c r="C1853" s="18"/>
      <c r="D1853" s="18"/>
      <c r="E1853" s="18"/>
      <c r="F1853" s="18"/>
      <c r="G1853" s="18"/>
      <c r="H1853" s="28"/>
      <c r="I1853" s="3" t="s">
        <v>20</v>
      </c>
      <c r="J1853" s="10">
        <v>23.6</v>
      </c>
      <c r="K1853" s="10">
        <v>21.5</v>
      </c>
      <c r="L1853" s="10">
        <v>23.3</v>
      </c>
      <c r="M1853" s="9">
        <v>32</v>
      </c>
      <c r="N1853" s="7">
        <v>37.799999999999997</v>
      </c>
      <c r="O1853" s="9">
        <v>28.8</v>
      </c>
    </row>
    <row r="1854" spans="1:15" ht="15" thickBot="1" x14ac:dyDescent="0.4">
      <c r="A1854" t="str">
        <f t="shared" si="400"/>
        <v>FC295</v>
      </c>
      <c r="B1854" t="str">
        <f t="shared" si="397"/>
        <v>RMC - South Chain</v>
      </c>
      <c r="C1854" s="18"/>
      <c r="D1854" s="18"/>
      <c r="E1854" s="18"/>
      <c r="F1854" s="18"/>
      <c r="G1854" s="18"/>
      <c r="H1854" s="28"/>
      <c r="I1854" s="5" t="s">
        <v>21</v>
      </c>
      <c r="J1854" s="10">
        <v>1.05</v>
      </c>
      <c r="K1854" s="10">
        <v>0.99</v>
      </c>
      <c r="L1854" s="10">
        <v>1.03</v>
      </c>
      <c r="M1854" s="9">
        <v>0.71</v>
      </c>
      <c r="N1854" s="9">
        <v>0.64</v>
      </c>
      <c r="O1854" s="10">
        <v>1.1100000000000001</v>
      </c>
    </row>
    <row r="1855" spans="1:15" ht="15" thickBot="1" x14ac:dyDescent="0.4">
      <c r="A1855" t="str">
        <f t="shared" si="401"/>
        <v>FC295</v>
      </c>
      <c r="B1855" t="str">
        <f t="shared" si="397"/>
        <v>RMC - South Chain</v>
      </c>
      <c r="C1855" s="19"/>
      <c r="D1855" s="19"/>
      <c r="E1855" s="19"/>
      <c r="F1855" s="19"/>
      <c r="G1855" s="19"/>
      <c r="H1855" s="29"/>
      <c r="I1855" s="3" t="s">
        <v>22</v>
      </c>
      <c r="J1855" s="10" t="s">
        <v>24</v>
      </c>
      <c r="K1855" s="10" t="s">
        <v>24</v>
      </c>
      <c r="L1855" s="10" t="s">
        <v>24</v>
      </c>
      <c r="M1855" s="9" t="s">
        <v>25</v>
      </c>
      <c r="N1855" s="9" t="s">
        <v>25</v>
      </c>
      <c r="O1855" s="10" t="s">
        <v>24</v>
      </c>
    </row>
    <row r="1856" spans="1:15" ht="15" thickBot="1" x14ac:dyDescent="0.4">
      <c r="B1856" t="str">
        <f t="shared" si="397"/>
        <v>RMC - South Chain</v>
      </c>
      <c r="C1856" s="16"/>
      <c r="D1856" s="16"/>
      <c r="E1856" s="16"/>
      <c r="F1856" s="16"/>
      <c r="G1856" s="16" t="s">
        <v>409</v>
      </c>
      <c r="H1856" s="30" t="s">
        <v>39</v>
      </c>
      <c r="I1856" s="1"/>
      <c r="J1856" s="1"/>
      <c r="K1856" s="1"/>
      <c r="L1856" s="1"/>
      <c r="M1856" s="1"/>
      <c r="N1856" s="1"/>
      <c r="O1856" s="1"/>
    </row>
    <row r="1857" spans="1:15" ht="15" thickBot="1" x14ac:dyDescent="0.4">
      <c r="A1857" t="str">
        <f t="shared" si="396"/>
        <v>FC287</v>
      </c>
      <c r="B1857" t="str">
        <f t="shared" si="397"/>
        <v>RMC - South Chain</v>
      </c>
      <c r="C1857" s="18"/>
      <c r="D1857" s="18"/>
      <c r="E1857" s="18"/>
      <c r="F1857" s="18"/>
      <c r="G1857" s="18"/>
      <c r="H1857" s="31"/>
      <c r="I1857" s="3" t="s">
        <v>18</v>
      </c>
      <c r="J1857" s="4">
        <v>36</v>
      </c>
      <c r="K1857" s="4">
        <v>30</v>
      </c>
      <c r="L1857" s="4">
        <v>36</v>
      </c>
      <c r="M1857" s="4">
        <v>30</v>
      </c>
      <c r="N1857" s="4">
        <v>36</v>
      </c>
      <c r="O1857" s="4">
        <v>30</v>
      </c>
    </row>
    <row r="1858" spans="1:15" ht="15" thickBot="1" x14ac:dyDescent="0.4">
      <c r="A1858" t="str">
        <f t="shared" si="398"/>
        <v>FC287</v>
      </c>
      <c r="B1858" t="str">
        <f t="shared" si="397"/>
        <v>RMC - South Chain</v>
      </c>
      <c r="C1858" s="18"/>
      <c r="D1858" s="18"/>
      <c r="E1858" s="18"/>
      <c r="F1858" s="18"/>
      <c r="G1858" s="18"/>
      <c r="H1858" s="31"/>
      <c r="I1858" s="5" t="s">
        <v>19</v>
      </c>
      <c r="J1858" s="9">
        <v>97</v>
      </c>
      <c r="K1858" s="9">
        <v>119</v>
      </c>
      <c r="L1858" s="7">
        <v>78</v>
      </c>
      <c r="M1858" s="7">
        <v>87</v>
      </c>
      <c r="N1858" s="7">
        <v>80</v>
      </c>
      <c r="O1858" s="7">
        <v>81</v>
      </c>
    </row>
    <row r="1859" spans="1:15" ht="15" thickBot="1" x14ac:dyDescent="0.4">
      <c r="A1859" t="str">
        <f t="shared" si="399"/>
        <v>FC287</v>
      </c>
      <c r="B1859" t="str">
        <f t="shared" si="397"/>
        <v>RMC - South Chain</v>
      </c>
      <c r="C1859" s="18"/>
      <c r="D1859" s="18"/>
      <c r="E1859" s="18"/>
      <c r="F1859" s="18"/>
      <c r="G1859" s="18"/>
      <c r="H1859" s="31"/>
      <c r="I1859" s="3" t="s">
        <v>20</v>
      </c>
      <c r="J1859" s="10">
        <v>26</v>
      </c>
      <c r="K1859" s="6">
        <v>44.5</v>
      </c>
      <c r="L1859" s="7">
        <v>41.1</v>
      </c>
      <c r="M1859" s="9">
        <v>31.5</v>
      </c>
      <c r="N1859" s="10">
        <v>20</v>
      </c>
      <c r="O1859" s="9">
        <v>33.1</v>
      </c>
    </row>
    <row r="1860" spans="1:15" ht="15" thickBot="1" x14ac:dyDescent="0.4">
      <c r="A1860" t="str">
        <f t="shared" si="400"/>
        <v>FC287</v>
      </c>
      <c r="B1860" t="str">
        <f t="shared" si="397"/>
        <v>RMC - South Chain</v>
      </c>
      <c r="C1860" s="18"/>
      <c r="D1860" s="18"/>
      <c r="E1860" s="18"/>
      <c r="F1860" s="18"/>
      <c r="G1860" s="18"/>
      <c r="H1860" s="31"/>
      <c r="I1860" s="5" t="s">
        <v>21</v>
      </c>
      <c r="J1860" s="10">
        <v>1.24</v>
      </c>
      <c r="K1860" s="10">
        <v>0.89</v>
      </c>
      <c r="L1860" s="9">
        <v>0.64</v>
      </c>
      <c r="M1860" s="10">
        <v>0.92</v>
      </c>
      <c r="N1860" s="10">
        <v>1.33</v>
      </c>
      <c r="O1860" s="10">
        <v>0.81</v>
      </c>
    </row>
    <row r="1861" spans="1:15" ht="15" thickBot="1" x14ac:dyDescent="0.4">
      <c r="A1861" t="str">
        <f t="shared" si="401"/>
        <v>FC287</v>
      </c>
      <c r="B1861" t="str">
        <f t="shared" si="397"/>
        <v>RMC - South Chain</v>
      </c>
      <c r="C1861" s="19"/>
      <c r="D1861" s="19"/>
      <c r="E1861" s="19"/>
      <c r="F1861" s="19"/>
      <c r="G1861" s="19"/>
      <c r="H1861" s="32"/>
      <c r="I1861" s="3" t="s">
        <v>22</v>
      </c>
      <c r="J1861" s="10" t="s">
        <v>24</v>
      </c>
      <c r="K1861" s="10" t="s">
        <v>24</v>
      </c>
      <c r="L1861" s="11"/>
      <c r="M1861" s="10" t="s">
        <v>24</v>
      </c>
      <c r="N1861" s="10" t="s">
        <v>24</v>
      </c>
      <c r="O1861" s="10" t="s">
        <v>24</v>
      </c>
    </row>
    <row r="1862" spans="1:15" ht="15" thickBot="1" x14ac:dyDescent="0.4">
      <c r="B1862" t="str">
        <f t="shared" si="397"/>
        <v>RMC - South Chain</v>
      </c>
      <c r="C1862" s="16"/>
      <c r="D1862" s="16"/>
      <c r="E1862" s="16"/>
      <c r="F1862" s="16"/>
      <c r="G1862" s="16" t="s">
        <v>410</v>
      </c>
      <c r="H1862" s="27" t="s">
        <v>34</v>
      </c>
      <c r="I1862" s="1"/>
      <c r="J1862" s="1"/>
      <c r="K1862" s="1"/>
      <c r="L1862" s="1"/>
      <c r="M1862" s="1"/>
      <c r="N1862" s="1"/>
      <c r="O1862" s="1"/>
    </row>
    <row r="1863" spans="1:15" ht="15" thickBot="1" x14ac:dyDescent="0.4">
      <c r="A1863" t="str">
        <f t="shared" si="396"/>
        <v>FC282</v>
      </c>
      <c r="B1863" t="str">
        <f t="shared" si="397"/>
        <v>RMC - South Chain</v>
      </c>
      <c r="C1863" s="18"/>
      <c r="D1863" s="18"/>
      <c r="E1863" s="18"/>
      <c r="F1863" s="18"/>
      <c r="G1863" s="18"/>
      <c r="H1863" s="28"/>
      <c r="I1863" s="3" t="s">
        <v>18</v>
      </c>
      <c r="J1863" s="4">
        <v>42</v>
      </c>
      <c r="K1863" s="4">
        <v>41</v>
      </c>
      <c r="L1863" s="4">
        <v>33</v>
      </c>
      <c r="M1863" s="4">
        <v>57</v>
      </c>
      <c r="N1863" s="8">
        <v>15</v>
      </c>
      <c r="O1863" s="4">
        <v>36</v>
      </c>
    </row>
    <row r="1864" spans="1:15" ht="15" thickBot="1" x14ac:dyDescent="0.4">
      <c r="A1864" t="str">
        <f t="shared" si="398"/>
        <v>FC282</v>
      </c>
      <c r="B1864" t="str">
        <f t="shared" si="397"/>
        <v>RMC - South Chain</v>
      </c>
      <c r="C1864" s="18"/>
      <c r="D1864" s="18"/>
      <c r="E1864" s="18"/>
      <c r="F1864" s="18"/>
      <c r="G1864" s="18"/>
      <c r="H1864" s="28"/>
      <c r="I1864" s="5" t="s">
        <v>19</v>
      </c>
      <c r="J1864" s="7">
        <v>86</v>
      </c>
      <c r="K1864" s="6">
        <v>59</v>
      </c>
      <c r="L1864" s="6">
        <v>58</v>
      </c>
      <c r="M1864" s="6">
        <v>53</v>
      </c>
      <c r="N1864" s="6">
        <v>50</v>
      </c>
      <c r="O1864" s="7">
        <v>83</v>
      </c>
    </row>
    <row r="1865" spans="1:15" ht="15" thickBot="1" x14ac:dyDescent="0.4">
      <c r="A1865" t="str">
        <f t="shared" si="399"/>
        <v>FC282</v>
      </c>
      <c r="B1865" t="str">
        <f t="shared" si="397"/>
        <v>RMC - South Chain</v>
      </c>
      <c r="C1865" s="18"/>
      <c r="D1865" s="18"/>
      <c r="E1865" s="18"/>
      <c r="F1865" s="18"/>
      <c r="G1865" s="18"/>
      <c r="H1865" s="28"/>
      <c r="I1865" s="3" t="s">
        <v>20</v>
      </c>
      <c r="J1865" s="7">
        <v>37.1</v>
      </c>
      <c r="K1865" s="9">
        <v>33.6</v>
      </c>
      <c r="L1865" s="10">
        <v>26.5</v>
      </c>
      <c r="M1865" s="9">
        <v>31.5</v>
      </c>
      <c r="N1865" s="10">
        <v>21.1</v>
      </c>
      <c r="O1865" s="10">
        <v>20.3</v>
      </c>
    </row>
    <row r="1866" spans="1:15" ht="15" thickBot="1" x14ac:dyDescent="0.4">
      <c r="A1866" t="str">
        <f t="shared" si="400"/>
        <v>FC282</v>
      </c>
      <c r="B1866" t="str">
        <f t="shared" si="397"/>
        <v>RMC - South Chain</v>
      </c>
      <c r="C1866" s="18"/>
      <c r="D1866" s="18"/>
      <c r="E1866" s="18"/>
      <c r="F1866" s="18"/>
      <c r="G1866" s="18"/>
      <c r="H1866" s="28"/>
      <c r="I1866" s="5" t="s">
        <v>21</v>
      </c>
      <c r="J1866" s="9">
        <v>0.77</v>
      </c>
      <c r="K1866" s="9">
        <v>0.59</v>
      </c>
      <c r="L1866" s="9">
        <v>0.73</v>
      </c>
      <c r="M1866" s="9">
        <v>0.56000000000000005</v>
      </c>
      <c r="N1866" s="10">
        <v>0.79</v>
      </c>
      <c r="O1866" s="10">
        <v>1.36</v>
      </c>
    </row>
    <row r="1867" spans="1:15" ht="15" thickBot="1" x14ac:dyDescent="0.4">
      <c r="A1867" t="str">
        <f t="shared" si="401"/>
        <v>FC282</v>
      </c>
      <c r="B1867" t="str">
        <f t="shared" si="397"/>
        <v>RMC - South Chain</v>
      </c>
      <c r="C1867" s="19"/>
      <c r="D1867" s="19"/>
      <c r="E1867" s="19"/>
      <c r="F1867" s="19"/>
      <c r="G1867" s="19"/>
      <c r="H1867" s="29"/>
      <c r="I1867" s="3" t="s">
        <v>22</v>
      </c>
      <c r="J1867" s="10" t="s">
        <v>24</v>
      </c>
      <c r="K1867" s="9" t="s">
        <v>25</v>
      </c>
      <c r="L1867" s="9" t="s">
        <v>25</v>
      </c>
      <c r="M1867" s="9" t="s">
        <v>25</v>
      </c>
      <c r="N1867" s="9" t="s">
        <v>25</v>
      </c>
      <c r="O1867" s="10" t="s">
        <v>24</v>
      </c>
    </row>
    <row r="1868" spans="1:15" ht="15" thickBot="1" x14ac:dyDescent="0.4">
      <c r="B1868" t="str">
        <f t="shared" si="397"/>
        <v>RMC - South Chain</v>
      </c>
      <c r="C1868" s="16"/>
      <c r="D1868" s="16"/>
      <c r="E1868" s="16"/>
      <c r="F1868" s="16"/>
      <c r="G1868" s="16" t="s">
        <v>411</v>
      </c>
      <c r="H1868" s="27" t="s">
        <v>34</v>
      </c>
      <c r="I1868" s="1"/>
      <c r="J1868" s="1"/>
      <c r="K1868" s="1"/>
      <c r="L1868" s="1"/>
      <c r="M1868" s="1"/>
      <c r="N1868" s="1"/>
      <c r="O1868" s="1"/>
    </row>
    <row r="1869" spans="1:15" ht="15" thickBot="1" x14ac:dyDescent="0.4">
      <c r="A1869" t="str">
        <f t="shared" si="396"/>
        <v>FC040</v>
      </c>
      <c r="B1869" t="str">
        <f t="shared" si="397"/>
        <v>RMC - South Chain</v>
      </c>
      <c r="C1869" s="18"/>
      <c r="D1869" s="18"/>
      <c r="E1869" s="18"/>
      <c r="F1869" s="18"/>
      <c r="G1869" s="18"/>
      <c r="H1869" s="28"/>
      <c r="I1869" s="3" t="s">
        <v>18</v>
      </c>
      <c r="J1869" s="4">
        <v>39</v>
      </c>
      <c r="K1869" s="4">
        <v>30</v>
      </c>
      <c r="L1869" s="4">
        <v>36</v>
      </c>
      <c r="M1869" s="4">
        <v>39</v>
      </c>
      <c r="N1869" s="4">
        <v>33</v>
      </c>
      <c r="O1869" s="4">
        <v>52</v>
      </c>
    </row>
    <row r="1870" spans="1:15" ht="15" thickBot="1" x14ac:dyDescent="0.4">
      <c r="A1870" t="str">
        <f t="shared" si="398"/>
        <v>FC040</v>
      </c>
      <c r="B1870" t="str">
        <f t="shared" si="397"/>
        <v>RMC - South Chain</v>
      </c>
      <c r="C1870" s="18"/>
      <c r="D1870" s="18"/>
      <c r="E1870" s="18"/>
      <c r="F1870" s="18"/>
      <c r="G1870" s="18"/>
      <c r="H1870" s="28"/>
      <c r="I1870" s="5" t="s">
        <v>19</v>
      </c>
      <c r="J1870" s="7">
        <v>73</v>
      </c>
      <c r="K1870" s="7">
        <v>70</v>
      </c>
      <c r="L1870" s="7">
        <v>80</v>
      </c>
      <c r="M1870" s="7">
        <v>80</v>
      </c>
      <c r="N1870" s="7">
        <v>73</v>
      </c>
      <c r="O1870" s="9">
        <v>121</v>
      </c>
    </row>
    <row r="1871" spans="1:15" ht="15" thickBot="1" x14ac:dyDescent="0.4">
      <c r="A1871" t="str">
        <f t="shared" si="399"/>
        <v>FC040</v>
      </c>
      <c r="B1871" t="str">
        <f t="shared" si="397"/>
        <v>RMC - South Chain</v>
      </c>
      <c r="C1871" s="18"/>
      <c r="D1871" s="18"/>
      <c r="E1871" s="18"/>
      <c r="F1871" s="18"/>
      <c r="G1871" s="18"/>
      <c r="H1871" s="28"/>
      <c r="I1871" s="3" t="s">
        <v>20</v>
      </c>
      <c r="J1871" s="10">
        <v>25.3</v>
      </c>
      <c r="K1871" s="10">
        <v>25.1</v>
      </c>
      <c r="L1871" s="10">
        <v>24.8</v>
      </c>
      <c r="M1871" s="10">
        <v>27.2</v>
      </c>
      <c r="N1871" s="10">
        <v>27.3</v>
      </c>
      <c r="O1871" s="10">
        <v>25.5</v>
      </c>
    </row>
    <row r="1872" spans="1:15" ht="15" thickBot="1" x14ac:dyDescent="0.4">
      <c r="A1872" t="str">
        <f t="shared" si="400"/>
        <v>FC040</v>
      </c>
      <c r="B1872" t="str">
        <f t="shared" si="397"/>
        <v>RMC - South Chain</v>
      </c>
      <c r="C1872" s="18"/>
      <c r="D1872" s="18"/>
      <c r="E1872" s="18"/>
      <c r="F1872" s="18"/>
      <c r="G1872" s="18"/>
      <c r="H1872" s="28"/>
      <c r="I1872" s="5" t="s">
        <v>21</v>
      </c>
      <c r="J1872" s="10">
        <v>0.96</v>
      </c>
      <c r="K1872" s="10">
        <v>0.92</v>
      </c>
      <c r="L1872" s="10">
        <v>1.08</v>
      </c>
      <c r="M1872" s="10">
        <v>0.98</v>
      </c>
      <c r="N1872" s="10">
        <v>0.89</v>
      </c>
      <c r="O1872" s="10">
        <v>1.58</v>
      </c>
    </row>
    <row r="1873" spans="1:15" ht="15" thickBot="1" x14ac:dyDescent="0.4">
      <c r="A1873" t="str">
        <f t="shared" si="401"/>
        <v>FC040</v>
      </c>
      <c r="B1873" t="str">
        <f t="shared" si="397"/>
        <v>RMC - South Chain</v>
      </c>
      <c r="C1873" s="19"/>
      <c r="D1873" s="19"/>
      <c r="E1873" s="19"/>
      <c r="F1873" s="19"/>
      <c r="G1873" s="19"/>
      <c r="H1873" s="29"/>
      <c r="I1873" s="3" t="s">
        <v>22</v>
      </c>
      <c r="J1873" s="10" t="s">
        <v>24</v>
      </c>
      <c r="K1873" s="10" t="s">
        <v>24</v>
      </c>
      <c r="L1873" s="10" t="s">
        <v>24</v>
      </c>
      <c r="M1873" s="10" t="s">
        <v>24</v>
      </c>
      <c r="N1873" s="10" t="s">
        <v>24</v>
      </c>
      <c r="O1873" s="11"/>
    </row>
    <row r="1874" spans="1:15" ht="15" thickBot="1" x14ac:dyDescent="0.4">
      <c r="B1874" t="str">
        <f t="shared" si="397"/>
        <v>RMC - South Chain</v>
      </c>
      <c r="C1874" s="16"/>
      <c r="D1874" s="16"/>
      <c r="E1874" s="16"/>
      <c r="F1874" s="16"/>
      <c r="G1874" s="16" t="s">
        <v>412</v>
      </c>
      <c r="H1874" s="27" t="s">
        <v>34</v>
      </c>
      <c r="I1874" s="1"/>
      <c r="J1874" s="1"/>
      <c r="K1874" s="1"/>
      <c r="L1874" s="1"/>
      <c r="M1874" s="1"/>
      <c r="N1874" s="1"/>
      <c r="O1874" s="1"/>
    </row>
    <row r="1875" spans="1:15" ht="15" thickBot="1" x14ac:dyDescent="0.4">
      <c r="A1875" t="str">
        <f t="shared" si="396"/>
        <v>FC396</v>
      </c>
      <c r="B1875" t="str">
        <f t="shared" si="397"/>
        <v>RMC - South Chain</v>
      </c>
      <c r="C1875" s="18"/>
      <c r="D1875" s="18"/>
      <c r="E1875" s="18"/>
      <c r="F1875" s="18"/>
      <c r="G1875" s="18"/>
      <c r="H1875" s="28"/>
      <c r="I1875" s="3" t="s">
        <v>18</v>
      </c>
      <c r="J1875" s="4">
        <v>36</v>
      </c>
      <c r="K1875" s="4">
        <v>36</v>
      </c>
      <c r="L1875" s="4">
        <v>33</v>
      </c>
      <c r="M1875" s="4">
        <v>40</v>
      </c>
      <c r="N1875" s="4">
        <v>48</v>
      </c>
      <c r="O1875" s="4">
        <v>39</v>
      </c>
    </row>
    <row r="1876" spans="1:15" ht="15" thickBot="1" x14ac:dyDescent="0.4">
      <c r="A1876" t="str">
        <f t="shared" si="398"/>
        <v>FC396</v>
      </c>
      <c r="B1876" t="str">
        <f t="shared" si="397"/>
        <v>RMC - South Chain</v>
      </c>
      <c r="C1876" s="18"/>
      <c r="D1876" s="18"/>
      <c r="E1876" s="18"/>
      <c r="F1876" s="18"/>
      <c r="G1876" s="18"/>
      <c r="H1876" s="28"/>
      <c r="I1876" s="5" t="s">
        <v>19</v>
      </c>
      <c r="J1876" s="7">
        <v>70</v>
      </c>
      <c r="K1876" s="6">
        <v>63</v>
      </c>
      <c r="L1876" s="6">
        <v>59</v>
      </c>
      <c r="M1876" s="6">
        <v>54</v>
      </c>
      <c r="N1876" s="6">
        <v>63</v>
      </c>
      <c r="O1876" s="8">
        <v>48</v>
      </c>
    </row>
    <row r="1877" spans="1:15" ht="15" thickBot="1" x14ac:dyDescent="0.4">
      <c r="A1877" t="str">
        <f t="shared" si="399"/>
        <v>FC396</v>
      </c>
      <c r="B1877" t="str">
        <f t="shared" si="397"/>
        <v>RMC - South Chain</v>
      </c>
      <c r="C1877" s="18"/>
      <c r="D1877" s="18"/>
      <c r="E1877" s="18"/>
      <c r="F1877" s="18"/>
      <c r="G1877" s="18"/>
      <c r="H1877" s="28"/>
      <c r="I1877" s="3" t="s">
        <v>20</v>
      </c>
      <c r="J1877" s="9">
        <v>30.3</v>
      </c>
      <c r="K1877" s="10">
        <v>17.899999999999999</v>
      </c>
      <c r="L1877" s="10">
        <v>22</v>
      </c>
      <c r="M1877" s="10">
        <v>18.5</v>
      </c>
      <c r="N1877" s="10">
        <v>18.2</v>
      </c>
      <c r="O1877" s="10">
        <v>19.100000000000001</v>
      </c>
    </row>
    <row r="1878" spans="1:15" ht="15" thickBot="1" x14ac:dyDescent="0.4">
      <c r="A1878" t="str">
        <f t="shared" si="400"/>
        <v>FC396</v>
      </c>
      <c r="B1878" t="str">
        <f t="shared" si="397"/>
        <v>RMC - South Chain</v>
      </c>
      <c r="C1878" s="18"/>
      <c r="D1878" s="18"/>
      <c r="E1878" s="18"/>
      <c r="F1878" s="18"/>
      <c r="G1878" s="18"/>
      <c r="H1878" s="28"/>
      <c r="I1878" s="5" t="s">
        <v>21</v>
      </c>
      <c r="J1878" s="9">
        <v>0.77</v>
      </c>
      <c r="K1878" s="10">
        <v>1.17</v>
      </c>
      <c r="L1878" s="10">
        <v>0.9</v>
      </c>
      <c r="M1878" s="10">
        <v>0.97</v>
      </c>
      <c r="N1878" s="10">
        <v>1.1599999999999999</v>
      </c>
      <c r="O1878" s="10">
        <v>0.84</v>
      </c>
    </row>
    <row r="1879" spans="1:15" ht="15" thickBot="1" x14ac:dyDescent="0.4">
      <c r="A1879" t="str">
        <f t="shared" si="401"/>
        <v>FC396</v>
      </c>
      <c r="B1879" t="str">
        <f t="shared" si="397"/>
        <v>RMC - South Chain</v>
      </c>
      <c r="C1879" s="19"/>
      <c r="D1879" s="19"/>
      <c r="E1879" s="19"/>
      <c r="F1879" s="19"/>
      <c r="G1879" s="19"/>
      <c r="H1879" s="29"/>
      <c r="I1879" s="3" t="s">
        <v>22</v>
      </c>
      <c r="J1879" s="9" t="s">
        <v>25</v>
      </c>
      <c r="K1879" s="10" t="s">
        <v>24</v>
      </c>
      <c r="L1879" s="10" t="s">
        <v>24</v>
      </c>
      <c r="M1879" s="10" t="s">
        <v>24</v>
      </c>
      <c r="N1879" s="10" t="s">
        <v>24</v>
      </c>
      <c r="O1879" s="9" t="s">
        <v>25</v>
      </c>
    </row>
    <row r="1880" spans="1:15" ht="15" thickBot="1" x14ac:dyDescent="0.4">
      <c r="B1880" t="str">
        <f t="shared" si="397"/>
        <v>RMC - South Chain</v>
      </c>
      <c r="C1880" s="16"/>
      <c r="D1880" s="16"/>
      <c r="E1880" s="16"/>
      <c r="F1880" s="16"/>
      <c r="G1880" s="16" t="s">
        <v>413</v>
      </c>
      <c r="H1880" s="27" t="s">
        <v>34</v>
      </c>
      <c r="I1880" s="1"/>
      <c r="J1880" s="1"/>
      <c r="K1880" s="1"/>
      <c r="L1880" s="1"/>
      <c r="M1880" s="1"/>
      <c r="N1880" s="1"/>
      <c r="O1880" s="1"/>
    </row>
    <row r="1881" spans="1:15" ht="15" thickBot="1" x14ac:dyDescent="0.4">
      <c r="A1881" t="str">
        <f t="shared" si="396"/>
        <v>FC029</v>
      </c>
      <c r="B1881" t="str">
        <f t="shared" si="397"/>
        <v>RMC - South Chain</v>
      </c>
      <c r="C1881" s="18"/>
      <c r="D1881" s="18"/>
      <c r="E1881" s="18"/>
      <c r="F1881" s="18"/>
      <c r="G1881" s="18"/>
      <c r="H1881" s="28"/>
      <c r="I1881" s="3" t="s">
        <v>18</v>
      </c>
      <c r="J1881" s="4">
        <v>48</v>
      </c>
      <c r="K1881" s="4">
        <v>48</v>
      </c>
      <c r="L1881" s="4">
        <v>51</v>
      </c>
      <c r="M1881" s="4">
        <v>48</v>
      </c>
      <c r="N1881" s="4">
        <v>50</v>
      </c>
      <c r="O1881" s="4">
        <v>47</v>
      </c>
    </row>
    <row r="1882" spans="1:15" ht="15" thickBot="1" x14ac:dyDescent="0.4">
      <c r="A1882" t="str">
        <f t="shared" si="398"/>
        <v>FC029</v>
      </c>
      <c r="B1882" t="str">
        <f t="shared" si="397"/>
        <v>RMC - South Chain</v>
      </c>
      <c r="C1882" s="18"/>
      <c r="D1882" s="18"/>
      <c r="E1882" s="18"/>
      <c r="F1882" s="18"/>
      <c r="G1882" s="18"/>
      <c r="H1882" s="28"/>
      <c r="I1882" s="5" t="s">
        <v>19</v>
      </c>
      <c r="J1882" s="7">
        <v>84</v>
      </c>
      <c r="K1882" s="7">
        <v>78</v>
      </c>
      <c r="L1882" s="7">
        <v>80</v>
      </c>
      <c r="M1882" s="6">
        <v>64</v>
      </c>
      <c r="N1882" s="6">
        <v>53</v>
      </c>
      <c r="O1882" s="9">
        <v>91</v>
      </c>
    </row>
    <row r="1883" spans="1:15" ht="15" thickBot="1" x14ac:dyDescent="0.4">
      <c r="A1883" t="str">
        <f t="shared" si="399"/>
        <v>FC029</v>
      </c>
      <c r="B1883" t="str">
        <f t="shared" si="397"/>
        <v>RMC - South Chain</v>
      </c>
      <c r="C1883" s="18"/>
      <c r="D1883" s="18"/>
      <c r="E1883" s="18"/>
      <c r="F1883" s="18"/>
      <c r="G1883" s="18"/>
      <c r="H1883" s="28"/>
      <c r="I1883" s="3" t="s">
        <v>20</v>
      </c>
      <c r="J1883" s="9">
        <v>29.6</v>
      </c>
      <c r="K1883" s="10">
        <v>24.5</v>
      </c>
      <c r="L1883" s="9">
        <v>29</v>
      </c>
      <c r="M1883" s="10">
        <v>23.8</v>
      </c>
      <c r="N1883" s="10">
        <v>20.8</v>
      </c>
      <c r="O1883" s="9">
        <v>31.7</v>
      </c>
    </row>
    <row r="1884" spans="1:15" ht="15" thickBot="1" x14ac:dyDescent="0.4">
      <c r="A1884" t="str">
        <f t="shared" si="400"/>
        <v>FC029</v>
      </c>
      <c r="B1884" t="str">
        <f t="shared" si="397"/>
        <v>RMC - South Chain</v>
      </c>
      <c r="C1884" s="18"/>
      <c r="D1884" s="18"/>
      <c r="E1884" s="18"/>
      <c r="F1884" s="18"/>
      <c r="G1884" s="18"/>
      <c r="H1884" s="28"/>
      <c r="I1884" s="5" t="s">
        <v>21</v>
      </c>
      <c r="J1884" s="10">
        <v>0.94</v>
      </c>
      <c r="K1884" s="10">
        <v>1.05</v>
      </c>
      <c r="L1884" s="10">
        <v>0.92</v>
      </c>
      <c r="M1884" s="10">
        <v>0.89</v>
      </c>
      <c r="N1884" s="10">
        <v>0.85</v>
      </c>
      <c r="O1884" s="10">
        <v>0.96</v>
      </c>
    </row>
    <row r="1885" spans="1:15" ht="15" thickBot="1" x14ac:dyDescent="0.4">
      <c r="A1885" t="str">
        <f t="shared" si="401"/>
        <v>FC029</v>
      </c>
      <c r="B1885" t="str">
        <f t="shared" si="397"/>
        <v>RMC - South Chain</v>
      </c>
      <c r="C1885" s="19"/>
      <c r="D1885" s="19"/>
      <c r="E1885" s="19"/>
      <c r="F1885" s="19"/>
      <c r="G1885" s="19"/>
      <c r="H1885" s="29"/>
      <c r="I1885" s="3" t="s">
        <v>22</v>
      </c>
      <c r="J1885" s="10" t="s">
        <v>24</v>
      </c>
      <c r="K1885" s="10" t="s">
        <v>24</v>
      </c>
      <c r="L1885" s="10" t="s">
        <v>24</v>
      </c>
      <c r="M1885" s="10" t="s">
        <v>24</v>
      </c>
      <c r="N1885" s="9" t="s">
        <v>25</v>
      </c>
      <c r="O1885" s="10" t="s">
        <v>24</v>
      </c>
    </row>
    <row r="1886" spans="1:15" ht="15" thickBot="1" x14ac:dyDescent="0.4">
      <c r="B1886" t="str">
        <f t="shared" si="397"/>
        <v>RMC - South Chain</v>
      </c>
      <c r="C1886" s="16"/>
      <c r="D1886" s="16"/>
      <c r="E1886" s="16"/>
      <c r="F1886" s="16" t="s">
        <v>414</v>
      </c>
      <c r="G1886" s="16" t="s">
        <v>415</v>
      </c>
      <c r="H1886" s="27" t="s">
        <v>34</v>
      </c>
      <c r="I1886" s="1"/>
      <c r="J1886" s="1"/>
      <c r="K1886" s="1"/>
      <c r="L1886" s="1"/>
      <c r="M1886" s="1"/>
      <c r="N1886" s="1"/>
      <c r="O1886" s="1"/>
    </row>
    <row r="1887" spans="1:15" ht="15" thickBot="1" x14ac:dyDescent="0.4">
      <c r="A1887" t="str">
        <f t="shared" si="396"/>
        <v>FC098</v>
      </c>
      <c r="B1887" t="str">
        <f t="shared" si="397"/>
        <v>RMC - South Chain</v>
      </c>
      <c r="C1887" s="18"/>
      <c r="D1887" s="18"/>
      <c r="E1887" s="18"/>
      <c r="F1887" s="18"/>
      <c r="G1887" s="18"/>
      <c r="H1887" s="28"/>
      <c r="I1887" s="3" t="s">
        <v>18</v>
      </c>
      <c r="J1887" s="4">
        <v>38</v>
      </c>
      <c r="K1887" s="4">
        <v>33</v>
      </c>
      <c r="L1887" s="4">
        <v>33</v>
      </c>
      <c r="M1887" s="4">
        <v>30</v>
      </c>
      <c r="N1887" s="4">
        <v>32</v>
      </c>
      <c r="O1887" s="4">
        <v>33</v>
      </c>
    </row>
    <row r="1888" spans="1:15" ht="15" thickBot="1" x14ac:dyDescent="0.4">
      <c r="A1888" t="str">
        <f t="shared" si="398"/>
        <v>FC098</v>
      </c>
      <c r="B1888" t="str">
        <f t="shared" si="397"/>
        <v>RMC - South Chain</v>
      </c>
      <c r="C1888" s="18"/>
      <c r="D1888" s="18"/>
      <c r="E1888" s="18"/>
      <c r="F1888" s="18"/>
      <c r="G1888" s="18"/>
      <c r="H1888" s="28"/>
      <c r="I1888" s="5" t="s">
        <v>19</v>
      </c>
      <c r="J1888" s="9">
        <v>93</v>
      </c>
      <c r="K1888" s="7">
        <v>90</v>
      </c>
      <c r="L1888" s="9">
        <v>98</v>
      </c>
      <c r="M1888" s="7">
        <v>74</v>
      </c>
      <c r="N1888" s="7">
        <v>88</v>
      </c>
      <c r="O1888" s="6">
        <v>58</v>
      </c>
    </row>
    <row r="1889" spans="1:15" ht="15" thickBot="1" x14ac:dyDescent="0.4">
      <c r="A1889" t="str">
        <f t="shared" si="399"/>
        <v>FC098</v>
      </c>
      <c r="B1889" t="str">
        <f t="shared" si="397"/>
        <v>RMC - South Chain</v>
      </c>
      <c r="C1889" s="18"/>
      <c r="D1889" s="18"/>
      <c r="E1889" s="18"/>
      <c r="F1889" s="18"/>
      <c r="G1889" s="18"/>
      <c r="H1889" s="28"/>
      <c r="I1889" s="3" t="s">
        <v>20</v>
      </c>
      <c r="J1889" s="9">
        <v>32.6</v>
      </c>
      <c r="K1889" s="9">
        <v>34</v>
      </c>
      <c r="L1889" s="9">
        <v>32.6</v>
      </c>
      <c r="M1889" s="9">
        <v>32.799999999999997</v>
      </c>
      <c r="N1889" s="6">
        <v>43.8</v>
      </c>
      <c r="O1889" s="7">
        <v>34.799999999999997</v>
      </c>
    </row>
    <row r="1890" spans="1:15" ht="15" thickBot="1" x14ac:dyDescent="0.4">
      <c r="A1890" t="str">
        <f t="shared" si="400"/>
        <v>FC098</v>
      </c>
      <c r="B1890" t="str">
        <f t="shared" si="397"/>
        <v>RMC - South Chain</v>
      </c>
      <c r="C1890" s="18"/>
      <c r="D1890" s="18"/>
      <c r="E1890" s="18"/>
      <c r="F1890" s="18"/>
      <c r="G1890" s="18"/>
      <c r="H1890" s="28"/>
      <c r="I1890" s="5" t="s">
        <v>21</v>
      </c>
      <c r="J1890" s="10">
        <v>0.95</v>
      </c>
      <c r="K1890" s="10">
        <v>0.89</v>
      </c>
      <c r="L1890" s="10">
        <v>1</v>
      </c>
      <c r="M1890" s="9">
        <v>0.75</v>
      </c>
      <c r="N1890" s="9">
        <v>0.67</v>
      </c>
      <c r="O1890" s="9">
        <v>0.56000000000000005</v>
      </c>
    </row>
    <row r="1891" spans="1:15" ht="15" thickBot="1" x14ac:dyDescent="0.4">
      <c r="A1891" t="str">
        <f t="shared" si="401"/>
        <v>FC098</v>
      </c>
      <c r="B1891" t="str">
        <f t="shared" si="397"/>
        <v>RMC - South Chain</v>
      </c>
      <c r="C1891" s="19"/>
      <c r="D1891" s="19"/>
      <c r="E1891" s="19"/>
      <c r="F1891" s="19"/>
      <c r="G1891" s="19"/>
      <c r="H1891" s="29"/>
      <c r="I1891" s="3" t="s">
        <v>22</v>
      </c>
      <c r="J1891" s="10" t="s">
        <v>24</v>
      </c>
      <c r="K1891" s="10" t="s">
        <v>24</v>
      </c>
      <c r="L1891" s="11"/>
      <c r="M1891" s="11"/>
      <c r="N1891" s="9" t="s">
        <v>25</v>
      </c>
      <c r="O1891" s="9" t="s">
        <v>25</v>
      </c>
    </row>
    <row r="1892" spans="1:15" ht="15" thickBot="1" x14ac:dyDescent="0.4">
      <c r="B1892" t="str">
        <f t="shared" si="397"/>
        <v>RMC - South Chain</v>
      </c>
      <c r="C1892" s="16"/>
      <c r="D1892" s="16"/>
      <c r="E1892" s="16"/>
      <c r="F1892" s="16"/>
      <c r="G1892" s="16" t="s">
        <v>416</v>
      </c>
      <c r="H1892" s="24" t="s">
        <v>30</v>
      </c>
      <c r="I1892" s="1"/>
      <c r="J1892" s="1"/>
      <c r="K1892" s="1"/>
      <c r="L1892" s="1"/>
      <c r="M1892" s="1"/>
      <c r="N1892" s="1"/>
      <c r="O1892" s="1"/>
    </row>
    <row r="1893" spans="1:15" ht="15" thickBot="1" x14ac:dyDescent="0.4">
      <c r="A1893" t="str">
        <f t="shared" ref="A1893:A1956" si="402">IF(LEFT(G1892,2)="FC",LEFT(G1892,5),LEFT(G1892,4))</f>
        <v>FC414</v>
      </c>
      <c r="B1893" t="str">
        <f t="shared" ref="B1893:B1956" si="403">$D$1700</f>
        <v>RMC - South Chain</v>
      </c>
      <c r="C1893" s="18"/>
      <c r="D1893" s="18"/>
      <c r="E1893" s="18"/>
      <c r="F1893" s="18"/>
      <c r="G1893" s="18"/>
      <c r="H1893" s="25"/>
      <c r="I1893" s="3" t="s">
        <v>18</v>
      </c>
      <c r="J1893" s="11"/>
      <c r="K1893" s="11"/>
      <c r="L1893" s="11"/>
      <c r="M1893" s="11"/>
      <c r="N1893" s="11"/>
      <c r="O1893" s="11"/>
    </row>
    <row r="1894" spans="1:15" ht="15" thickBot="1" x14ac:dyDescent="0.4">
      <c r="A1894" t="str">
        <f t="shared" si="398"/>
        <v>FC414</v>
      </c>
      <c r="B1894" t="str">
        <f t="shared" si="403"/>
        <v>RMC - South Chain</v>
      </c>
      <c r="C1894" s="18"/>
      <c r="D1894" s="18"/>
      <c r="E1894" s="18"/>
      <c r="F1894" s="18"/>
      <c r="G1894" s="18"/>
      <c r="H1894" s="25"/>
      <c r="I1894" s="5" t="s">
        <v>19</v>
      </c>
      <c r="J1894" s="11"/>
      <c r="K1894" s="11"/>
      <c r="L1894" s="11"/>
      <c r="M1894" s="11"/>
      <c r="N1894" s="11"/>
      <c r="O1894" s="11"/>
    </row>
    <row r="1895" spans="1:15" ht="15" thickBot="1" x14ac:dyDescent="0.4">
      <c r="A1895" t="str">
        <f t="shared" si="399"/>
        <v>FC414</v>
      </c>
      <c r="B1895" t="str">
        <f t="shared" si="403"/>
        <v>RMC - South Chain</v>
      </c>
      <c r="C1895" s="18"/>
      <c r="D1895" s="18"/>
      <c r="E1895" s="18"/>
      <c r="F1895" s="18"/>
      <c r="G1895" s="18"/>
      <c r="H1895" s="25"/>
      <c r="I1895" s="3" t="s">
        <v>20</v>
      </c>
      <c r="J1895" s="11"/>
      <c r="K1895" s="11"/>
      <c r="L1895" s="11"/>
      <c r="M1895" s="11"/>
      <c r="N1895" s="11"/>
      <c r="O1895" s="11"/>
    </row>
    <row r="1896" spans="1:15" ht="15" thickBot="1" x14ac:dyDescent="0.4">
      <c r="A1896" t="str">
        <f t="shared" si="400"/>
        <v>FC414</v>
      </c>
      <c r="B1896" t="str">
        <f t="shared" si="403"/>
        <v>RMC - South Chain</v>
      </c>
      <c r="C1896" s="18"/>
      <c r="D1896" s="18"/>
      <c r="E1896" s="18"/>
      <c r="F1896" s="18"/>
      <c r="G1896" s="18"/>
      <c r="H1896" s="25"/>
      <c r="I1896" s="5" t="s">
        <v>21</v>
      </c>
      <c r="J1896" s="11"/>
      <c r="K1896" s="11"/>
      <c r="L1896" s="11"/>
      <c r="M1896" s="11"/>
      <c r="N1896" s="11"/>
      <c r="O1896" s="11"/>
    </row>
    <row r="1897" spans="1:15" ht="15" thickBot="1" x14ac:dyDescent="0.4">
      <c r="A1897" t="str">
        <f t="shared" si="401"/>
        <v>FC414</v>
      </c>
      <c r="B1897" t="str">
        <f t="shared" si="403"/>
        <v>RMC - South Chain</v>
      </c>
      <c r="C1897" s="19"/>
      <c r="D1897" s="19"/>
      <c r="E1897" s="19"/>
      <c r="F1897" s="19"/>
      <c r="G1897" s="19"/>
      <c r="H1897" s="26"/>
      <c r="I1897" s="3" t="s">
        <v>22</v>
      </c>
      <c r="J1897" s="11" t="s">
        <v>46</v>
      </c>
      <c r="K1897" s="11" t="s">
        <v>46</v>
      </c>
      <c r="L1897" s="11" t="s">
        <v>46</v>
      </c>
      <c r="M1897" s="11" t="s">
        <v>45</v>
      </c>
      <c r="N1897" s="11" t="s">
        <v>46</v>
      </c>
      <c r="O1897" s="11" t="s">
        <v>46</v>
      </c>
    </row>
    <row r="1898" spans="1:15" ht="15" thickBot="1" x14ac:dyDescent="0.4">
      <c r="B1898" t="str">
        <f t="shared" si="403"/>
        <v>RMC - South Chain</v>
      </c>
      <c r="C1898" s="16"/>
      <c r="D1898" s="16"/>
      <c r="E1898" s="16"/>
      <c r="F1898" s="16"/>
      <c r="G1898" s="16" t="s">
        <v>417</v>
      </c>
      <c r="H1898" s="20" t="s">
        <v>17</v>
      </c>
      <c r="I1898" s="1"/>
      <c r="J1898" s="1"/>
      <c r="K1898" s="1"/>
      <c r="L1898" s="1"/>
      <c r="M1898" s="1"/>
      <c r="N1898" s="1"/>
      <c r="O1898" s="1"/>
    </row>
    <row r="1899" spans="1:15" ht="15" thickBot="1" x14ac:dyDescent="0.4">
      <c r="A1899" t="str">
        <f t="shared" si="402"/>
        <v>FC270</v>
      </c>
      <c r="B1899" t="str">
        <f t="shared" si="403"/>
        <v>RMC - South Chain</v>
      </c>
      <c r="C1899" s="18"/>
      <c r="D1899" s="18"/>
      <c r="E1899" s="18"/>
      <c r="F1899" s="18"/>
      <c r="G1899" s="18"/>
      <c r="H1899" s="22"/>
      <c r="I1899" s="3" t="s">
        <v>18</v>
      </c>
      <c r="J1899" s="4">
        <v>36</v>
      </c>
      <c r="K1899" s="4">
        <v>36</v>
      </c>
      <c r="L1899" s="4">
        <v>36</v>
      </c>
      <c r="M1899" s="4">
        <v>33</v>
      </c>
      <c r="N1899" s="4">
        <v>30</v>
      </c>
      <c r="O1899" s="4">
        <v>33</v>
      </c>
    </row>
    <row r="1900" spans="1:15" ht="15" thickBot="1" x14ac:dyDescent="0.4">
      <c r="A1900" t="str">
        <f t="shared" ref="A1900:A1960" si="404">IF(LEFT(G1898,2)="FC",LEFT(G1898,5),LEFT(G1898,4))</f>
        <v>FC270</v>
      </c>
      <c r="B1900" t="str">
        <f t="shared" si="403"/>
        <v>RMC - South Chain</v>
      </c>
      <c r="C1900" s="18"/>
      <c r="D1900" s="18"/>
      <c r="E1900" s="18"/>
      <c r="F1900" s="18"/>
      <c r="G1900" s="18"/>
      <c r="H1900" s="22"/>
      <c r="I1900" s="5" t="s">
        <v>19</v>
      </c>
      <c r="J1900" s="8">
        <v>26</v>
      </c>
      <c r="K1900" s="7">
        <v>70</v>
      </c>
      <c r="L1900" s="9">
        <v>102</v>
      </c>
      <c r="M1900" s="7">
        <v>81</v>
      </c>
      <c r="N1900" s="7">
        <v>85</v>
      </c>
      <c r="O1900" s="8">
        <v>36</v>
      </c>
    </row>
    <row r="1901" spans="1:15" ht="15" thickBot="1" x14ac:dyDescent="0.4">
      <c r="A1901" t="str">
        <f t="shared" ref="A1901:A1961" si="405">IF(LEFT(G1898,2)="FC",LEFT(G1898,5),LEFT(G1898,4))</f>
        <v>FC270</v>
      </c>
      <c r="B1901" t="str">
        <f t="shared" si="403"/>
        <v>RMC - South Chain</v>
      </c>
      <c r="C1901" s="18"/>
      <c r="D1901" s="18"/>
      <c r="E1901" s="18"/>
      <c r="F1901" s="18"/>
      <c r="G1901" s="18"/>
      <c r="H1901" s="22"/>
      <c r="I1901" s="3" t="s">
        <v>20</v>
      </c>
      <c r="J1901" s="10">
        <v>25.8</v>
      </c>
      <c r="K1901" s="7">
        <v>41.3</v>
      </c>
      <c r="L1901" s="7">
        <v>38</v>
      </c>
      <c r="M1901" s="9">
        <v>30.7</v>
      </c>
      <c r="N1901" s="7">
        <v>40.5</v>
      </c>
      <c r="O1901" s="9">
        <v>29.4</v>
      </c>
    </row>
    <row r="1902" spans="1:15" ht="15" thickBot="1" x14ac:dyDescent="0.4">
      <c r="A1902" t="str">
        <f t="shared" ref="A1902:A1962" si="406">IF(LEFT(G1898,2)="FC",LEFT(G1898,5),LEFT(G1898,4))</f>
        <v>FC270</v>
      </c>
      <c r="B1902" t="str">
        <f t="shared" si="403"/>
        <v>RMC - South Chain</v>
      </c>
      <c r="C1902" s="18"/>
      <c r="D1902" s="18"/>
      <c r="E1902" s="18"/>
      <c r="F1902" s="18"/>
      <c r="G1902" s="18"/>
      <c r="H1902" s="22"/>
      <c r="I1902" s="5" t="s">
        <v>21</v>
      </c>
      <c r="J1902" s="8">
        <v>0.34</v>
      </c>
      <c r="K1902" s="9">
        <v>0.56999999999999995</v>
      </c>
      <c r="L1902" s="10">
        <v>0.9</v>
      </c>
      <c r="M1902" s="10">
        <v>0.87</v>
      </c>
      <c r="N1902" s="9">
        <v>0.7</v>
      </c>
      <c r="O1902" s="8">
        <v>0.41</v>
      </c>
    </row>
    <row r="1903" spans="1:15" ht="15" thickBot="1" x14ac:dyDescent="0.4">
      <c r="A1903" t="str">
        <f t="shared" ref="A1903:A1963" si="407">IF(LEFT(G1898,2)="FC",LEFT(G1898,5),LEFT(G1898,4))</f>
        <v>FC270</v>
      </c>
      <c r="B1903" t="str">
        <f t="shared" si="403"/>
        <v>RMC - South Chain</v>
      </c>
      <c r="C1903" s="19"/>
      <c r="D1903" s="19"/>
      <c r="E1903" s="19"/>
      <c r="F1903" s="19"/>
      <c r="G1903" s="19"/>
      <c r="H1903" s="23"/>
      <c r="I1903" s="3" t="s">
        <v>22</v>
      </c>
      <c r="J1903" s="11"/>
      <c r="K1903" s="9" t="s">
        <v>25</v>
      </c>
      <c r="L1903" s="10" t="s">
        <v>24</v>
      </c>
      <c r="M1903" s="10" t="s">
        <v>24</v>
      </c>
      <c r="N1903" s="9" t="s">
        <v>25</v>
      </c>
      <c r="O1903" s="8" t="s">
        <v>23</v>
      </c>
    </row>
    <row r="1904" spans="1:15" ht="15" thickBot="1" x14ac:dyDescent="0.4">
      <c r="B1904" t="str">
        <f t="shared" si="403"/>
        <v>RMC - South Chain</v>
      </c>
      <c r="C1904" s="16"/>
      <c r="D1904" s="16"/>
      <c r="E1904" s="16"/>
      <c r="F1904" s="16"/>
      <c r="G1904" s="16" t="s">
        <v>418</v>
      </c>
      <c r="H1904" s="27" t="s">
        <v>34</v>
      </c>
      <c r="I1904" s="1"/>
      <c r="J1904" s="1"/>
      <c r="K1904" s="1"/>
      <c r="L1904" s="1"/>
      <c r="M1904" s="1"/>
      <c r="N1904" s="1"/>
      <c r="O1904" s="1"/>
    </row>
    <row r="1905" spans="1:15" ht="15" thickBot="1" x14ac:dyDescent="0.4">
      <c r="A1905" t="str">
        <f t="shared" si="402"/>
        <v>FC398</v>
      </c>
      <c r="B1905" t="str">
        <f t="shared" si="403"/>
        <v>RMC - South Chain</v>
      </c>
      <c r="C1905" s="18"/>
      <c r="D1905" s="18"/>
      <c r="E1905" s="18"/>
      <c r="F1905" s="18"/>
      <c r="G1905" s="18"/>
      <c r="H1905" s="28"/>
      <c r="I1905" s="3" t="s">
        <v>18</v>
      </c>
      <c r="J1905" s="4">
        <v>44</v>
      </c>
      <c r="K1905" s="4">
        <v>33</v>
      </c>
      <c r="L1905" s="4">
        <v>36</v>
      </c>
      <c r="M1905" s="8">
        <v>15</v>
      </c>
      <c r="N1905" s="4">
        <v>32</v>
      </c>
      <c r="O1905" s="4">
        <v>33</v>
      </c>
    </row>
    <row r="1906" spans="1:15" ht="15" thickBot="1" x14ac:dyDescent="0.4">
      <c r="A1906" t="str">
        <f t="shared" si="404"/>
        <v>FC398</v>
      </c>
      <c r="B1906" t="str">
        <f t="shared" si="403"/>
        <v>RMC - South Chain</v>
      </c>
      <c r="C1906" s="18"/>
      <c r="D1906" s="18"/>
      <c r="E1906" s="18"/>
      <c r="F1906" s="18"/>
      <c r="G1906" s="18"/>
      <c r="H1906" s="28"/>
      <c r="I1906" s="5" t="s">
        <v>19</v>
      </c>
      <c r="J1906" s="9">
        <v>131</v>
      </c>
      <c r="K1906" s="9">
        <v>109</v>
      </c>
      <c r="L1906" s="7">
        <v>85</v>
      </c>
      <c r="M1906" s="7">
        <v>87</v>
      </c>
      <c r="N1906" s="8">
        <v>46</v>
      </c>
      <c r="O1906" s="9">
        <v>93</v>
      </c>
    </row>
    <row r="1907" spans="1:15" ht="15" thickBot="1" x14ac:dyDescent="0.4">
      <c r="A1907" t="str">
        <f t="shared" si="405"/>
        <v>FC398</v>
      </c>
      <c r="B1907" t="str">
        <f t="shared" si="403"/>
        <v>RMC - South Chain</v>
      </c>
      <c r="C1907" s="18"/>
      <c r="D1907" s="18"/>
      <c r="E1907" s="18"/>
      <c r="F1907" s="18"/>
      <c r="G1907" s="18"/>
      <c r="H1907" s="28"/>
      <c r="I1907" s="3" t="s">
        <v>20</v>
      </c>
      <c r="J1907" s="8">
        <v>49</v>
      </c>
      <c r="K1907" s="7">
        <v>38</v>
      </c>
      <c r="L1907" s="6">
        <v>44.6</v>
      </c>
      <c r="M1907" s="9">
        <v>34.6</v>
      </c>
      <c r="N1907" s="9">
        <v>33.1</v>
      </c>
      <c r="O1907" s="7">
        <v>34.9</v>
      </c>
    </row>
    <row r="1908" spans="1:15" ht="15" thickBot="1" x14ac:dyDescent="0.4">
      <c r="A1908" t="str">
        <f t="shared" si="406"/>
        <v>FC398</v>
      </c>
      <c r="B1908" t="str">
        <f t="shared" si="403"/>
        <v>RMC - South Chain</v>
      </c>
      <c r="C1908" s="18"/>
      <c r="D1908" s="18"/>
      <c r="E1908" s="18"/>
      <c r="F1908" s="18"/>
      <c r="G1908" s="18"/>
      <c r="H1908" s="28"/>
      <c r="I1908" s="5" t="s">
        <v>21</v>
      </c>
      <c r="J1908" s="10">
        <v>0.89</v>
      </c>
      <c r="K1908" s="10">
        <v>0.95</v>
      </c>
      <c r="L1908" s="9">
        <v>0.64</v>
      </c>
      <c r="M1908" s="10">
        <v>0.84</v>
      </c>
      <c r="N1908" s="8">
        <v>0.46</v>
      </c>
      <c r="O1908" s="10">
        <v>0.89</v>
      </c>
    </row>
    <row r="1909" spans="1:15" ht="15" thickBot="1" x14ac:dyDescent="0.4">
      <c r="A1909" t="str">
        <f t="shared" si="407"/>
        <v>FC398</v>
      </c>
      <c r="B1909" t="str">
        <f t="shared" si="403"/>
        <v>RMC - South Chain</v>
      </c>
      <c r="C1909" s="19"/>
      <c r="D1909" s="19"/>
      <c r="E1909" s="19"/>
      <c r="F1909" s="19"/>
      <c r="G1909" s="19"/>
      <c r="H1909" s="29"/>
      <c r="I1909" s="3" t="s">
        <v>22</v>
      </c>
      <c r="J1909" s="11"/>
      <c r="K1909" s="10" t="s">
        <v>24</v>
      </c>
      <c r="L1909" s="11"/>
      <c r="M1909" s="10" t="s">
        <v>24</v>
      </c>
      <c r="N1909" s="11"/>
      <c r="O1909" s="11"/>
    </row>
    <row r="1910" spans="1:15" ht="15" thickBot="1" x14ac:dyDescent="0.4">
      <c r="B1910" t="str">
        <f t="shared" si="403"/>
        <v>RMC - South Chain</v>
      </c>
      <c r="C1910" s="16"/>
      <c r="D1910" s="16"/>
      <c r="E1910" s="16"/>
      <c r="F1910" s="16"/>
      <c r="G1910" s="16" t="s">
        <v>419</v>
      </c>
      <c r="H1910" s="27" t="s">
        <v>34</v>
      </c>
      <c r="I1910" s="1"/>
      <c r="J1910" s="1"/>
      <c r="K1910" s="1"/>
      <c r="L1910" s="1"/>
      <c r="M1910" s="1"/>
      <c r="N1910" s="1"/>
      <c r="O1910" s="1"/>
    </row>
    <row r="1911" spans="1:15" ht="15" thickBot="1" x14ac:dyDescent="0.4">
      <c r="A1911" t="str">
        <f t="shared" si="402"/>
        <v>FC221</v>
      </c>
      <c r="B1911" t="str">
        <f t="shared" si="403"/>
        <v>RMC - South Chain</v>
      </c>
      <c r="C1911" s="18"/>
      <c r="D1911" s="18"/>
      <c r="E1911" s="18"/>
      <c r="F1911" s="18"/>
      <c r="G1911" s="18"/>
      <c r="H1911" s="28"/>
      <c r="I1911" s="3" t="s">
        <v>18</v>
      </c>
      <c r="J1911" s="4">
        <v>45</v>
      </c>
      <c r="K1911" s="4">
        <v>42</v>
      </c>
      <c r="L1911" s="4">
        <v>66</v>
      </c>
      <c r="M1911" s="4">
        <v>42</v>
      </c>
      <c r="N1911" s="4">
        <v>45</v>
      </c>
      <c r="O1911" s="4">
        <v>42</v>
      </c>
    </row>
    <row r="1912" spans="1:15" ht="15" thickBot="1" x14ac:dyDescent="0.4">
      <c r="A1912" t="str">
        <f t="shared" si="404"/>
        <v>FC221</v>
      </c>
      <c r="B1912" t="str">
        <f t="shared" si="403"/>
        <v>RMC - South Chain</v>
      </c>
      <c r="C1912" s="18"/>
      <c r="D1912" s="18"/>
      <c r="E1912" s="18"/>
      <c r="F1912" s="18"/>
      <c r="G1912" s="18"/>
      <c r="H1912" s="28"/>
      <c r="I1912" s="5" t="s">
        <v>19</v>
      </c>
      <c r="J1912" s="9">
        <v>122</v>
      </c>
      <c r="K1912" s="9">
        <v>110</v>
      </c>
      <c r="L1912" s="7">
        <v>71</v>
      </c>
      <c r="M1912" s="6">
        <v>63</v>
      </c>
      <c r="N1912" s="6">
        <v>55</v>
      </c>
      <c r="O1912" s="8">
        <v>49</v>
      </c>
    </row>
    <row r="1913" spans="1:15" ht="15" thickBot="1" x14ac:dyDescent="0.4">
      <c r="A1913" t="str">
        <f t="shared" si="405"/>
        <v>FC221</v>
      </c>
      <c r="B1913" t="str">
        <f t="shared" si="403"/>
        <v>RMC - South Chain</v>
      </c>
      <c r="C1913" s="18"/>
      <c r="D1913" s="18"/>
      <c r="E1913" s="18"/>
      <c r="F1913" s="18"/>
      <c r="G1913" s="18"/>
      <c r="H1913" s="28"/>
      <c r="I1913" s="3" t="s">
        <v>20</v>
      </c>
      <c r="J1913" s="9">
        <v>34</v>
      </c>
      <c r="K1913" s="7">
        <v>39.299999999999997</v>
      </c>
      <c r="L1913" s="10">
        <v>28.2</v>
      </c>
      <c r="M1913" s="7">
        <v>36.299999999999997</v>
      </c>
      <c r="N1913" s="9">
        <v>31.4</v>
      </c>
      <c r="O1913" s="9">
        <v>29.3</v>
      </c>
    </row>
    <row r="1914" spans="1:15" ht="15" thickBot="1" x14ac:dyDescent="0.4">
      <c r="A1914" t="str">
        <f t="shared" si="406"/>
        <v>FC221</v>
      </c>
      <c r="B1914" t="str">
        <f t="shared" si="403"/>
        <v>RMC - South Chain</v>
      </c>
      <c r="C1914" s="18"/>
      <c r="D1914" s="18"/>
      <c r="E1914" s="18"/>
      <c r="F1914" s="18"/>
      <c r="G1914" s="18"/>
      <c r="H1914" s="28"/>
      <c r="I1914" s="5" t="s">
        <v>21</v>
      </c>
      <c r="J1914" s="10">
        <v>1.2</v>
      </c>
      <c r="K1914" s="10">
        <v>0.93</v>
      </c>
      <c r="L1914" s="10">
        <v>0.84</v>
      </c>
      <c r="M1914" s="9">
        <v>0.57999999999999996</v>
      </c>
      <c r="N1914" s="9">
        <v>0.57999999999999996</v>
      </c>
      <c r="O1914" s="9">
        <v>0.56000000000000005</v>
      </c>
    </row>
    <row r="1915" spans="1:15" ht="15" thickBot="1" x14ac:dyDescent="0.4">
      <c r="A1915" t="str">
        <f t="shared" si="407"/>
        <v>FC221</v>
      </c>
      <c r="B1915" t="str">
        <f t="shared" si="403"/>
        <v>RMC - South Chain</v>
      </c>
      <c r="C1915" s="19"/>
      <c r="D1915" s="19"/>
      <c r="E1915" s="19"/>
      <c r="F1915" s="19"/>
      <c r="G1915" s="19"/>
      <c r="H1915" s="29"/>
      <c r="I1915" s="3" t="s">
        <v>22</v>
      </c>
      <c r="J1915" s="10" t="s">
        <v>24</v>
      </c>
      <c r="K1915" s="10" t="s">
        <v>24</v>
      </c>
      <c r="L1915" s="10" t="s">
        <v>24</v>
      </c>
      <c r="M1915" s="9" t="s">
        <v>25</v>
      </c>
      <c r="N1915" s="9" t="s">
        <v>25</v>
      </c>
      <c r="O1915" s="9" t="s">
        <v>25</v>
      </c>
    </row>
    <row r="1916" spans="1:15" ht="15" thickBot="1" x14ac:dyDescent="0.4">
      <c r="B1916" t="str">
        <f t="shared" si="403"/>
        <v>RMC - South Chain</v>
      </c>
      <c r="C1916" s="16"/>
      <c r="D1916" s="16"/>
      <c r="E1916" s="16"/>
      <c r="F1916" s="16"/>
      <c r="G1916" s="16" t="s">
        <v>420</v>
      </c>
      <c r="H1916" s="24" t="s">
        <v>30</v>
      </c>
      <c r="I1916" s="1"/>
      <c r="J1916" s="1"/>
      <c r="K1916" s="1"/>
      <c r="L1916" s="1"/>
      <c r="M1916" s="1"/>
      <c r="N1916" s="1"/>
      <c r="O1916" s="1"/>
    </row>
    <row r="1917" spans="1:15" ht="15" thickBot="1" x14ac:dyDescent="0.4">
      <c r="A1917" t="str">
        <f t="shared" si="402"/>
        <v>FC413</v>
      </c>
      <c r="B1917" t="str">
        <f t="shared" si="403"/>
        <v>RMC - South Chain</v>
      </c>
      <c r="C1917" s="18"/>
      <c r="D1917" s="18"/>
      <c r="E1917" s="18"/>
      <c r="F1917" s="18"/>
      <c r="G1917" s="18"/>
      <c r="H1917" s="25"/>
      <c r="I1917" s="3" t="s">
        <v>18</v>
      </c>
      <c r="J1917" s="11"/>
      <c r="K1917" s="11"/>
      <c r="L1917" s="11"/>
      <c r="M1917" s="11"/>
      <c r="N1917" s="11"/>
      <c r="O1917" s="11"/>
    </row>
    <row r="1918" spans="1:15" ht="15" thickBot="1" x14ac:dyDescent="0.4">
      <c r="A1918" t="str">
        <f t="shared" si="404"/>
        <v>FC413</v>
      </c>
      <c r="B1918" t="str">
        <f t="shared" si="403"/>
        <v>RMC - South Chain</v>
      </c>
      <c r="C1918" s="18"/>
      <c r="D1918" s="18"/>
      <c r="E1918" s="18"/>
      <c r="F1918" s="18"/>
      <c r="G1918" s="18"/>
      <c r="H1918" s="25"/>
      <c r="I1918" s="5" t="s">
        <v>19</v>
      </c>
      <c r="J1918" s="11"/>
      <c r="K1918" s="11"/>
      <c r="L1918" s="11"/>
      <c r="M1918" s="11"/>
      <c r="N1918" s="11"/>
      <c r="O1918" s="11"/>
    </row>
    <row r="1919" spans="1:15" ht="15" thickBot="1" x14ac:dyDescent="0.4">
      <c r="A1919" t="str">
        <f t="shared" si="405"/>
        <v>FC413</v>
      </c>
      <c r="B1919" t="str">
        <f t="shared" si="403"/>
        <v>RMC - South Chain</v>
      </c>
      <c r="C1919" s="18"/>
      <c r="D1919" s="18"/>
      <c r="E1919" s="18"/>
      <c r="F1919" s="18"/>
      <c r="G1919" s="18"/>
      <c r="H1919" s="25"/>
      <c r="I1919" s="3" t="s">
        <v>20</v>
      </c>
      <c r="J1919" s="11"/>
      <c r="K1919" s="11"/>
      <c r="L1919" s="11"/>
      <c r="M1919" s="11"/>
      <c r="N1919" s="11"/>
      <c r="O1919" s="11"/>
    </row>
    <row r="1920" spans="1:15" ht="15" thickBot="1" x14ac:dyDescent="0.4">
      <c r="A1920" t="str">
        <f t="shared" si="406"/>
        <v>FC413</v>
      </c>
      <c r="B1920" t="str">
        <f t="shared" si="403"/>
        <v>RMC - South Chain</v>
      </c>
      <c r="C1920" s="18"/>
      <c r="D1920" s="18"/>
      <c r="E1920" s="18"/>
      <c r="F1920" s="18"/>
      <c r="G1920" s="18"/>
      <c r="H1920" s="25"/>
      <c r="I1920" s="5" t="s">
        <v>21</v>
      </c>
      <c r="J1920" s="11"/>
      <c r="K1920" s="11"/>
      <c r="L1920" s="11"/>
      <c r="M1920" s="11"/>
      <c r="N1920" s="11"/>
      <c r="O1920" s="11"/>
    </row>
    <row r="1921" spans="1:15" ht="15" thickBot="1" x14ac:dyDescent="0.4">
      <c r="A1921" t="str">
        <f t="shared" si="407"/>
        <v>FC413</v>
      </c>
      <c r="B1921" t="str">
        <f t="shared" si="403"/>
        <v>RMC - South Chain</v>
      </c>
      <c r="C1921" s="19"/>
      <c r="D1921" s="19"/>
      <c r="E1921" s="19"/>
      <c r="F1921" s="19"/>
      <c r="G1921" s="19"/>
      <c r="H1921" s="26"/>
      <c r="I1921" s="3" t="s">
        <v>22</v>
      </c>
      <c r="J1921" s="11" t="s">
        <v>45</v>
      </c>
      <c r="K1921" s="11" t="s">
        <v>45</v>
      </c>
      <c r="L1921" s="11" t="s">
        <v>45</v>
      </c>
      <c r="M1921" s="11" t="s">
        <v>45</v>
      </c>
      <c r="N1921" s="11" t="s">
        <v>45</v>
      </c>
      <c r="O1921" s="11" t="s">
        <v>45</v>
      </c>
    </row>
    <row r="1922" spans="1:15" ht="15" thickBot="1" x14ac:dyDescent="0.4">
      <c r="B1922" t="str">
        <f t="shared" si="403"/>
        <v>RMC - South Chain</v>
      </c>
      <c r="C1922" s="16"/>
      <c r="D1922" s="16"/>
      <c r="E1922" s="16"/>
      <c r="F1922" s="16" t="s">
        <v>421</v>
      </c>
      <c r="G1922" s="16" t="s">
        <v>422</v>
      </c>
      <c r="H1922" s="27" t="s">
        <v>34</v>
      </c>
      <c r="I1922" s="1"/>
      <c r="J1922" s="1"/>
      <c r="K1922" s="1"/>
      <c r="L1922" s="1"/>
      <c r="M1922" s="1"/>
      <c r="N1922" s="1"/>
      <c r="O1922" s="1"/>
    </row>
    <row r="1923" spans="1:15" ht="15" thickBot="1" x14ac:dyDescent="0.4">
      <c r="A1923" t="str">
        <f t="shared" si="402"/>
        <v>15AQ</v>
      </c>
      <c r="B1923" t="str">
        <f t="shared" si="403"/>
        <v>RMC - South Chain</v>
      </c>
      <c r="C1923" s="18"/>
      <c r="D1923" s="18"/>
      <c r="E1923" s="18"/>
      <c r="F1923" s="18"/>
      <c r="G1923" s="18"/>
      <c r="H1923" s="28"/>
      <c r="I1923" s="3" t="s">
        <v>18</v>
      </c>
      <c r="J1923" s="4">
        <v>33</v>
      </c>
      <c r="K1923" s="4">
        <v>30</v>
      </c>
      <c r="L1923" s="4">
        <v>33</v>
      </c>
      <c r="M1923" s="8">
        <v>15</v>
      </c>
      <c r="N1923" s="4">
        <v>33</v>
      </c>
      <c r="O1923" s="4">
        <v>33</v>
      </c>
    </row>
    <row r="1924" spans="1:15" ht="15" thickBot="1" x14ac:dyDescent="0.4">
      <c r="A1924" t="str">
        <f t="shared" si="404"/>
        <v>15AQ</v>
      </c>
      <c r="B1924" t="str">
        <f t="shared" si="403"/>
        <v>RMC - South Chain</v>
      </c>
      <c r="C1924" s="18"/>
      <c r="D1924" s="18"/>
      <c r="E1924" s="18"/>
      <c r="F1924" s="18"/>
      <c r="G1924" s="18"/>
      <c r="H1924" s="28"/>
      <c r="I1924" s="5" t="s">
        <v>19</v>
      </c>
      <c r="J1924" s="9">
        <v>92</v>
      </c>
      <c r="K1924" s="9">
        <v>105</v>
      </c>
      <c r="L1924" s="9">
        <v>96</v>
      </c>
      <c r="M1924" s="9">
        <v>120</v>
      </c>
      <c r="N1924" s="6">
        <v>62</v>
      </c>
      <c r="O1924" s="6">
        <v>68</v>
      </c>
    </row>
    <row r="1925" spans="1:15" ht="15" thickBot="1" x14ac:dyDescent="0.4">
      <c r="A1925" t="str">
        <f t="shared" si="405"/>
        <v>15AQ</v>
      </c>
      <c r="B1925" t="str">
        <f t="shared" si="403"/>
        <v>RMC - South Chain</v>
      </c>
      <c r="C1925" s="18"/>
      <c r="D1925" s="18"/>
      <c r="E1925" s="18"/>
      <c r="F1925" s="18"/>
      <c r="G1925" s="18"/>
      <c r="H1925" s="28"/>
      <c r="I1925" s="3" t="s">
        <v>20</v>
      </c>
      <c r="J1925" s="9">
        <v>31.6</v>
      </c>
      <c r="K1925" s="6">
        <v>46.3</v>
      </c>
      <c r="L1925" s="7">
        <v>36.700000000000003</v>
      </c>
      <c r="M1925" s="7">
        <v>34.700000000000003</v>
      </c>
      <c r="N1925" s="10">
        <v>14.4</v>
      </c>
      <c r="O1925" s="10">
        <v>20.2</v>
      </c>
    </row>
    <row r="1926" spans="1:15" ht="15" thickBot="1" x14ac:dyDescent="0.4">
      <c r="A1926" t="str">
        <f t="shared" si="406"/>
        <v>15AQ</v>
      </c>
      <c r="B1926" t="str">
        <f t="shared" si="403"/>
        <v>RMC - South Chain</v>
      </c>
      <c r="C1926" s="18"/>
      <c r="D1926" s="18"/>
      <c r="E1926" s="18"/>
      <c r="F1926" s="18"/>
      <c r="G1926" s="18"/>
      <c r="H1926" s="28"/>
      <c r="I1926" s="5" t="s">
        <v>21</v>
      </c>
      <c r="J1926" s="10">
        <v>0.97</v>
      </c>
      <c r="K1926" s="9">
        <v>0.76</v>
      </c>
      <c r="L1926" s="10">
        <v>0.87</v>
      </c>
      <c r="M1926" s="10">
        <v>1.1499999999999999</v>
      </c>
      <c r="N1926" s="10">
        <v>1.44</v>
      </c>
      <c r="O1926" s="10">
        <v>1.1200000000000001</v>
      </c>
    </row>
    <row r="1927" spans="1:15" ht="15" thickBot="1" x14ac:dyDescent="0.4">
      <c r="A1927" t="str">
        <f t="shared" si="407"/>
        <v>15AQ</v>
      </c>
      <c r="B1927" t="str">
        <f t="shared" si="403"/>
        <v>RMC - South Chain</v>
      </c>
      <c r="C1927" s="19"/>
      <c r="D1927" s="19"/>
      <c r="E1927" s="19"/>
      <c r="F1927" s="19"/>
      <c r="G1927" s="19"/>
      <c r="H1927" s="29"/>
      <c r="I1927" s="3" t="s">
        <v>22</v>
      </c>
      <c r="J1927" s="11"/>
      <c r="K1927" s="10" t="s">
        <v>24</v>
      </c>
      <c r="L1927" s="11"/>
      <c r="M1927" s="10" t="s">
        <v>24</v>
      </c>
      <c r="N1927" s="10" t="s">
        <v>24</v>
      </c>
      <c r="O1927" s="11"/>
    </row>
    <row r="1928" spans="1:15" ht="15" thickBot="1" x14ac:dyDescent="0.4">
      <c r="B1928" t="str">
        <f t="shared" si="403"/>
        <v>RMC - South Chain</v>
      </c>
      <c r="C1928" s="16"/>
      <c r="D1928" s="16"/>
      <c r="E1928" s="16"/>
      <c r="F1928" s="16"/>
      <c r="G1928" s="16" t="s">
        <v>423</v>
      </c>
      <c r="H1928" s="27" t="s">
        <v>34</v>
      </c>
      <c r="I1928" s="1"/>
      <c r="J1928" s="1"/>
      <c r="K1928" s="1"/>
      <c r="L1928" s="1"/>
      <c r="M1928" s="1"/>
      <c r="N1928" s="1"/>
      <c r="O1928" s="1"/>
    </row>
    <row r="1929" spans="1:15" ht="15" thickBot="1" x14ac:dyDescent="0.4">
      <c r="A1929" t="str">
        <f t="shared" si="402"/>
        <v>3165</v>
      </c>
      <c r="B1929" t="str">
        <f t="shared" si="403"/>
        <v>RMC - South Chain</v>
      </c>
      <c r="C1929" s="18"/>
      <c r="D1929" s="18"/>
      <c r="E1929" s="18"/>
      <c r="F1929" s="18"/>
      <c r="G1929" s="18"/>
      <c r="H1929" s="28"/>
      <c r="I1929" s="3" t="s">
        <v>18</v>
      </c>
      <c r="J1929" s="4">
        <v>36</v>
      </c>
      <c r="K1929" s="8">
        <v>24</v>
      </c>
      <c r="L1929" s="4">
        <v>39</v>
      </c>
      <c r="M1929" s="4">
        <v>36</v>
      </c>
      <c r="N1929" s="4">
        <v>37</v>
      </c>
      <c r="O1929" s="4">
        <v>31</v>
      </c>
    </row>
    <row r="1930" spans="1:15" ht="15" thickBot="1" x14ac:dyDescent="0.4">
      <c r="A1930" t="str">
        <f t="shared" si="404"/>
        <v>3165</v>
      </c>
      <c r="B1930" t="str">
        <f t="shared" si="403"/>
        <v>RMC - South Chain</v>
      </c>
      <c r="C1930" s="18"/>
      <c r="D1930" s="18"/>
      <c r="E1930" s="18"/>
      <c r="F1930" s="18"/>
      <c r="G1930" s="18"/>
      <c r="H1930" s="28"/>
      <c r="I1930" s="5" t="s">
        <v>19</v>
      </c>
      <c r="J1930" s="7">
        <v>74</v>
      </c>
      <c r="K1930" s="7">
        <v>80</v>
      </c>
      <c r="L1930" s="7">
        <v>72</v>
      </c>
      <c r="M1930" s="7">
        <v>80</v>
      </c>
      <c r="N1930" s="6">
        <v>64</v>
      </c>
      <c r="O1930" s="9">
        <v>95</v>
      </c>
    </row>
    <row r="1931" spans="1:15" ht="15" thickBot="1" x14ac:dyDescent="0.4">
      <c r="A1931" t="str">
        <f t="shared" si="405"/>
        <v>3165</v>
      </c>
      <c r="B1931" t="str">
        <f t="shared" si="403"/>
        <v>RMC - South Chain</v>
      </c>
      <c r="C1931" s="18"/>
      <c r="D1931" s="18"/>
      <c r="E1931" s="18"/>
      <c r="F1931" s="18"/>
      <c r="G1931" s="18"/>
      <c r="H1931" s="28"/>
      <c r="I1931" s="3" t="s">
        <v>20</v>
      </c>
      <c r="J1931" s="10">
        <v>20.7</v>
      </c>
      <c r="K1931" s="9">
        <v>30.7</v>
      </c>
      <c r="L1931" s="10">
        <v>24.6</v>
      </c>
      <c r="M1931" s="10">
        <v>25.4</v>
      </c>
      <c r="N1931" s="9">
        <v>30.3</v>
      </c>
      <c r="O1931" s="9">
        <v>31.1</v>
      </c>
    </row>
    <row r="1932" spans="1:15" ht="15" thickBot="1" x14ac:dyDescent="0.4">
      <c r="A1932" t="str">
        <f t="shared" si="406"/>
        <v>3165</v>
      </c>
      <c r="B1932" t="str">
        <f t="shared" si="403"/>
        <v>RMC - South Chain</v>
      </c>
      <c r="C1932" s="18"/>
      <c r="D1932" s="18"/>
      <c r="E1932" s="18"/>
      <c r="F1932" s="18"/>
      <c r="G1932" s="18"/>
      <c r="H1932" s="28"/>
      <c r="I1932" s="5" t="s">
        <v>21</v>
      </c>
      <c r="J1932" s="10">
        <v>1.2</v>
      </c>
      <c r="K1932" s="10">
        <v>0.86</v>
      </c>
      <c r="L1932" s="10">
        <v>0.98</v>
      </c>
      <c r="M1932" s="10">
        <v>1.04</v>
      </c>
      <c r="N1932" s="9">
        <v>0.71</v>
      </c>
      <c r="O1932" s="10">
        <v>1.02</v>
      </c>
    </row>
    <row r="1933" spans="1:15" ht="15" thickBot="1" x14ac:dyDescent="0.4">
      <c r="A1933" t="str">
        <f t="shared" si="407"/>
        <v>3165</v>
      </c>
      <c r="B1933" t="str">
        <f t="shared" si="403"/>
        <v>RMC - South Chain</v>
      </c>
      <c r="C1933" s="19"/>
      <c r="D1933" s="19"/>
      <c r="E1933" s="19"/>
      <c r="F1933" s="19"/>
      <c r="G1933" s="19"/>
      <c r="H1933" s="29"/>
      <c r="I1933" s="3" t="s">
        <v>22</v>
      </c>
      <c r="J1933" s="11"/>
      <c r="K1933" s="10" t="s">
        <v>24</v>
      </c>
      <c r="L1933" s="10" t="s">
        <v>24</v>
      </c>
      <c r="M1933" s="10" t="s">
        <v>24</v>
      </c>
      <c r="N1933" s="9" t="s">
        <v>25</v>
      </c>
      <c r="O1933" s="10" t="s">
        <v>24</v>
      </c>
    </row>
    <row r="1934" spans="1:15" ht="15" thickBot="1" x14ac:dyDescent="0.4">
      <c r="B1934" t="str">
        <f t="shared" si="403"/>
        <v>RMC - South Chain</v>
      </c>
      <c r="C1934" s="16"/>
      <c r="D1934" s="16"/>
      <c r="E1934" s="16"/>
      <c r="F1934" s="16"/>
      <c r="G1934" s="16" t="s">
        <v>424</v>
      </c>
      <c r="H1934" s="24" t="s">
        <v>30</v>
      </c>
      <c r="I1934" s="1"/>
      <c r="J1934" s="1"/>
      <c r="K1934" s="1"/>
      <c r="L1934" s="1"/>
      <c r="M1934" s="1"/>
      <c r="N1934" s="1"/>
      <c r="O1934" s="1"/>
    </row>
    <row r="1935" spans="1:15" ht="15" thickBot="1" x14ac:dyDescent="0.4">
      <c r="A1935" t="str">
        <f t="shared" si="402"/>
        <v>3166</v>
      </c>
      <c r="B1935" t="str">
        <f t="shared" si="403"/>
        <v>RMC - South Chain</v>
      </c>
      <c r="C1935" s="18"/>
      <c r="D1935" s="18"/>
      <c r="E1935" s="18"/>
      <c r="F1935" s="18"/>
      <c r="G1935" s="18"/>
      <c r="H1935" s="25"/>
      <c r="I1935" s="3" t="s">
        <v>18</v>
      </c>
      <c r="J1935" s="11"/>
      <c r="K1935" s="8">
        <v>15</v>
      </c>
      <c r="L1935" s="11"/>
      <c r="M1935" s="11"/>
      <c r="N1935" s="11"/>
      <c r="O1935" s="11"/>
    </row>
    <row r="1936" spans="1:15" ht="15" thickBot="1" x14ac:dyDescent="0.4">
      <c r="A1936" t="str">
        <f t="shared" si="404"/>
        <v>3166</v>
      </c>
      <c r="B1936" t="str">
        <f t="shared" si="403"/>
        <v>RMC - South Chain</v>
      </c>
      <c r="C1936" s="18"/>
      <c r="D1936" s="18"/>
      <c r="E1936" s="18"/>
      <c r="F1936" s="18"/>
      <c r="G1936" s="18"/>
      <c r="H1936" s="25"/>
      <c r="I1936" s="5" t="s">
        <v>19</v>
      </c>
      <c r="J1936" s="11"/>
      <c r="K1936" s="9">
        <v>107</v>
      </c>
      <c r="L1936" s="11"/>
      <c r="M1936" s="11"/>
      <c r="N1936" s="11"/>
      <c r="O1936" s="11"/>
    </row>
    <row r="1937" spans="1:15" ht="15" thickBot="1" x14ac:dyDescent="0.4">
      <c r="A1937" t="str">
        <f t="shared" si="405"/>
        <v>3166</v>
      </c>
      <c r="B1937" t="str">
        <f t="shared" si="403"/>
        <v>RMC - South Chain</v>
      </c>
      <c r="C1937" s="18"/>
      <c r="D1937" s="18"/>
      <c r="E1937" s="18"/>
      <c r="F1937" s="18"/>
      <c r="G1937" s="18"/>
      <c r="H1937" s="25"/>
      <c r="I1937" s="3" t="s">
        <v>20</v>
      </c>
      <c r="J1937" s="11"/>
      <c r="K1937" s="8">
        <v>55.8</v>
      </c>
      <c r="L1937" s="11"/>
      <c r="M1937" s="11"/>
      <c r="N1937" s="11"/>
      <c r="O1937" s="11"/>
    </row>
    <row r="1938" spans="1:15" ht="15" thickBot="1" x14ac:dyDescent="0.4">
      <c r="A1938" t="str">
        <f t="shared" si="406"/>
        <v>3166</v>
      </c>
      <c r="B1938" t="str">
        <f t="shared" si="403"/>
        <v>RMC - South Chain</v>
      </c>
      <c r="C1938" s="18"/>
      <c r="D1938" s="18"/>
      <c r="E1938" s="18"/>
      <c r="F1938" s="18"/>
      <c r="G1938" s="18"/>
      <c r="H1938" s="25"/>
      <c r="I1938" s="5" t="s">
        <v>21</v>
      </c>
      <c r="J1938" s="11"/>
      <c r="K1938" s="9">
        <v>0.64</v>
      </c>
      <c r="L1938" s="11"/>
      <c r="M1938" s="11"/>
      <c r="N1938" s="11"/>
      <c r="O1938" s="11"/>
    </row>
    <row r="1939" spans="1:15" ht="15" thickBot="1" x14ac:dyDescent="0.4">
      <c r="A1939" t="str">
        <f t="shared" si="407"/>
        <v>3166</v>
      </c>
      <c r="B1939" t="str">
        <f t="shared" si="403"/>
        <v>RMC - South Chain</v>
      </c>
      <c r="C1939" s="19"/>
      <c r="D1939" s="19"/>
      <c r="E1939" s="19"/>
      <c r="F1939" s="19"/>
      <c r="G1939" s="19"/>
      <c r="H1939" s="26"/>
      <c r="I1939" s="3" t="s">
        <v>22</v>
      </c>
      <c r="J1939" s="11" t="s">
        <v>45</v>
      </c>
      <c r="K1939" s="9" t="s">
        <v>25</v>
      </c>
      <c r="L1939" s="11" t="s">
        <v>45</v>
      </c>
      <c r="M1939" s="11" t="s">
        <v>45</v>
      </c>
      <c r="N1939" s="11" t="s">
        <v>45</v>
      </c>
      <c r="O1939" s="11" t="s">
        <v>27</v>
      </c>
    </row>
    <row r="1940" spans="1:15" ht="15" thickBot="1" x14ac:dyDescent="0.4">
      <c r="B1940" t="str">
        <f t="shared" si="403"/>
        <v>RMC - South Chain</v>
      </c>
      <c r="C1940" s="16"/>
      <c r="D1940" s="16"/>
      <c r="E1940" s="16"/>
      <c r="F1940" s="16"/>
      <c r="G1940" s="16" t="s">
        <v>425</v>
      </c>
      <c r="H1940" s="24" t="s">
        <v>30</v>
      </c>
      <c r="I1940" s="1"/>
      <c r="J1940" s="1"/>
      <c r="K1940" s="1"/>
      <c r="L1940" s="1"/>
      <c r="M1940" s="1"/>
      <c r="N1940" s="1"/>
      <c r="O1940" s="1"/>
    </row>
    <row r="1941" spans="1:15" ht="15" thickBot="1" x14ac:dyDescent="0.4">
      <c r="A1941" t="str">
        <f t="shared" si="402"/>
        <v>FC000</v>
      </c>
      <c r="B1941" t="str">
        <f t="shared" si="403"/>
        <v>RMC - South Chain</v>
      </c>
      <c r="C1941" s="18"/>
      <c r="D1941" s="18"/>
      <c r="E1941" s="18"/>
      <c r="F1941" s="18"/>
      <c r="G1941" s="18"/>
      <c r="H1941" s="25"/>
      <c r="I1941" s="3" t="s">
        <v>18</v>
      </c>
      <c r="J1941" s="11"/>
      <c r="K1941" s="11"/>
      <c r="L1941" s="11"/>
      <c r="M1941" s="11"/>
      <c r="N1941" s="11"/>
      <c r="O1941" s="11"/>
    </row>
    <row r="1942" spans="1:15" ht="15" thickBot="1" x14ac:dyDescent="0.4">
      <c r="A1942" t="str">
        <f t="shared" si="404"/>
        <v>FC000</v>
      </c>
      <c r="B1942" t="str">
        <f t="shared" si="403"/>
        <v>RMC - South Chain</v>
      </c>
      <c r="C1942" s="18"/>
      <c r="D1942" s="18"/>
      <c r="E1942" s="18"/>
      <c r="F1942" s="18"/>
      <c r="G1942" s="18"/>
      <c r="H1942" s="25"/>
      <c r="I1942" s="5" t="s">
        <v>19</v>
      </c>
      <c r="J1942" s="11"/>
      <c r="K1942" s="11"/>
      <c r="L1942" s="11"/>
      <c r="M1942" s="11"/>
      <c r="N1942" s="11"/>
      <c r="O1942" s="11"/>
    </row>
    <row r="1943" spans="1:15" ht="15" thickBot="1" x14ac:dyDescent="0.4">
      <c r="A1943" t="str">
        <f t="shared" si="405"/>
        <v>FC000</v>
      </c>
      <c r="B1943" t="str">
        <f t="shared" si="403"/>
        <v>RMC - South Chain</v>
      </c>
      <c r="C1943" s="18"/>
      <c r="D1943" s="18"/>
      <c r="E1943" s="18"/>
      <c r="F1943" s="18"/>
      <c r="G1943" s="18"/>
      <c r="H1943" s="25"/>
      <c r="I1943" s="3" t="s">
        <v>20</v>
      </c>
      <c r="J1943" s="11"/>
      <c r="K1943" s="11"/>
      <c r="L1943" s="11"/>
      <c r="M1943" s="11"/>
      <c r="N1943" s="11"/>
      <c r="O1943" s="11"/>
    </row>
    <row r="1944" spans="1:15" ht="15" thickBot="1" x14ac:dyDescent="0.4">
      <c r="A1944" t="str">
        <f t="shared" si="406"/>
        <v>FC000</v>
      </c>
      <c r="B1944" t="str">
        <f t="shared" si="403"/>
        <v>RMC - South Chain</v>
      </c>
      <c r="C1944" s="18"/>
      <c r="D1944" s="18"/>
      <c r="E1944" s="18"/>
      <c r="F1944" s="18"/>
      <c r="G1944" s="18"/>
      <c r="H1944" s="25"/>
      <c r="I1944" s="5" t="s">
        <v>21</v>
      </c>
      <c r="J1944" s="11"/>
      <c r="K1944" s="11"/>
      <c r="L1944" s="11"/>
      <c r="M1944" s="11"/>
      <c r="N1944" s="11"/>
      <c r="O1944" s="11"/>
    </row>
    <row r="1945" spans="1:15" ht="15" thickBot="1" x14ac:dyDescent="0.4">
      <c r="A1945" t="str">
        <f t="shared" si="407"/>
        <v>FC000</v>
      </c>
      <c r="B1945" t="str">
        <f t="shared" si="403"/>
        <v>RMC - South Chain</v>
      </c>
      <c r="C1945" s="19"/>
      <c r="D1945" s="19"/>
      <c r="E1945" s="19"/>
      <c r="F1945" s="19"/>
      <c r="G1945" s="19"/>
      <c r="H1945" s="26"/>
      <c r="I1945" s="3" t="s">
        <v>22</v>
      </c>
      <c r="J1945" s="11" t="s">
        <v>46</v>
      </c>
      <c r="K1945" s="11" t="s">
        <v>46</v>
      </c>
      <c r="L1945" s="11" t="s">
        <v>46</v>
      </c>
      <c r="M1945" s="11" t="s">
        <v>46</v>
      </c>
      <c r="N1945" s="11" t="s">
        <v>46</v>
      </c>
      <c r="O1945" s="11" t="s">
        <v>46</v>
      </c>
    </row>
    <row r="1946" spans="1:15" ht="15" thickBot="1" x14ac:dyDescent="0.4">
      <c r="B1946" t="str">
        <f t="shared" si="403"/>
        <v>RMC - South Chain</v>
      </c>
      <c r="C1946" s="16"/>
      <c r="D1946" s="16"/>
      <c r="E1946" s="16"/>
      <c r="F1946" s="16"/>
      <c r="G1946" s="16" t="s">
        <v>426</v>
      </c>
      <c r="H1946" s="27" t="s">
        <v>34</v>
      </c>
      <c r="I1946" s="1"/>
      <c r="J1946" s="1"/>
      <c r="K1946" s="1"/>
      <c r="L1946" s="1"/>
      <c r="M1946" s="1"/>
      <c r="N1946" s="1"/>
      <c r="O1946" s="1"/>
    </row>
    <row r="1947" spans="1:15" ht="15" thickBot="1" x14ac:dyDescent="0.4">
      <c r="A1947" t="str">
        <f t="shared" si="402"/>
        <v>FC006</v>
      </c>
      <c r="B1947" t="str">
        <f t="shared" si="403"/>
        <v>RMC - South Chain</v>
      </c>
      <c r="C1947" s="18"/>
      <c r="D1947" s="18"/>
      <c r="E1947" s="18"/>
      <c r="F1947" s="18"/>
      <c r="G1947" s="18"/>
      <c r="H1947" s="28"/>
      <c r="I1947" s="3" t="s">
        <v>18</v>
      </c>
      <c r="J1947" s="8">
        <v>21</v>
      </c>
      <c r="K1947" s="4">
        <v>30</v>
      </c>
      <c r="L1947" s="4">
        <v>33</v>
      </c>
      <c r="M1947" s="4">
        <v>30</v>
      </c>
      <c r="N1947" s="8">
        <v>18</v>
      </c>
      <c r="O1947" s="8">
        <v>24</v>
      </c>
    </row>
    <row r="1948" spans="1:15" ht="15" thickBot="1" x14ac:dyDescent="0.4">
      <c r="A1948" t="str">
        <f t="shared" si="404"/>
        <v>FC006</v>
      </c>
      <c r="B1948" t="str">
        <f t="shared" si="403"/>
        <v>RMC - South Chain</v>
      </c>
      <c r="C1948" s="18"/>
      <c r="D1948" s="18"/>
      <c r="E1948" s="18"/>
      <c r="F1948" s="18"/>
      <c r="G1948" s="18"/>
      <c r="H1948" s="28"/>
      <c r="I1948" s="5" t="s">
        <v>19</v>
      </c>
      <c r="J1948" s="7">
        <v>80</v>
      </c>
      <c r="K1948" s="6">
        <v>60</v>
      </c>
      <c r="L1948" s="6">
        <v>53</v>
      </c>
      <c r="M1948" s="6">
        <v>59</v>
      </c>
      <c r="N1948" s="8">
        <v>49</v>
      </c>
      <c r="O1948" s="6">
        <v>54</v>
      </c>
    </row>
    <row r="1949" spans="1:15" ht="15" thickBot="1" x14ac:dyDescent="0.4">
      <c r="A1949" t="str">
        <f t="shared" si="405"/>
        <v>FC006</v>
      </c>
      <c r="B1949" t="str">
        <f t="shared" si="403"/>
        <v>RMC - South Chain</v>
      </c>
      <c r="C1949" s="18"/>
      <c r="D1949" s="18"/>
      <c r="E1949" s="18"/>
      <c r="F1949" s="18"/>
      <c r="G1949" s="18"/>
      <c r="H1949" s="28"/>
      <c r="I1949" s="3" t="s">
        <v>20</v>
      </c>
      <c r="J1949" s="9">
        <v>30.5</v>
      </c>
      <c r="K1949" s="10">
        <v>28</v>
      </c>
      <c r="L1949" s="10">
        <v>21.6</v>
      </c>
      <c r="M1949" s="10">
        <v>19.100000000000001</v>
      </c>
      <c r="N1949" s="10">
        <v>18.899999999999999</v>
      </c>
      <c r="O1949" s="10">
        <v>18.600000000000001</v>
      </c>
    </row>
    <row r="1950" spans="1:15" ht="15" thickBot="1" x14ac:dyDescent="0.4">
      <c r="A1950" t="str">
        <f t="shared" si="406"/>
        <v>FC006</v>
      </c>
      <c r="B1950" t="str">
        <f t="shared" si="403"/>
        <v>RMC - South Chain</v>
      </c>
      <c r="C1950" s="18"/>
      <c r="D1950" s="18"/>
      <c r="E1950" s="18"/>
      <c r="F1950" s="18"/>
      <c r="G1950" s="18"/>
      <c r="H1950" s="28"/>
      <c r="I1950" s="5" t="s">
        <v>21</v>
      </c>
      <c r="J1950" s="10">
        <v>0.88</v>
      </c>
      <c r="K1950" s="9">
        <v>0.72</v>
      </c>
      <c r="L1950" s="10">
        <v>0.82</v>
      </c>
      <c r="M1950" s="10">
        <v>1.03</v>
      </c>
      <c r="N1950" s="10">
        <v>0.87</v>
      </c>
      <c r="O1950" s="10">
        <v>0.96</v>
      </c>
    </row>
    <row r="1951" spans="1:15" ht="15" thickBot="1" x14ac:dyDescent="0.4">
      <c r="A1951" t="str">
        <f t="shared" si="407"/>
        <v>FC006</v>
      </c>
      <c r="B1951" t="str">
        <f t="shared" si="403"/>
        <v>RMC - South Chain</v>
      </c>
      <c r="C1951" s="19"/>
      <c r="D1951" s="19"/>
      <c r="E1951" s="19"/>
      <c r="F1951" s="19"/>
      <c r="G1951" s="19"/>
      <c r="H1951" s="29"/>
      <c r="I1951" s="3" t="s">
        <v>22</v>
      </c>
      <c r="J1951" s="10" t="s">
        <v>24</v>
      </c>
      <c r="K1951" s="9" t="s">
        <v>25</v>
      </c>
      <c r="L1951" s="11"/>
      <c r="M1951" s="11"/>
      <c r="N1951" s="9" t="s">
        <v>25</v>
      </c>
      <c r="O1951" s="10" t="s">
        <v>24</v>
      </c>
    </row>
    <row r="1952" spans="1:15" ht="15" thickBot="1" x14ac:dyDescent="0.4">
      <c r="B1952" t="str">
        <f t="shared" si="403"/>
        <v>RMC - South Chain</v>
      </c>
      <c r="C1952" s="16"/>
      <c r="D1952" s="16"/>
      <c r="E1952" s="16"/>
      <c r="F1952" s="16"/>
      <c r="G1952" s="16" t="s">
        <v>427</v>
      </c>
      <c r="H1952" s="24" t="s">
        <v>30</v>
      </c>
      <c r="I1952" s="1"/>
      <c r="J1952" s="1"/>
      <c r="K1952" s="1"/>
      <c r="L1952" s="1"/>
      <c r="M1952" s="1"/>
      <c r="N1952" s="1"/>
      <c r="O1952" s="1"/>
    </row>
    <row r="1953" spans="1:15" ht="15" thickBot="1" x14ac:dyDescent="0.4">
      <c r="A1953" t="str">
        <f t="shared" si="402"/>
        <v>FC213</v>
      </c>
      <c r="B1953" t="str">
        <f t="shared" si="403"/>
        <v>RMC - South Chain</v>
      </c>
      <c r="C1953" s="18"/>
      <c r="D1953" s="18"/>
      <c r="E1953" s="18"/>
      <c r="F1953" s="18"/>
      <c r="G1953" s="18"/>
      <c r="H1953" s="25"/>
      <c r="I1953" s="3" t="s">
        <v>18</v>
      </c>
      <c r="J1953" s="11"/>
      <c r="K1953" s="11"/>
      <c r="L1953" s="4">
        <v>30</v>
      </c>
      <c r="M1953" s="11"/>
      <c r="N1953" s="11"/>
      <c r="O1953" s="11"/>
    </row>
    <row r="1954" spans="1:15" ht="15" thickBot="1" x14ac:dyDescent="0.4">
      <c r="A1954" t="str">
        <f t="shared" si="404"/>
        <v>FC213</v>
      </c>
      <c r="B1954" t="str">
        <f t="shared" si="403"/>
        <v>RMC - South Chain</v>
      </c>
      <c r="C1954" s="18"/>
      <c r="D1954" s="18"/>
      <c r="E1954" s="18"/>
      <c r="F1954" s="18"/>
      <c r="G1954" s="18"/>
      <c r="H1954" s="25"/>
      <c r="I1954" s="5" t="s">
        <v>19</v>
      </c>
      <c r="J1954" s="11"/>
      <c r="K1954" s="11"/>
      <c r="L1954" s="7">
        <v>74</v>
      </c>
      <c r="M1954" s="11"/>
      <c r="N1954" s="11"/>
      <c r="O1954" s="11"/>
    </row>
    <row r="1955" spans="1:15" ht="15" thickBot="1" x14ac:dyDescent="0.4">
      <c r="A1955" t="str">
        <f t="shared" si="405"/>
        <v>FC213</v>
      </c>
      <c r="B1955" t="str">
        <f t="shared" si="403"/>
        <v>RMC - South Chain</v>
      </c>
      <c r="C1955" s="18"/>
      <c r="D1955" s="18"/>
      <c r="E1955" s="18"/>
      <c r="F1955" s="18"/>
      <c r="G1955" s="18"/>
      <c r="H1955" s="25"/>
      <c r="I1955" s="3" t="s">
        <v>20</v>
      </c>
      <c r="J1955" s="11"/>
      <c r="K1955" s="11"/>
      <c r="L1955" s="10">
        <v>24</v>
      </c>
      <c r="M1955" s="11"/>
      <c r="N1955" s="11"/>
      <c r="O1955" s="11"/>
    </row>
    <row r="1956" spans="1:15" ht="15" thickBot="1" x14ac:dyDescent="0.4">
      <c r="A1956" t="str">
        <f t="shared" si="406"/>
        <v>FC213</v>
      </c>
      <c r="B1956" t="str">
        <f t="shared" si="403"/>
        <v>RMC - South Chain</v>
      </c>
      <c r="C1956" s="18"/>
      <c r="D1956" s="18"/>
      <c r="E1956" s="18"/>
      <c r="F1956" s="18"/>
      <c r="G1956" s="18"/>
      <c r="H1956" s="25"/>
      <c r="I1956" s="5" t="s">
        <v>21</v>
      </c>
      <c r="J1956" s="11"/>
      <c r="K1956" s="11"/>
      <c r="L1956" s="10">
        <v>1.02</v>
      </c>
      <c r="M1956" s="11"/>
      <c r="N1956" s="11"/>
      <c r="O1956" s="11"/>
    </row>
    <row r="1957" spans="1:15" ht="15" thickBot="1" x14ac:dyDescent="0.4">
      <c r="A1957" t="str">
        <f t="shared" si="407"/>
        <v>FC213</v>
      </c>
      <c r="B1957" t="str">
        <f t="shared" ref="B1957:B1963" si="408">$D$1700</f>
        <v>RMC - South Chain</v>
      </c>
      <c r="C1957" s="19"/>
      <c r="D1957" s="19"/>
      <c r="E1957" s="19"/>
      <c r="F1957" s="19"/>
      <c r="G1957" s="19"/>
      <c r="H1957" s="26"/>
      <c r="I1957" s="3" t="s">
        <v>22</v>
      </c>
      <c r="J1957" s="11" t="s">
        <v>45</v>
      </c>
      <c r="K1957" s="11" t="s">
        <v>45</v>
      </c>
      <c r="L1957" s="11"/>
      <c r="M1957" s="11" t="s">
        <v>31</v>
      </c>
      <c r="N1957" s="11" t="s">
        <v>45</v>
      </c>
      <c r="O1957" s="11" t="s">
        <v>45</v>
      </c>
    </row>
    <row r="1958" spans="1:15" ht="15" thickBot="1" x14ac:dyDescent="0.4">
      <c r="B1958" t="str">
        <f t="shared" si="408"/>
        <v>RMC - South Chain</v>
      </c>
      <c r="C1958" s="16"/>
      <c r="D1958" s="16"/>
      <c r="E1958" s="16"/>
      <c r="F1958" s="16"/>
      <c r="G1958" s="16" t="s">
        <v>428</v>
      </c>
      <c r="H1958" s="20" t="s">
        <v>17</v>
      </c>
      <c r="I1958" s="1"/>
      <c r="J1958" s="1"/>
      <c r="K1958" s="1"/>
      <c r="L1958" s="1"/>
      <c r="M1958" s="1"/>
      <c r="N1958" s="1"/>
      <c r="O1958" s="1"/>
    </row>
    <row r="1959" spans="1:15" ht="15" thickBot="1" x14ac:dyDescent="0.4">
      <c r="A1959" t="str">
        <f t="shared" ref="A1959:A1963" si="409">IF(LEFT(G1958,2)="FC",LEFT(G1958,5),LEFT(G1958,4))</f>
        <v>FC115</v>
      </c>
      <c r="B1959" t="str">
        <f t="shared" si="408"/>
        <v>RMC - South Chain</v>
      </c>
      <c r="C1959" s="18"/>
      <c r="D1959" s="18"/>
      <c r="E1959" s="18"/>
      <c r="F1959" s="18"/>
      <c r="G1959" s="18"/>
      <c r="H1959" s="22"/>
      <c r="I1959" s="3" t="s">
        <v>18</v>
      </c>
      <c r="J1959" s="11"/>
      <c r="K1959" s="4">
        <v>36</v>
      </c>
      <c r="L1959" s="11"/>
      <c r="M1959" s="11"/>
      <c r="N1959" s="11"/>
      <c r="O1959" s="4">
        <v>36</v>
      </c>
    </row>
    <row r="1960" spans="1:15" ht="15" thickBot="1" x14ac:dyDescent="0.4">
      <c r="A1960" t="str">
        <f t="shared" si="404"/>
        <v>FC115</v>
      </c>
      <c r="B1960" t="str">
        <f t="shared" si="408"/>
        <v>RMC - South Chain</v>
      </c>
      <c r="C1960" s="18"/>
      <c r="D1960" s="18"/>
      <c r="E1960" s="18"/>
      <c r="F1960" s="18"/>
      <c r="G1960" s="18"/>
      <c r="H1960" s="22"/>
      <c r="I1960" s="5" t="s">
        <v>19</v>
      </c>
      <c r="J1960" s="11"/>
      <c r="K1960" s="6">
        <v>64</v>
      </c>
      <c r="L1960" s="11"/>
      <c r="M1960" s="11"/>
      <c r="N1960" s="11"/>
      <c r="O1960" s="6">
        <v>68</v>
      </c>
    </row>
    <row r="1961" spans="1:15" ht="15" thickBot="1" x14ac:dyDescent="0.4">
      <c r="A1961" t="str">
        <f t="shared" si="405"/>
        <v>FC115</v>
      </c>
      <c r="B1961" t="str">
        <f t="shared" si="408"/>
        <v>RMC - South Chain</v>
      </c>
      <c r="C1961" s="18"/>
      <c r="D1961" s="18"/>
      <c r="E1961" s="18"/>
      <c r="F1961" s="18"/>
      <c r="G1961" s="18"/>
      <c r="H1961" s="22"/>
      <c r="I1961" s="3" t="s">
        <v>20</v>
      </c>
      <c r="J1961" s="11"/>
      <c r="K1961" s="10">
        <v>17.8</v>
      </c>
      <c r="L1961" s="11"/>
      <c r="M1961" s="11"/>
      <c r="N1961" s="11"/>
      <c r="O1961" s="10">
        <v>17.600000000000001</v>
      </c>
    </row>
    <row r="1962" spans="1:15" ht="15" thickBot="1" x14ac:dyDescent="0.4">
      <c r="A1962" t="str">
        <f t="shared" si="406"/>
        <v>FC115</v>
      </c>
      <c r="B1962" t="str">
        <f t="shared" si="408"/>
        <v>RMC - South Chain</v>
      </c>
      <c r="C1962" s="18"/>
      <c r="D1962" s="18"/>
      <c r="E1962" s="18"/>
      <c r="F1962" s="18"/>
      <c r="G1962" s="18"/>
      <c r="H1962" s="22"/>
      <c r="I1962" s="5" t="s">
        <v>21</v>
      </c>
      <c r="J1962" s="11"/>
      <c r="K1962" s="10">
        <v>1.2</v>
      </c>
      <c r="L1962" s="11"/>
      <c r="M1962" s="11"/>
      <c r="N1962" s="11"/>
      <c r="O1962" s="10">
        <v>1.29</v>
      </c>
    </row>
    <row r="1963" spans="1:15" ht="15" thickBot="1" x14ac:dyDescent="0.4">
      <c r="A1963" t="str">
        <f t="shared" si="407"/>
        <v>FC115</v>
      </c>
      <c r="B1963" t="str">
        <f t="shared" si="408"/>
        <v>RMC - South Chain</v>
      </c>
      <c r="C1963" s="33"/>
      <c r="D1963" s="33"/>
      <c r="E1963" s="33"/>
      <c r="F1963" s="33"/>
      <c r="G1963" s="33"/>
      <c r="H1963" s="36"/>
      <c r="I1963" s="12" t="s">
        <v>22</v>
      </c>
      <c r="J1963" s="13" t="s">
        <v>31</v>
      </c>
      <c r="K1963" s="15" t="s">
        <v>24</v>
      </c>
      <c r="L1963" s="13" t="s">
        <v>27</v>
      </c>
      <c r="M1963" s="13" t="s">
        <v>31</v>
      </c>
      <c r="N1963" s="13" t="s">
        <v>27</v>
      </c>
      <c r="O1963" s="15" t="s">
        <v>24</v>
      </c>
    </row>
  </sheetData>
  <mergeCells count="1962">
    <mergeCell ref="C1958:C1963"/>
    <mergeCell ref="D1958:D1963"/>
    <mergeCell ref="E1958:E1963"/>
    <mergeCell ref="F1958:F1963"/>
    <mergeCell ref="G1958:G1963"/>
    <mergeCell ref="H1958:H1963"/>
    <mergeCell ref="C1952:C1957"/>
    <mergeCell ref="D1952:D1957"/>
    <mergeCell ref="E1952:E1957"/>
    <mergeCell ref="F1952:F1957"/>
    <mergeCell ref="G1952:G1957"/>
    <mergeCell ref="H1952:H1957"/>
    <mergeCell ref="C1946:C1951"/>
    <mergeCell ref="D1946:D1951"/>
    <mergeCell ref="E1946:E1951"/>
    <mergeCell ref="F1946:F1951"/>
    <mergeCell ref="G1946:G1951"/>
    <mergeCell ref="H1946:H1951"/>
    <mergeCell ref="C1940:C1945"/>
    <mergeCell ref="D1940:D1945"/>
    <mergeCell ref="E1940:E1945"/>
    <mergeCell ref="F1940:F1945"/>
    <mergeCell ref="G1940:G1945"/>
    <mergeCell ref="H1940:H1945"/>
    <mergeCell ref="C1934:C1939"/>
    <mergeCell ref="D1934:D1939"/>
    <mergeCell ref="E1934:E1939"/>
    <mergeCell ref="F1934:F1939"/>
    <mergeCell ref="G1934:G1939"/>
    <mergeCell ref="H1934:H1939"/>
    <mergeCell ref="C1928:C1933"/>
    <mergeCell ref="D1928:D1933"/>
    <mergeCell ref="E1928:E1933"/>
    <mergeCell ref="F1928:F1933"/>
    <mergeCell ref="G1928:G1933"/>
    <mergeCell ref="H1928:H1933"/>
    <mergeCell ref="C1922:C1927"/>
    <mergeCell ref="D1922:D1927"/>
    <mergeCell ref="E1922:E1927"/>
    <mergeCell ref="F1922:F1927"/>
    <mergeCell ref="G1922:G1927"/>
    <mergeCell ref="H1922:H1927"/>
    <mergeCell ref="C1916:C1921"/>
    <mergeCell ref="D1916:D1921"/>
    <mergeCell ref="E1916:E1921"/>
    <mergeCell ref="F1916:F1921"/>
    <mergeCell ref="G1916:G1921"/>
    <mergeCell ref="H1916:H1921"/>
    <mergeCell ref="C1910:C1915"/>
    <mergeCell ref="D1910:D1915"/>
    <mergeCell ref="E1910:E1915"/>
    <mergeCell ref="F1910:F1915"/>
    <mergeCell ref="G1910:G1915"/>
    <mergeCell ref="H1910:H1915"/>
    <mergeCell ref="C1904:C1909"/>
    <mergeCell ref="D1904:D1909"/>
    <mergeCell ref="E1904:E1909"/>
    <mergeCell ref="F1904:F1909"/>
    <mergeCell ref="G1904:G1909"/>
    <mergeCell ref="H1904:H1909"/>
    <mergeCell ref="C1898:C1903"/>
    <mergeCell ref="D1898:D1903"/>
    <mergeCell ref="E1898:E1903"/>
    <mergeCell ref="F1898:F1903"/>
    <mergeCell ref="G1898:G1903"/>
    <mergeCell ref="H1898:H1903"/>
    <mergeCell ref="C1892:C1897"/>
    <mergeCell ref="D1892:D1897"/>
    <mergeCell ref="E1892:E1897"/>
    <mergeCell ref="F1892:F1897"/>
    <mergeCell ref="G1892:G1897"/>
    <mergeCell ref="H1892:H1897"/>
    <mergeCell ref="C1886:C1891"/>
    <mergeCell ref="D1886:D1891"/>
    <mergeCell ref="E1886:E1891"/>
    <mergeCell ref="F1886:F1891"/>
    <mergeCell ref="G1886:G1891"/>
    <mergeCell ref="H1886:H1891"/>
    <mergeCell ref="C1880:C1885"/>
    <mergeCell ref="D1880:D1885"/>
    <mergeCell ref="E1880:E1885"/>
    <mergeCell ref="F1880:F1885"/>
    <mergeCell ref="G1880:G1885"/>
    <mergeCell ref="H1880:H1885"/>
    <mergeCell ref="C1874:C1879"/>
    <mergeCell ref="D1874:D1879"/>
    <mergeCell ref="E1874:E1879"/>
    <mergeCell ref="F1874:F1879"/>
    <mergeCell ref="G1874:G1879"/>
    <mergeCell ref="H1874:H1879"/>
    <mergeCell ref="C1868:C1873"/>
    <mergeCell ref="D1868:D1873"/>
    <mergeCell ref="E1868:E1873"/>
    <mergeCell ref="F1868:F1873"/>
    <mergeCell ref="G1868:G1873"/>
    <mergeCell ref="H1868:H1873"/>
    <mergeCell ref="C1862:C1867"/>
    <mergeCell ref="D1862:D1867"/>
    <mergeCell ref="E1862:E1867"/>
    <mergeCell ref="F1862:F1867"/>
    <mergeCell ref="G1862:G1867"/>
    <mergeCell ref="H1862:H1867"/>
    <mergeCell ref="C1856:C1861"/>
    <mergeCell ref="D1856:D1861"/>
    <mergeCell ref="E1856:E1861"/>
    <mergeCell ref="F1856:F1861"/>
    <mergeCell ref="G1856:G1861"/>
    <mergeCell ref="H1856:H1861"/>
    <mergeCell ref="C1850:C1855"/>
    <mergeCell ref="D1850:D1855"/>
    <mergeCell ref="E1850:E1855"/>
    <mergeCell ref="F1850:F1855"/>
    <mergeCell ref="G1850:G1855"/>
    <mergeCell ref="H1850:H1855"/>
    <mergeCell ref="C1844:C1849"/>
    <mergeCell ref="D1844:D1849"/>
    <mergeCell ref="E1844:E1849"/>
    <mergeCell ref="F1844:F1849"/>
    <mergeCell ref="G1844:G1849"/>
    <mergeCell ref="H1844:H1849"/>
    <mergeCell ref="C1838:C1843"/>
    <mergeCell ref="D1838:D1843"/>
    <mergeCell ref="E1838:E1843"/>
    <mergeCell ref="F1838:F1843"/>
    <mergeCell ref="G1838:G1843"/>
    <mergeCell ref="H1838:H1843"/>
    <mergeCell ref="C1832:C1837"/>
    <mergeCell ref="D1832:D1837"/>
    <mergeCell ref="E1832:E1837"/>
    <mergeCell ref="F1832:F1837"/>
    <mergeCell ref="G1832:G1837"/>
    <mergeCell ref="H1832:H1837"/>
    <mergeCell ref="C1826:C1831"/>
    <mergeCell ref="D1826:D1831"/>
    <mergeCell ref="E1826:E1831"/>
    <mergeCell ref="F1826:F1831"/>
    <mergeCell ref="G1826:G1831"/>
    <mergeCell ref="H1826:H1831"/>
    <mergeCell ref="C1820:C1825"/>
    <mergeCell ref="D1820:D1825"/>
    <mergeCell ref="E1820:E1825"/>
    <mergeCell ref="F1820:F1825"/>
    <mergeCell ref="G1820:G1825"/>
    <mergeCell ref="H1820:H1825"/>
    <mergeCell ref="C1814:C1819"/>
    <mergeCell ref="D1814:D1819"/>
    <mergeCell ref="E1814:E1819"/>
    <mergeCell ref="F1814:F1819"/>
    <mergeCell ref="G1814:G1819"/>
    <mergeCell ref="H1814:H1819"/>
    <mergeCell ref="C1808:C1813"/>
    <mergeCell ref="D1808:D1813"/>
    <mergeCell ref="E1808:E1813"/>
    <mergeCell ref="F1808:F1813"/>
    <mergeCell ref="G1808:G1813"/>
    <mergeCell ref="H1808:H1813"/>
    <mergeCell ref="C1802:C1807"/>
    <mergeCell ref="D1802:D1807"/>
    <mergeCell ref="E1802:E1807"/>
    <mergeCell ref="F1802:F1807"/>
    <mergeCell ref="G1802:G1807"/>
    <mergeCell ref="H1802:H1807"/>
    <mergeCell ref="C1796:C1801"/>
    <mergeCell ref="D1796:D1801"/>
    <mergeCell ref="E1796:E1801"/>
    <mergeCell ref="F1796:F1801"/>
    <mergeCell ref="G1796:G1801"/>
    <mergeCell ref="H1796:H1801"/>
    <mergeCell ref="C1790:C1795"/>
    <mergeCell ref="D1790:D1795"/>
    <mergeCell ref="E1790:E1795"/>
    <mergeCell ref="F1790:F1795"/>
    <mergeCell ref="G1790:G1795"/>
    <mergeCell ref="H1790:H1795"/>
    <mergeCell ref="C1784:C1789"/>
    <mergeCell ref="D1784:D1789"/>
    <mergeCell ref="E1784:E1789"/>
    <mergeCell ref="F1784:F1789"/>
    <mergeCell ref="G1784:G1789"/>
    <mergeCell ref="H1784:H1789"/>
    <mergeCell ref="C1778:C1783"/>
    <mergeCell ref="D1778:D1783"/>
    <mergeCell ref="E1778:E1783"/>
    <mergeCell ref="F1778:F1783"/>
    <mergeCell ref="G1778:G1783"/>
    <mergeCell ref="H1778:H1783"/>
    <mergeCell ref="C1772:C1777"/>
    <mergeCell ref="D1772:D1777"/>
    <mergeCell ref="E1772:E1777"/>
    <mergeCell ref="F1772:F1777"/>
    <mergeCell ref="G1772:G1777"/>
    <mergeCell ref="H1772:H1777"/>
    <mergeCell ref="C1766:C1771"/>
    <mergeCell ref="D1766:D1771"/>
    <mergeCell ref="E1766:E1771"/>
    <mergeCell ref="F1766:F1771"/>
    <mergeCell ref="G1766:G1771"/>
    <mergeCell ref="H1766:H1771"/>
    <mergeCell ref="C1760:C1765"/>
    <mergeCell ref="D1760:D1765"/>
    <mergeCell ref="E1760:E1765"/>
    <mergeCell ref="F1760:F1765"/>
    <mergeCell ref="G1760:G1765"/>
    <mergeCell ref="H1760:H1765"/>
    <mergeCell ref="C1754:C1759"/>
    <mergeCell ref="D1754:D1759"/>
    <mergeCell ref="E1754:E1759"/>
    <mergeCell ref="F1754:F1759"/>
    <mergeCell ref="G1754:G1759"/>
    <mergeCell ref="H1754:H1759"/>
    <mergeCell ref="C1748:C1753"/>
    <mergeCell ref="D1748:D1753"/>
    <mergeCell ref="E1748:E1753"/>
    <mergeCell ref="F1748:F1753"/>
    <mergeCell ref="G1748:G1753"/>
    <mergeCell ref="H1748:H1753"/>
    <mergeCell ref="C1742:C1747"/>
    <mergeCell ref="D1742:D1747"/>
    <mergeCell ref="E1742:E1747"/>
    <mergeCell ref="F1742:F1747"/>
    <mergeCell ref="G1742:G1747"/>
    <mergeCell ref="H1742:H1747"/>
    <mergeCell ref="C1736:C1741"/>
    <mergeCell ref="D1736:D1741"/>
    <mergeCell ref="E1736:E1741"/>
    <mergeCell ref="F1736:F1741"/>
    <mergeCell ref="G1736:G1741"/>
    <mergeCell ref="H1736:H1741"/>
    <mergeCell ref="C1730:C1735"/>
    <mergeCell ref="D1730:D1735"/>
    <mergeCell ref="E1730:E1735"/>
    <mergeCell ref="F1730:F1735"/>
    <mergeCell ref="G1730:G1735"/>
    <mergeCell ref="H1730:H1735"/>
    <mergeCell ref="C1724:C1729"/>
    <mergeCell ref="D1724:D1729"/>
    <mergeCell ref="E1724:E1729"/>
    <mergeCell ref="F1724:F1729"/>
    <mergeCell ref="G1724:G1729"/>
    <mergeCell ref="H1724:H1729"/>
    <mergeCell ref="C1718:C1723"/>
    <mergeCell ref="D1718:D1723"/>
    <mergeCell ref="E1718:E1723"/>
    <mergeCell ref="F1718:F1723"/>
    <mergeCell ref="G1718:G1723"/>
    <mergeCell ref="H1718:H1723"/>
    <mergeCell ref="C1712:C1717"/>
    <mergeCell ref="D1712:D1717"/>
    <mergeCell ref="E1712:E1717"/>
    <mergeCell ref="F1712:F1717"/>
    <mergeCell ref="G1712:G1717"/>
    <mergeCell ref="H1712:H1717"/>
    <mergeCell ref="C1706:C1711"/>
    <mergeCell ref="D1706:D1711"/>
    <mergeCell ref="E1706:E1711"/>
    <mergeCell ref="F1706:F1711"/>
    <mergeCell ref="G1706:G1711"/>
    <mergeCell ref="H1706:H1711"/>
    <mergeCell ref="C1700:C1705"/>
    <mergeCell ref="D1700:D1705"/>
    <mergeCell ref="E1700:E1705"/>
    <mergeCell ref="F1700:F1705"/>
    <mergeCell ref="G1700:G1705"/>
    <mergeCell ref="H1700:H1705"/>
    <mergeCell ref="C1694:C1699"/>
    <mergeCell ref="D1694:D1699"/>
    <mergeCell ref="E1694:E1699"/>
    <mergeCell ref="F1694:F1699"/>
    <mergeCell ref="G1694:G1699"/>
    <mergeCell ref="H1694:H1699"/>
    <mergeCell ref="C1688:C1693"/>
    <mergeCell ref="D1688:D1693"/>
    <mergeCell ref="E1688:E1693"/>
    <mergeCell ref="F1688:F1693"/>
    <mergeCell ref="G1688:G1693"/>
    <mergeCell ref="H1688:H1693"/>
    <mergeCell ref="C1682:C1687"/>
    <mergeCell ref="D1682:D1687"/>
    <mergeCell ref="E1682:E1687"/>
    <mergeCell ref="F1682:F1687"/>
    <mergeCell ref="G1682:G1687"/>
    <mergeCell ref="H1682:H1687"/>
    <mergeCell ref="C1676:C1681"/>
    <mergeCell ref="D1676:D1681"/>
    <mergeCell ref="E1676:E1681"/>
    <mergeCell ref="F1676:F1681"/>
    <mergeCell ref="G1676:G1681"/>
    <mergeCell ref="H1676:H1681"/>
    <mergeCell ref="C1670:C1675"/>
    <mergeCell ref="D1670:D1675"/>
    <mergeCell ref="E1670:E1675"/>
    <mergeCell ref="F1670:F1675"/>
    <mergeCell ref="G1670:G1675"/>
    <mergeCell ref="H1670:H1675"/>
    <mergeCell ref="C1664:C1669"/>
    <mergeCell ref="D1664:D1669"/>
    <mergeCell ref="E1664:E1669"/>
    <mergeCell ref="F1664:F1669"/>
    <mergeCell ref="G1664:G1669"/>
    <mergeCell ref="H1664:H1669"/>
    <mergeCell ref="C1658:C1663"/>
    <mergeCell ref="D1658:D1663"/>
    <mergeCell ref="E1658:E1663"/>
    <mergeCell ref="F1658:F1663"/>
    <mergeCell ref="G1658:G1663"/>
    <mergeCell ref="H1658:H1663"/>
    <mergeCell ref="C1652:C1657"/>
    <mergeCell ref="D1652:D1657"/>
    <mergeCell ref="E1652:E1657"/>
    <mergeCell ref="F1652:F1657"/>
    <mergeCell ref="G1652:G1657"/>
    <mergeCell ref="H1652:H1657"/>
    <mergeCell ref="C1646:C1651"/>
    <mergeCell ref="D1646:D1651"/>
    <mergeCell ref="E1646:E1651"/>
    <mergeCell ref="F1646:F1651"/>
    <mergeCell ref="G1646:G1651"/>
    <mergeCell ref="H1646:H1651"/>
    <mergeCell ref="C1640:C1645"/>
    <mergeCell ref="D1640:D1645"/>
    <mergeCell ref="E1640:E1645"/>
    <mergeCell ref="F1640:F1645"/>
    <mergeCell ref="G1640:G1645"/>
    <mergeCell ref="H1640:H1645"/>
    <mergeCell ref="C1634:C1639"/>
    <mergeCell ref="D1634:D1639"/>
    <mergeCell ref="E1634:E1639"/>
    <mergeCell ref="F1634:F1639"/>
    <mergeCell ref="G1634:G1639"/>
    <mergeCell ref="H1634:H1639"/>
    <mergeCell ref="C1628:C1633"/>
    <mergeCell ref="D1628:D1633"/>
    <mergeCell ref="E1628:E1633"/>
    <mergeCell ref="F1628:F1633"/>
    <mergeCell ref="G1628:G1633"/>
    <mergeCell ref="H1628:H1633"/>
    <mergeCell ref="C1622:C1627"/>
    <mergeCell ref="D1622:D1627"/>
    <mergeCell ref="E1622:E1627"/>
    <mergeCell ref="F1622:F1627"/>
    <mergeCell ref="G1622:G1627"/>
    <mergeCell ref="H1622:H1627"/>
    <mergeCell ref="C1616:C1621"/>
    <mergeCell ref="D1616:D1621"/>
    <mergeCell ref="E1616:E1621"/>
    <mergeCell ref="F1616:F1621"/>
    <mergeCell ref="G1616:G1621"/>
    <mergeCell ref="H1616:H1621"/>
    <mergeCell ref="C1610:C1615"/>
    <mergeCell ref="D1610:D1615"/>
    <mergeCell ref="E1610:E1615"/>
    <mergeCell ref="F1610:F1615"/>
    <mergeCell ref="G1610:G1615"/>
    <mergeCell ref="H1610:H1615"/>
    <mergeCell ref="C1604:C1609"/>
    <mergeCell ref="D1604:D1609"/>
    <mergeCell ref="E1604:E1609"/>
    <mergeCell ref="F1604:F1609"/>
    <mergeCell ref="G1604:G1609"/>
    <mergeCell ref="H1604:H1609"/>
    <mergeCell ref="C1598:C1603"/>
    <mergeCell ref="D1598:D1603"/>
    <mergeCell ref="E1598:E1603"/>
    <mergeCell ref="F1598:F1603"/>
    <mergeCell ref="G1598:G1603"/>
    <mergeCell ref="H1598:H1603"/>
    <mergeCell ref="C1592:C1597"/>
    <mergeCell ref="D1592:D1597"/>
    <mergeCell ref="E1592:E1597"/>
    <mergeCell ref="F1592:F1597"/>
    <mergeCell ref="G1592:G1597"/>
    <mergeCell ref="H1592:H1597"/>
    <mergeCell ref="C1586:C1591"/>
    <mergeCell ref="D1586:D1591"/>
    <mergeCell ref="E1586:E1591"/>
    <mergeCell ref="F1586:F1591"/>
    <mergeCell ref="G1586:G1591"/>
    <mergeCell ref="H1586:H1591"/>
    <mergeCell ref="C1580:C1585"/>
    <mergeCell ref="D1580:D1585"/>
    <mergeCell ref="E1580:E1585"/>
    <mergeCell ref="F1580:F1585"/>
    <mergeCell ref="G1580:G1585"/>
    <mergeCell ref="H1580:H1585"/>
    <mergeCell ref="C1574:C1579"/>
    <mergeCell ref="D1574:D1579"/>
    <mergeCell ref="E1574:E1579"/>
    <mergeCell ref="F1574:F1579"/>
    <mergeCell ref="G1574:G1579"/>
    <mergeCell ref="H1574:H1579"/>
    <mergeCell ref="C1568:C1573"/>
    <mergeCell ref="D1568:D1573"/>
    <mergeCell ref="E1568:E1573"/>
    <mergeCell ref="F1568:F1573"/>
    <mergeCell ref="G1568:G1573"/>
    <mergeCell ref="H1568:H1573"/>
    <mergeCell ref="C1562:C1567"/>
    <mergeCell ref="D1562:D1567"/>
    <mergeCell ref="E1562:E1567"/>
    <mergeCell ref="F1562:F1567"/>
    <mergeCell ref="G1562:G1567"/>
    <mergeCell ref="H1562:H1567"/>
    <mergeCell ref="C1556:C1561"/>
    <mergeCell ref="D1556:D1561"/>
    <mergeCell ref="E1556:E1561"/>
    <mergeCell ref="F1556:F1561"/>
    <mergeCell ref="G1556:G1561"/>
    <mergeCell ref="H1556:H1561"/>
    <mergeCell ref="C1550:C1555"/>
    <mergeCell ref="D1550:D1555"/>
    <mergeCell ref="E1550:E1555"/>
    <mergeCell ref="F1550:F1555"/>
    <mergeCell ref="G1550:G1555"/>
    <mergeCell ref="H1550:H1555"/>
    <mergeCell ref="C1544:C1549"/>
    <mergeCell ref="D1544:D1549"/>
    <mergeCell ref="E1544:E1549"/>
    <mergeCell ref="F1544:F1549"/>
    <mergeCell ref="G1544:G1549"/>
    <mergeCell ref="H1544:H1549"/>
    <mergeCell ref="C1538:C1543"/>
    <mergeCell ref="D1538:D1543"/>
    <mergeCell ref="E1538:E1543"/>
    <mergeCell ref="F1538:F1543"/>
    <mergeCell ref="G1538:G1543"/>
    <mergeCell ref="H1538:H1543"/>
    <mergeCell ref="C1532:C1537"/>
    <mergeCell ref="D1532:D1537"/>
    <mergeCell ref="E1532:E1537"/>
    <mergeCell ref="F1532:F1537"/>
    <mergeCell ref="G1532:G1537"/>
    <mergeCell ref="H1532:H1537"/>
    <mergeCell ref="C1526:C1531"/>
    <mergeCell ref="D1526:D1531"/>
    <mergeCell ref="E1526:E1531"/>
    <mergeCell ref="F1526:F1531"/>
    <mergeCell ref="G1526:G1531"/>
    <mergeCell ref="H1526:H1531"/>
    <mergeCell ref="C1520:C1525"/>
    <mergeCell ref="D1520:D1525"/>
    <mergeCell ref="E1520:E1525"/>
    <mergeCell ref="F1520:F1525"/>
    <mergeCell ref="G1520:G1525"/>
    <mergeCell ref="H1520:H1525"/>
    <mergeCell ref="C1514:C1519"/>
    <mergeCell ref="D1514:D1519"/>
    <mergeCell ref="E1514:E1519"/>
    <mergeCell ref="F1514:F1519"/>
    <mergeCell ref="G1514:G1519"/>
    <mergeCell ref="H1514:H1519"/>
    <mergeCell ref="C1508:C1513"/>
    <mergeCell ref="D1508:D1513"/>
    <mergeCell ref="E1508:E1513"/>
    <mergeCell ref="F1508:F1513"/>
    <mergeCell ref="G1508:G1513"/>
    <mergeCell ref="H1508:H1513"/>
    <mergeCell ref="C1502:C1507"/>
    <mergeCell ref="D1502:D1507"/>
    <mergeCell ref="E1502:E1507"/>
    <mergeCell ref="F1502:F1507"/>
    <mergeCell ref="G1502:G1507"/>
    <mergeCell ref="H1502:H1507"/>
    <mergeCell ref="C1496:C1501"/>
    <mergeCell ref="D1496:D1501"/>
    <mergeCell ref="E1496:E1501"/>
    <mergeCell ref="F1496:F1501"/>
    <mergeCell ref="G1496:G1501"/>
    <mergeCell ref="H1496:H1501"/>
    <mergeCell ref="C1490:C1495"/>
    <mergeCell ref="D1490:D1495"/>
    <mergeCell ref="E1490:E1495"/>
    <mergeCell ref="F1490:F1495"/>
    <mergeCell ref="G1490:G1495"/>
    <mergeCell ref="H1490:H1495"/>
    <mergeCell ref="C1484:C1489"/>
    <mergeCell ref="D1484:D1489"/>
    <mergeCell ref="E1484:E1489"/>
    <mergeCell ref="F1484:F1489"/>
    <mergeCell ref="G1484:G1489"/>
    <mergeCell ref="H1484:H1489"/>
    <mergeCell ref="C1478:C1483"/>
    <mergeCell ref="D1478:D1483"/>
    <mergeCell ref="E1478:E1483"/>
    <mergeCell ref="F1478:F1483"/>
    <mergeCell ref="G1478:G1483"/>
    <mergeCell ref="H1478:H1483"/>
    <mergeCell ref="C1472:C1477"/>
    <mergeCell ref="D1472:D1477"/>
    <mergeCell ref="E1472:E1477"/>
    <mergeCell ref="F1472:F1477"/>
    <mergeCell ref="G1472:G1477"/>
    <mergeCell ref="H1472:H1477"/>
    <mergeCell ref="C1466:C1471"/>
    <mergeCell ref="D1466:D1471"/>
    <mergeCell ref="E1466:E1471"/>
    <mergeCell ref="F1466:F1471"/>
    <mergeCell ref="G1466:G1471"/>
    <mergeCell ref="H1466:H1471"/>
    <mergeCell ref="C1460:C1465"/>
    <mergeCell ref="D1460:D1465"/>
    <mergeCell ref="E1460:E1465"/>
    <mergeCell ref="F1460:F1465"/>
    <mergeCell ref="G1460:G1465"/>
    <mergeCell ref="H1460:H1465"/>
    <mergeCell ref="C1454:C1459"/>
    <mergeCell ref="D1454:D1459"/>
    <mergeCell ref="E1454:E1459"/>
    <mergeCell ref="F1454:F1459"/>
    <mergeCell ref="G1454:G1459"/>
    <mergeCell ref="H1454:H1459"/>
    <mergeCell ref="C1448:C1453"/>
    <mergeCell ref="D1448:D1453"/>
    <mergeCell ref="E1448:E1453"/>
    <mergeCell ref="F1448:F1453"/>
    <mergeCell ref="G1448:G1453"/>
    <mergeCell ref="H1448:H1453"/>
    <mergeCell ref="C1442:C1447"/>
    <mergeCell ref="D1442:D1447"/>
    <mergeCell ref="E1442:E1447"/>
    <mergeCell ref="F1442:F1447"/>
    <mergeCell ref="G1442:G1447"/>
    <mergeCell ref="H1442:H1447"/>
    <mergeCell ref="C1436:C1441"/>
    <mergeCell ref="D1436:D1441"/>
    <mergeCell ref="E1436:E1441"/>
    <mergeCell ref="F1436:F1441"/>
    <mergeCell ref="G1436:G1441"/>
    <mergeCell ref="H1436:H1441"/>
    <mergeCell ref="C1430:C1435"/>
    <mergeCell ref="D1430:D1435"/>
    <mergeCell ref="E1430:E1435"/>
    <mergeCell ref="F1430:F1435"/>
    <mergeCell ref="G1430:G1435"/>
    <mergeCell ref="H1430:H1435"/>
    <mergeCell ref="C1424:C1429"/>
    <mergeCell ref="D1424:D1429"/>
    <mergeCell ref="E1424:E1429"/>
    <mergeCell ref="F1424:F1429"/>
    <mergeCell ref="G1424:G1429"/>
    <mergeCell ref="H1424:H1429"/>
    <mergeCell ref="C1418:C1423"/>
    <mergeCell ref="D1418:D1423"/>
    <mergeCell ref="E1418:E1423"/>
    <mergeCell ref="F1418:F1423"/>
    <mergeCell ref="G1418:G1423"/>
    <mergeCell ref="H1418:H1423"/>
    <mergeCell ref="C1412:C1417"/>
    <mergeCell ref="D1412:D1417"/>
    <mergeCell ref="E1412:E1417"/>
    <mergeCell ref="F1412:F1417"/>
    <mergeCell ref="G1412:G1417"/>
    <mergeCell ref="H1412:H1417"/>
    <mergeCell ref="C1406:C1411"/>
    <mergeCell ref="D1406:D1411"/>
    <mergeCell ref="E1406:E1411"/>
    <mergeCell ref="F1406:F1411"/>
    <mergeCell ref="G1406:G1411"/>
    <mergeCell ref="H1406:H1411"/>
    <mergeCell ref="C1400:C1405"/>
    <mergeCell ref="D1400:D1405"/>
    <mergeCell ref="E1400:E1405"/>
    <mergeCell ref="F1400:F1405"/>
    <mergeCell ref="G1400:G1405"/>
    <mergeCell ref="H1400:H1405"/>
    <mergeCell ref="C1394:C1399"/>
    <mergeCell ref="D1394:D1399"/>
    <mergeCell ref="E1394:E1399"/>
    <mergeCell ref="F1394:F1399"/>
    <mergeCell ref="G1394:G1399"/>
    <mergeCell ref="H1394:H1399"/>
    <mergeCell ref="C1388:C1393"/>
    <mergeCell ref="D1388:D1393"/>
    <mergeCell ref="E1388:E1393"/>
    <mergeCell ref="F1388:F1393"/>
    <mergeCell ref="G1388:G1393"/>
    <mergeCell ref="H1388:H1393"/>
    <mergeCell ref="C1382:C1387"/>
    <mergeCell ref="D1382:D1387"/>
    <mergeCell ref="E1382:E1387"/>
    <mergeCell ref="F1382:F1387"/>
    <mergeCell ref="G1382:G1387"/>
    <mergeCell ref="H1382:H1387"/>
    <mergeCell ref="C1376:C1381"/>
    <mergeCell ref="D1376:D1381"/>
    <mergeCell ref="E1376:E1381"/>
    <mergeCell ref="F1376:F1381"/>
    <mergeCell ref="G1376:G1381"/>
    <mergeCell ref="H1376:H1381"/>
    <mergeCell ref="C1370:C1375"/>
    <mergeCell ref="D1370:D1375"/>
    <mergeCell ref="E1370:E1375"/>
    <mergeCell ref="F1370:F1375"/>
    <mergeCell ref="G1370:G1375"/>
    <mergeCell ref="H1370:H1375"/>
    <mergeCell ref="C1364:C1369"/>
    <mergeCell ref="D1364:D1369"/>
    <mergeCell ref="E1364:E1369"/>
    <mergeCell ref="F1364:F1369"/>
    <mergeCell ref="G1364:G1369"/>
    <mergeCell ref="H1364:H1369"/>
    <mergeCell ref="C1358:C1363"/>
    <mergeCell ref="D1358:D1363"/>
    <mergeCell ref="E1358:E1363"/>
    <mergeCell ref="F1358:F1363"/>
    <mergeCell ref="G1358:G1363"/>
    <mergeCell ref="H1358:H1363"/>
    <mergeCell ref="C1352:C1357"/>
    <mergeCell ref="D1352:D1357"/>
    <mergeCell ref="E1352:E1357"/>
    <mergeCell ref="F1352:F1357"/>
    <mergeCell ref="G1352:G1357"/>
    <mergeCell ref="H1352:H1357"/>
    <mergeCell ref="C1346:C1351"/>
    <mergeCell ref="D1346:D1351"/>
    <mergeCell ref="E1346:E1351"/>
    <mergeCell ref="F1346:F1351"/>
    <mergeCell ref="G1346:G1351"/>
    <mergeCell ref="H1346:H1351"/>
    <mergeCell ref="C1340:C1345"/>
    <mergeCell ref="D1340:D1345"/>
    <mergeCell ref="E1340:E1345"/>
    <mergeCell ref="F1340:F1345"/>
    <mergeCell ref="G1340:G1345"/>
    <mergeCell ref="H1340:H1345"/>
    <mergeCell ref="C1334:C1339"/>
    <mergeCell ref="D1334:D1339"/>
    <mergeCell ref="E1334:E1339"/>
    <mergeCell ref="F1334:F1339"/>
    <mergeCell ref="G1334:G1339"/>
    <mergeCell ref="H1334:H1339"/>
    <mergeCell ref="C1328:C1333"/>
    <mergeCell ref="D1328:D1333"/>
    <mergeCell ref="E1328:E1333"/>
    <mergeCell ref="F1328:F1333"/>
    <mergeCell ref="G1328:G1333"/>
    <mergeCell ref="H1328:H1333"/>
    <mergeCell ref="C1322:C1327"/>
    <mergeCell ref="D1322:D1327"/>
    <mergeCell ref="E1322:E1327"/>
    <mergeCell ref="F1322:F1327"/>
    <mergeCell ref="G1322:G1327"/>
    <mergeCell ref="H1322:H1327"/>
    <mergeCell ref="C1316:C1321"/>
    <mergeCell ref="D1316:D1321"/>
    <mergeCell ref="E1316:E1321"/>
    <mergeCell ref="F1316:F1321"/>
    <mergeCell ref="G1316:G1321"/>
    <mergeCell ref="H1316:H1321"/>
    <mergeCell ref="C1310:C1315"/>
    <mergeCell ref="D1310:D1315"/>
    <mergeCell ref="E1310:E1315"/>
    <mergeCell ref="F1310:F1315"/>
    <mergeCell ref="G1310:G1315"/>
    <mergeCell ref="H1310:H1315"/>
    <mergeCell ref="C1304:C1309"/>
    <mergeCell ref="D1304:D1309"/>
    <mergeCell ref="E1304:E1309"/>
    <mergeCell ref="F1304:F1309"/>
    <mergeCell ref="G1304:G1309"/>
    <mergeCell ref="H1304:H1309"/>
    <mergeCell ref="C1298:C1303"/>
    <mergeCell ref="D1298:D1303"/>
    <mergeCell ref="E1298:E1303"/>
    <mergeCell ref="F1298:F1303"/>
    <mergeCell ref="G1298:G1303"/>
    <mergeCell ref="H1298:H1303"/>
    <mergeCell ref="C1292:C1297"/>
    <mergeCell ref="D1292:D1297"/>
    <mergeCell ref="E1292:E1297"/>
    <mergeCell ref="F1292:F1297"/>
    <mergeCell ref="G1292:G1297"/>
    <mergeCell ref="H1292:H1297"/>
    <mergeCell ref="C1286:C1291"/>
    <mergeCell ref="D1286:D1291"/>
    <mergeCell ref="E1286:E1291"/>
    <mergeCell ref="F1286:F1291"/>
    <mergeCell ref="G1286:G1291"/>
    <mergeCell ref="H1286:H1291"/>
    <mergeCell ref="C1280:C1285"/>
    <mergeCell ref="D1280:D1285"/>
    <mergeCell ref="E1280:E1285"/>
    <mergeCell ref="F1280:F1285"/>
    <mergeCell ref="G1280:G1285"/>
    <mergeCell ref="H1280:H1285"/>
    <mergeCell ref="C1274:C1279"/>
    <mergeCell ref="D1274:D1279"/>
    <mergeCell ref="E1274:E1279"/>
    <mergeCell ref="F1274:F1279"/>
    <mergeCell ref="G1274:G1279"/>
    <mergeCell ref="H1274:H1279"/>
    <mergeCell ref="C1268:C1273"/>
    <mergeCell ref="D1268:D1273"/>
    <mergeCell ref="E1268:E1273"/>
    <mergeCell ref="F1268:F1273"/>
    <mergeCell ref="G1268:G1273"/>
    <mergeCell ref="H1268:H1273"/>
    <mergeCell ref="C1262:C1267"/>
    <mergeCell ref="D1262:D1267"/>
    <mergeCell ref="E1262:E1267"/>
    <mergeCell ref="F1262:F1267"/>
    <mergeCell ref="G1262:G1267"/>
    <mergeCell ref="H1262:H1267"/>
    <mergeCell ref="C1256:C1261"/>
    <mergeCell ref="D1256:D1261"/>
    <mergeCell ref="E1256:E1261"/>
    <mergeCell ref="F1256:F1261"/>
    <mergeCell ref="G1256:G1261"/>
    <mergeCell ref="H1256:H1261"/>
    <mergeCell ref="C1250:C1255"/>
    <mergeCell ref="D1250:D1255"/>
    <mergeCell ref="E1250:E1255"/>
    <mergeCell ref="F1250:F1255"/>
    <mergeCell ref="G1250:G1255"/>
    <mergeCell ref="H1250:H1255"/>
    <mergeCell ref="C1244:C1249"/>
    <mergeCell ref="D1244:D1249"/>
    <mergeCell ref="E1244:E1249"/>
    <mergeCell ref="F1244:F1249"/>
    <mergeCell ref="G1244:G1249"/>
    <mergeCell ref="H1244:H1249"/>
    <mergeCell ref="C1238:C1243"/>
    <mergeCell ref="D1238:D1243"/>
    <mergeCell ref="E1238:E1243"/>
    <mergeCell ref="F1238:F1243"/>
    <mergeCell ref="G1238:G1243"/>
    <mergeCell ref="H1238:H1243"/>
    <mergeCell ref="C1232:C1237"/>
    <mergeCell ref="D1232:D1237"/>
    <mergeCell ref="E1232:E1237"/>
    <mergeCell ref="F1232:F1237"/>
    <mergeCell ref="G1232:G1237"/>
    <mergeCell ref="H1232:H1237"/>
    <mergeCell ref="C1226:C1231"/>
    <mergeCell ref="D1226:D1231"/>
    <mergeCell ref="E1226:E1231"/>
    <mergeCell ref="F1226:F1231"/>
    <mergeCell ref="G1226:G1231"/>
    <mergeCell ref="H1226:H1231"/>
    <mergeCell ref="C1220:C1225"/>
    <mergeCell ref="D1220:D1225"/>
    <mergeCell ref="E1220:E1225"/>
    <mergeCell ref="F1220:F1225"/>
    <mergeCell ref="G1220:G1225"/>
    <mergeCell ref="H1220:H1225"/>
    <mergeCell ref="C1214:C1219"/>
    <mergeCell ref="D1214:D1219"/>
    <mergeCell ref="E1214:E1219"/>
    <mergeCell ref="F1214:F1219"/>
    <mergeCell ref="G1214:G1219"/>
    <mergeCell ref="H1214:H1219"/>
    <mergeCell ref="C1208:C1213"/>
    <mergeCell ref="D1208:D1213"/>
    <mergeCell ref="E1208:E1213"/>
    <mergeCell ref="F1208:F1213"/>
    <mergeCell ref="G1208:G1213"/>
    <mergeCell ref="H1208:H1213"/>
    <mergeCell ref="C1202:C1207"/>
    <mergeCell ref="D1202:D1207"/>
    <mergeCell ref="E1202:E1207"/>
    <mergeCell ref="F1202:F1207"/>
    <mergeCell ref="G1202:G1207"/>
    <mergeCell ref="H1202:H1207"/>
    <mergeCell ref="C1196:C1201"/>
    <mergeCell ref="D1196:D1201"/>
    <mergeCell ref="E1196:E1201"/>
    <mergeCell ref="F1196:F1201"/>
    <mergeCell ref="G1196:G1201"/>
    <mergeCell ref="H1196:H1201"/>
    <mergeCell ref="C1190:C1195"/>
    <mergeCell ref="D1190:D1195"/>
    <mergeCell ref="E1190:E1195"/>
    <mergeCell ref="F1190:F1195"/>
    <mergeCell ref="G1190:G1195"/>
    <mergeCell ref="H1190:H1195"/>
    <mergeCell ref="C1184:C1189"/>
    <mergeCell ref="D1184:D1189"/>
    <mergeCell ref="E1184:E1189"/>
    <mergeCell ref="F1184:F1189"/>
    <mergeCell ref="G1184:G1189"/>
    <mergeCell ref="H1184:H1189"/>
    <mergeCell ref="C1178:C1183"/>
    <mergeCell ref="D1178:D1183"/>
    <mergeCell ref="E1178:E1183"/>
    <mergeCell ref="F1178:F1183"/>
    <mergeCell ref="G1178:G1183"/>
    <mergeCell ref="H1178:H1183"/>
    <mergeCell ref="C1172:C1177"/>
    <mergeCell ref="D1172:D1177"/>
    <mergeCell ref="E1172:E1177"/>
    <mergeCell ref="F1172:F1177"/>
    <mergeCell ref="G1172:G1177"/>
    <mergeCell ref="H1172:H1177"/>
    <mergeCell ref="C1166:C1171"/>
    <mergeCell ref="D1166:D1171"/>
    <mergeCell ref="E1166:E1171"/>
    <mergeCell ref="F1166:F1171"/>
    <mergeCell ref="G1166:G1171"/>
    <mergeCell ref="H1166:H1171"/>
    <mergeCell ref="C1160:C1165"/>
    <mergeCell ref="D1160:D1165"/>
    <mergeCell ref="E1160:E1165"/>
    <mergeCell ref="F1160:F1165"/>
    <mergeCell ref="G1160:G1165"/>
    <mergeCell ref="H1160:H1165"/>
    <mergeCell ref="C1154:C1159"/>
    <mergeCell ref="D1154:D1159"/>
    <mergeCell ref="E1154:E1159"/>
    <mergeCell ref="F1154:F1159"/>
    <mergeCell ref="G1154:G1159"/>
    <mergeCell ref="H1154:H1159"/>
    <mergeCell ref="C1148:C1153"/>
    <mergeCell ref="D1148:D1153"/>
    <mergeCell ref="E1148:E1153"/>
    <mergeCell ref="F1148:F1153"/>
    <mergeCell ref="G1148:G1153"/>
    <mergeCell ref="H1148:H1153"/>
    <mergeCell ref="C1142:C1147"/>
    <mergeCell ref="D1142:D1147"/>
    <mergeCell ref="E1142:E1147"/>
    <mergeCell ref="F1142:F1147"/>
    <mergeCell ref="G1142:G1147"/>
    <mergeCell ref="H1142:H1147"/>
    <mergeCell ref="C1136:C1141"/>
    <mergeCell ref="D1136:D1141"/>
    <mergeCell ref="E1136:E1141"/>
    <mergeCell ref="F1136:F1141"/>
    <mergeCell ref="G1136:G1141"/>
    <mergeCell ref="H1136:H1141"/>
    <mergeCell ref="C1130:C1135"/>
    <mergeCell ref="D1130:D1135"/>
    <mergeCell ref="E1130:E1135"/>
    <mergeCell ref="F1130:F1135"/>
    <mergeCell ref="G1130:G1135"/>
    <mergeCell ref="H1130:H1135"/>
    <mergeCell ref="C1124:C1129"/>
    <mergeCell ref="D1124:D1129"/>
    <mergeCell ref="E1124:E1129"/>
    <mergeCell ref="F1124:F1129"/>
    <mergeCell ref="G1124:G1129"/>
    <mergeCell ref="H1124:H1129"/>
    <mergeCell ref="C1118:C1123"/>
    <mergeCell ref="D1118:D1123"/>
    <mergeCell ref="E1118:E1123"/>
    <mergeCell ref="F1118:F1123"/>
    <mergeCell ref="G1118:G1123"/>
    <mergeCell ref="H1118:H1123"/>
    <mergeCell ref="C1112:C1117"/>
    <mergeCell ref="D1112:D1117"/>
    <mergeCell ref="E1112:E1117"/>
    <mergeCell ref="F1112:F1117"/>
    <mergeCell ref="G1112:G1117"/>
    <mergeCell ref="H1112:H1117"/>
    <mergeCell ref="C1106:C1111"/>
    <mergeCell ref="D1106:D1111"/>
    <mergeCell ref="E1106:E1111"/>
    <mergeCell ref="F1106:F1111"/>
    <mergeCell ref="G1106:G1111"/>
    <mergeCell ref="H1106:H1111"/>
    <mergeCell ref="C1100:C1105"/>
    <mergeCell ref="D1100:D1105"/>
    <mergeCell ref="E1100:E1105"/>
    <mergeCell ref="F1100:F1105"/>
    <mergeCell ref="G1100:G1105"/>
    <mergeCell ref="H1100:H1105"/>
    <mergeCell ref="C1094:C1099"/>
    <mergeCell ref="D1094:D1099"/>
    <mergeCell ref="E1094:E1099"/>
    <mergeCell ref="F1094:F1099"/>
    <mergeCell ref="G1094:G1099"/>
    <mergeCell ref="H1094:H1099"/>
    <mergeCell ref="C1088:C1093"/>
    <mergeCell ref="D1088:D1093"/>
    <mergeCell ref="E1088:E1093"/>
    <mergeCell ref="F1088:F1093"/>
    <mergeCell ref="G1088:G1093"/>
    <mergeCell ref="H1088:H1093"/>
    <mergeCell ref="C1082:C1087"/>
    <mergeCell ref="D1082:D1087"/>
    <mergeCell ref="E1082:E1087"/>
    <mergeCell ref="F1082:F1087"/>
    <mergeCell ref="G1082:G1087"/>
    <mergeCell ref="H1082:H1087"/>
    <mergeCell ref="C1076:C1081"/>
    <mergeCell ref="D1076:D1081"/>
    <mergeCell ref="E1076:E1081"/>
    <mergeCell ref="F1076:F1081"/>
    <mergeCell ref="G1076:G1081"/>
    <mergeCell ref="H1076:H1081"/>
    <mergeCell ref="C1070:C1075"/>
    <mergeCell ref="D1070:D1075"/>
    <mergeCell ref="E1070:E1075"/>
    <mergeCell ref="F1070:F1075"/>
    <mergeCell ref="G1070:G1075"/>
    <mergeCell ref="H1070:H1075"/>
    <mergeCell ref="C1064:C1069"/>
    <mergeCell ref="D1064:D1069"/>
    <mergeCell ref="E1064:E1069"/>
    <mergeCell ref="F1064:F1069"/>
    <mergeCell ref="G1064:G1069"/>
    <mergeCell ref="H1064:H1069"/>
    <mergeCell ref="C1058:C1063"/>
    <mergeCell ref="D1058:D1063"/>
    <mergeCell ref="E1058:E1063"/>
    <mergeCell ref="F1058:F1063"/>
    <mergeCell ref="G1058:G1063"/>
    <mergeCell ref="H1058:H1063"/>
    <mergeCell ref="C1052:C1057"/>
    <mergeCell ref="D1052:D1057"/>
    <mergeCell ref="E1052:E1057"/>
    <mergeCell ref="F1052:F1057"/>
    <mergeCell ref="G1052:G1057"/>
    <mergeCell ref="H1052:H1057"/>
    <mergeCell ref="C1046:C1051"/>
    <mergeCell ref="D1046:D1051"/>
    <mergeCell ref="E1046:E1051"/>
    <mergeCell ref="F1046:F1051"/>
    <mergeCell ref="G1046:G1051"/>
    <mergeCell ref="H1046:H1051"/>
    <mergeCell ref="C1040:C1045"/>
    <mergeCell ref="D1040:D1045"/>
    <mergeCell ref="E1040:E1045"/>
    <mergeCell ref="F1040:F1045"/>
    <mergeCell ref="G1040:G1045"/>
    <mergeCell ref="H1040:H1045"/>
    <mergeCell ref="C1034:C1039"/>
    <mergeCell ref="D1034:D1039"/>
    <mergeCell ref="E1034:E1039"/>
    <mergeCell ref="F1034:F1039"/>
    <mergeCell ref="G1034:G1039"/>
    <mergeCell ref="H1034:H1039"/>
    <mergeCell ref="C1028:C1033"/>
    <mergeCell ref="D1028:D1033"/>
    <mergeCell ref="E1028:E1033"/>
    <mergeCell ref="F1028:F1033"/>
    <mergeCell ref="G1028:G1033"/>
    <mergeCell ref="H1028:H1033"/>
    <mergeCell ref="C1022:C1027"/>
    <mergeCell ref="D1022:D1027"/>
    <mergeCell ref="E1022:E1027"/>
    <mergeCell ref="F1022:F1027"/>
    <mergeCell ref="G1022:G1027"/>
    <mergeCell ref="H1022:H1027"/>
    <mergeCell ref="C1016:C1021"/>
    <mergeCell ref="D1016:D1021"/>
    <mergeCell ref="E1016:E1021"/>
    <mergeCell ref="F1016:F1021"/>
    <mergeCell ref="G1016:G1021"/>
    <mergeCell ref="H1016:H1021"/>
    <mergeCell ref="C1010:C1015"/>
    <mergeCell ref="D1010:D1015"/>
    <mergeCell ref="E1010:E1015"/>
    <mergeCell ref="F1010:F1015"/>
    <mergeCell ref="G1010:G1015"/>
    <mergeCell ref="H1010:H1015"/>
    <mergeCell ref="C1004:C1009"/>
    <mergeCell ref="D1004:D1009"/>
    <mergeCell ref="E1004:E1009"/>
    <mergeCell ref="F1004:F1009"/>
    <mergeCell ref="G1004:G1009"/>
    <mergeCell ref="H1004:H1009"/>
    <mergeCell ref="C998:C1003"/>
    <mergeCell ref="D998:D1003"/>
    <mergeCell ref="E998:E1003"/>
    <mergeCell ref="F998:F1003"/>
    <mergeCell ref="G998:G1003"/>
    <mergeCell ref="H998:H1003"/>
    <mergeCell ref="C992:C997"/>
    <mergeCell ref="D992:D997"/>
    <mergeCell ref="E992:E997"/>
    <mergeCell ref="F992:F997"/>
    <mergeCell ref="G992:G997"/>
    <mergeCell ref="H992:H997"/>
    <mergeCell ref="C986:C991"/>
    <mergeCell ref="D986:D991"/>
    <mergeCell ref="E986:E991"/>
    <mergeCell ref="F986:F991"/>
    <mergeCell ref="G986:G991"/>
    <mergeCell ref="H986:H991"/>
    <mergeCell ref="C980:C985"/>
    <mergeCell ref="D980:D985"/>
    <mergeCell ref="E980:E985"/>
    <mergeCell ref="F980:F985"/>
    <mergeCell ref="G980:G985"/>
    <mergeCell ref="H980:H985"/>
    <mergeCell ref="C974:C979"/>
    <mergeCell ref="D974:D979"/>
    <mergeCell ref="E974:E979"/>
    <mergeCell ref="F974:F979"/>
    <mergeCell ref="G974:G979"/>
    <mergeCell ref="H974:H979"/>
    <mergeCell ref="C968:C973"/>
    <mergeCell ref="D968:D973"/>
    <mergeCell ref="E968:E973"/>
    <mergeCell ref="F968:F973"/>
    <mergeCell ref="G968:G973"/>
    <mergeCell ref="H968:H973"/>
    <mergeCell ref="C962:C967"/>
    <mergeCell ref="D962:D967"/>
    <mergeCell ref="E962:E967"/>
    <mergeCell ref="F962:F967"/>
    <mergeCell ref="G962:G967"/>
    <mergeCell ref="H962:H967"/>
    <mergeCell ref="C956:C961"/>
    <mergeCell ref="D956:D961"/>
    <mergeCell ref="E956:E961"/>
    <mergeCell ref="F956:F961"/>
    <mergeCell ref="G956:G961"/>
    <mergeCell ref="H956:H961"/>
    <mergeCell ref="C950:C955"/>
    <mergeCell ref="D950:D955"/>
    <mergeCell ref="E950:E955"/>
    <mergeCell ref="F950:F955"/>
    <mergeCell ref="G950:G955"/>
    <mergeCell ref="H950:H955"/>
    <mergeCell ref="C944:C949"/>
    <mergeCell ref="D944:D949"/>
    <mergeCell ref="E944:E949"/>
    <mergeCell ref="F944:F949"/>
    <mergeCell ref="G944:G949"/>
    <mergeCell ref="H944:H949"/>
    <mergeCell ref="C938:C943"/>
    <mergeCell ref="D938:D943"/>
    <mergeCell ref="E938:E943"/>
    <mergeCell ref="F938:F943"/>
    <mergeCell ref="G938:G943"/>
    <mergeCell ref="H938:H943"/>
    <mergeCell ref="C932:C937"/>
    <mergeCell ref="D932:D937"/>
    <mergeCell ref="E932:E937"/>
    <mergeCell ref="F932:F937"/>
    <mergeCell ref="G932:G937"/>
    <mergeCell ref="H932:H937"/>
    <mergeCell ref="C926:C931"/>
    <mergeCell ref="D926:D931"/>
    <mergeCell ref="E926:E931"/>
    <mergeCell ref="F926:F931"/>
    <mergeCell ref="G926:G931"/>
    <mergeCell ref="H926:H931"/>
    <mergeCell ref="C920:C925"/>
    <mergeCell ref="D920:D925"/>
    <mergeCell ref="E920:E925"/>
    <mergeCell ref="F920:F925"/>
    <mergeCell ref="G920:G925"/>
    <mergeCell ref="H920:H925"/>
    <mergeCell ref="C914:C919"/>
    <mergeCell ref="D914:D919"/>
    <mergeCell ref="E914:E919"/>
    <mergeCell ref="F914:F919"/>
    <mergeCell ref="G914:G919"/>
    <mergeCell ref="H914:H919"/>
    <mergeCell ref="C908:C913"/>
    <mergeCell ref="D908:D913"/>
    <mergeCell ref="E908:E913"/>
    <mergeCell ref="F908:F913"/>
    <mergeCell ref="G908:G913"/>
    <mergeCell ref="H908:H913"/>
    <mergeCell ref="C902:C907"/>
    <mergeCell ref="D902:D907"/>
    <mergeCell ref="E902:E907"/>
    <mergeCell ref="F902:F907"/>
    <mergeCell ref="G902:G907"/>
    <mergeCell ref="H902:H907"/>
    <mergeCell ref="C896:C901"/>
    <mergeCell ref="D896:D901"/>
    <mergeCell ref="E896:E901"/>
    <mergeCell ref="F896:F901"/>
    <mergeCell ref="G896:G901"/>
    <mergeCell ref="H896:H901"/>
    <mergeCell ref="C890:C895"/>
    <mergeCell ref="D890:D895"/>
    <mergeCell ref="E890:E895"/>
    <mergeCell ref="F890:F895"/>
    <mergeCell ref="G890:G895"/>
    <mergeCell ref="H890:H895"/>
    <mergeCell ref="C884:C889"/>
    <mergeCell ref="D884:D889"/>
    <mergeCell ref="E884:E889"/>
    <mergeCell ref="F884:F889"/>
    <mergeCell ref="G884:G889"/>
    <mergeCell ref="H884:H889"/>
    <mergeCell ref="C878:C883"/>
    <mergeCell ref="D878:D883"/>
    <mergeCell ref="E878:E883"/>
    <mergeCell ref="F878:F883"/>
    <mergeCell ref="G878:G883"/>
    <mergeCell ref="H878:H883"/>
    <mergeCell ref="C872:C877"/>
    <mergeCell ref="D872:D877"/>
    <mergeCell ref="E872:E877"/>
    <mergeCell ref="F872:F877"/>
    <mergeCell ref="G872:G877"/>
    <mergeCell ref="H872:H877"/>
    <mergeCell ref="C866:C871"/>
    <mergeCell ref="D866:D871"/>
    <mergeCell ref="E866:E871"/>
    <mergeCell ref="F866:F871"/>
    <mergeCell ref="G866:G871"/>
    <mergeCell ref="H866:H871"/>
    <mergeCell ref="C860:C865"/>
    <mergeCell ref="D860:D865"/>
    <mergeCell ref="E860:E865"/>
    <mergeCell ref="F860:F865"/>
    <mergeCell ref="G860:G865"/>
    <mergeCell ref="H860:H865"/>
    <mergeCell ref="C854:C859"/>
    <mergeCell ref="D854:D859"/>
    <mergeCell ref="E854:E859"/>
    <mergeCell ref="F854:F859"/>
    <mergeCell ref="G854:G859"/>
    <mergeCell ref="H854:H859"/>
    <mergeCell ref="C848:C853"/>
    <mergeCell ref="D848:D853"/>
    <mergeCell ref="E848:E853"/>
    <mergeCell ref="F848:F853"/>
    <mergeCell ref="G848:G853"/>
    <mergeCell ref="H848:H853"/>
    <mergeCell ref="C842:C847"/>
    <mergeCell ref="D842:D847"/>
    <mergeCell ref="E842:E847"/>
    <mergeCell ref="F842:F847"/>
    <mergeCell ref="G842:G847"/>
    <mergeCell ref="H842:H847"/>
    <mergeCell ref="C836:C841"/>
    <mergeCell ref="D836:D841"/>
    <mergeCell ref="E836:E841"/>
    <mergeCell ref="F836:F841"/>
    <mergeCell ref="G836:G841"/>
    <mergeCell ref="H836:H841"/>
    <mergeCell ref="C830:C835"/>
    <mergeCell ref="D830:D835"/>
    <mergeCell ref="E830:E835"/>
    <mergeCell ref="F830:F835"/>
    <mergeCell ref="G830:G835"/>
    <mergeCell ref="H830:H835"/>
    <mergeCell ref="C824:C829"/>
    <mergeCell ref="D824:D829"/>
    <mergeCell ref="E824:E829"/>
    <mergeCell ref="F824:F829"/>
    <mergeCell ref="G824:G829"/>
    <mergeCell ref="H824:H829"/>
    <mergeCell ref="C818:C823"/>
    <mergeCell ref="D818:D823"/>
    <mergeCell ref="E818:E823"/>
    <mergeCell ref="F818:F823"/>
    <mergeCell ref="G818:G823"/>
    <mergeCell ref="H818:H823"/>
    <mergeCell ref="C812:C817"/>
    <mergeCell ref="D812:D817"/>
    <mergeCell ref="E812:E817"/>
    <mergeCell ref="F812:F817"/>
    <mergeCell ref="G812:G817"/>
    <mergeCell ref="H812:H817"/>
    <mergeCell ref="C806:C811"/>
    <mergeCell ref="D806:D811"/>
    <mergeCell ref="E806:E811"/>
    <mergeCell ref="F806:F811"/>
    <mergeCell ref="G806:G811"/>
    <mergeCell ref="H806:H811"/>
    <mergeCell ref="C800:C805"/>
    <mergeCell ref="D800:D805"/>
    <mergeCell ref="E800:E805"/>
    <mergeCell ref="F800:F805"/>
    <mergeCell ref="G800:G805"/>
    <mergeCell ref="H800:H805"/>
    <mergeCell ref="C794:C799"/>
    <mergeCell ref="D794:D799"/>
    <mergeCell ref="E794:E799"/>
    <mergeCell ref="F794:F799"/>
    <mergeCell ref="G794:G799"/>
    <mergeCell ref="H794:H799"/>
    <mergeCell ref="C788:C793"/>
    <mergeCell ref="D788:D793"/>
    <mergeCell ref="E788:E793"/>
    <mergeCell ref="F788:F793"/>
    <mergeCell ref="G788:G793"/>
    <mergeCell ref="H788:H793"/>
    <mergeCell ref="C782:C787"/>
    <mergeCell ref="D782:D787"/>
    <mergeCell ref="E782:E787"/>
    <mergeCell ref="F782:F787"/>
    <mergeCell ref="G782:G787"/>
    <mergeCell ref="H782:H787"/>
    <mergeCell ref="C776:C781"/>
    <mergeCell ref="D776:D781"/>
    <mergeCell ref="E776:E781"/>
    <mergeCell ref="F776:F781"/>
    <mergeCell ref="G776:G781"/>
    <mergeCell ref="H776:H781"/>
    <mergeCell ref="C770:C775"/>
    <mergeCell ref="D770:D775"/>
    <mergeCell ref="E770:E775"/>
    <mergeCell ref="F770:F775"/>
    <mergeCell ref="G770:G775"/>
    <mergeCell ref="H770:H775"/>
    <mergeCell ref="C764:C769"/>
    <mergeCell ref="D764:D769"/>
    <mergeCell ref="E764:E769"/>
    <mergeCell ref="F764:F769"/>
    <mergeCell ref="G764:G769"/>
    <mergeCell ref="H764:H769"/>
    <mergeCell ref="C758:C763"/>
    <mergeCell ref="D758:D763"/>
    <mergeCell ref="E758:E763"/>
    <mergeCell ref="F758:F763"/>
    <mergeCell ref="G758:G763"/>
    <mergeCell ref="H758:H763"/>
    <mergeCell ref="C752:C757"/>
    <mergeCell ref="D752:D757"/>
    <mergeCell ref="E752:E757"/>
    <mergeCell ref="F752:F757"/>
    <mergeCell ref="G752:G757"/>
    <mergeCell ref="H752:H757"/>
    <mergeCell ref="C746:C751"/>
    <mergeCell ref="D746:D751"/>
    <mergeCell ref="E746:E751"/>
    <mergeCell ref="F746:F751"/>
    <mergeCell ref="G746:G751"/>
    <mergeCell ref="H746:H751"/>
    <mergeCell ref="C740:C745"/>
    <mergeCell ref="D740:D745"/>
    <mergeCell ref="E740:E745"/>
    <mergeCell ref="F740:F745"/>
    <mergeCell ref="G740:G745"/>
    <mergeCell ref="H740:H745"/>
    <mergeCell ref="C734:C739"/>
    <mergeCell ref="D734:D739"/>
    <mergeCell ref="E734:E739"/>
    <mergeCell ref="F734:F739"/>
    <mergeCell ref="G734:G739"/>
    <mergeCell ref="H734:H739"/>
    <mergeCell ref="C728:C733"/>
    <mergeCell ref="D728:D733"/>
    <mergeCell ref="E728:E733"/>
    <mergeCell ref="F728:F733"/>
    <mergeCell ref="G728:G733"/>
    <mergeCell ref="H728:H733"/>
    <mergeCell ref="C722:C727"/>
    <mergeCell ref="D722:D727"/>
    <mergeCell ref="E722:E727"/>
    <mergeCell ref="F722:F727"/>
    <mergeCell ref="G722:G727"/>
    <mergeCell ref="H722:H727"/>
    <mergeCell ref="C716:C721"/>
    <mergeCell ref="D716:D721"/>
    <mergeCell ref="E716:E721"/>
    <mergeCell ref="F716:F721"/>
    <mergeCell ref="G716:G721"/>
    <mergeCell ref="H716:H721"/>
    <mergeCell ref="C710:C715"/>
    <mergeCell ref="D710:D715"/>
    <mergeCell ref="E710:E715"/>
    <mergeCell ref="F710:F715"/>
    <mergeCell ref="G710:G715"/>
    <mergeCell ref="H710:H715"/>
    <mergeCell ref="C704:C709"/>
    <mergeCell ref="D704:D709"/>
    <mergeCell ref="E704:E709"/>
    <mergeCell ref="F704:F709"/>
    <mergeCell ref="G704:G709"/>
    <mergeCell ref="H704:H709"/>
    <mergeCell ref="C698:C703"/>
    <mergeCell ref="D698:D703"/>
    <mergeCell ref="E698:E703"/>
    <mergeCell ref="F698:F703"/>
    <mergeCell ref="G698:G703"/>
    <mergeCell ref="H698:H703"/>
    <mergeCell ref="C692:C697"/>
    <mergeCell ref="D692:D697"/>
    <mergeCell ref="E692:E697"/>
    <mergeCell ref="F692:F697"/>
    <mergeCell ref="G692:G697"/>
    <mergeCell ref="H692:H697"/>
    <mergeCell ref="C686:C691"/>
    <mergeCell ref="D686:D691"/>
    <mergeCell ref="E686:E691"/>
    <mergeCell ref="F686:F691"/>
    <mergeCell ref="G686:G691"/>
    <mergeCell ref="H686:H691"/>
    <mergeCell ref="C680:C685"/>
    <mergeCell ref="D680:D685"/>
    <mergeCell ref="E680:E685"/>
    <mergeCell ref="F680:F685"/>
    <mergeCell ref="G680:G685"/>
    <mergeCell ref="H680:H685"/>
    <mergeCell ref="C674:C679"/>
    <mergeCell ref="D674:D679"/>
    <mergeCell ref="E674:E679"/>
    <mergeCell ref="F674:F679"/>
    <mergeCell ref="G674:G679"/>
    <mergeCell ref="H674:H679"/>
    <mergeCell ref="C668:C673"/>
    <mergeCell ref="D668:D673"/>
    <mergeCell ref="E668:E673"/>
    <mergeCell ref="F668:F673"/>
    <mergeCell ref="G668:G673"/>
    <mergeCell ref="H668:H673"/>
    <mergeCell ref="C662:C667"/>
    <mergeCell ref="D662:D667"/>
    <mergeCell ref="E662:E667"/>
    <mergeCell ref="F662:F667"/>
    <mergeCell ref="G662:G667"/>
    <mergeCell ref="H662:H667"/>
    <mergeCell ref="C656:C661"/>
    <mergeCell ref="D656:D661"/>
    <mergeCell ref="E656:E661"/>
    <mergeCell ref="F656:F661"/>
    <mergeCell ref="G656:G661"/>
    <mergeCell ref="H656:H661"/>
    <mergeCell ref="C650:C655"/>
    <mergeCell ref="D650:D655"/>
    <mergeCell ref="E650:E655"/>
    <mergeCell ref="F650:F655"/>
    <mergeCell ref="G650:G655"/>
    <mergeCell ref="H650:H655"/>
    <mergeCell ref="C644:C649"/>
    <mergeCell ref="D644:D649"/>
    <mergeCell ref="E644:E649"/>
    <mergeCell ref="F644:F649"/>
    <mergeCell ref="G644:G649"/>
    <mergeCell ref="H644:H649"/>
    <mergeCell ref="C638:C643"/>
    <mergeCell ref="D638:D643"/>
    <mergeCell ref="E638:E643"/>
    <mergeCell ref="F638:F643"/>
    <mergeCell ref="G638:G643"/>
    <mergeCell ref="H638:H643"/>
    <mergeCell ref="C632:C637"/>
    <mergeCell ref="D632:D637"/>
    <mergeCell ref="E632:E637"/>
    <mergeCell ref="F632:F637"/>
    <mergeCell ref="G632:G637"/>
    <mergeCell ref="H632:H637"/>
    <mergeCell ref="C626:C631"/>
    <mergeCell ref="D626:D631"/>
    <mergeCell ref="E626:E631"/>
    <mergeCell ref="F626:F631"/>
    <mergeCell ref="G626:G631"/>
    <mergeCell ref="H626:H631"/>
    <mergeCell ref="C620:C625"/>
    <mergeCell ref="D620:D625"/>
    <mergeCell ref="E620:E625"/>
    <mergeCell ref="F620:F625"/>
    <mergeCell ref="G620:G625"/>
    <mergeCell ref="H620:H625"/>
    <mergeCell ref="C614:C619"/>
    <mergeCell ref="D614:D619"/>
    <mergeCell ref="E614:E619"/>
    <mergeCell ref="F614:F619"/>
    <mergeCell ref="G614:G619"/>
    <mergeCell ref="H614:H619"/>
    <mergeCell ref="C608:C613"/>
    <mergeCell ref="D608:D613"/>
    <mergeCell ref="E608:E613"/>
    <mergeCell ref="F608:F613"/>
    <mergeCell ref="G608:G613"/>
    <mergeCell ref="H608:H613"/>
    <mergeCell ref="C602:C607"/>
    <mergeCell ref="D602:D607"/>
    <mergeCell ref="E602:E607"/>
    <mergeCell ref="F602:F607"/>
    <mergeCell ref="G602:G607"/>
    <mergeCell ref="H602:H607"/>
    <mergeCell ref="C596:C601"/>
    <mergeCell ref="D596:D601"/>
    <mergeCell ref="E596:E601"/>
    <mergeCell ref="F596:F601"/>
    <mergeCell ref="G596:G601"/>
    <mergeCell ref="H596:H601"/>
    <mergeCell ref="C590:C595"/>
    <mergeCell ref="D590:D595"/>
    <mergeCell ref="E590:E595"/>
    <mergeCell ref="F590:F595"/>
    <mergeCell ref="G590:G595"/>
    <mergeCell ref="H590:H595"/>
    <mergeCell ref="C584:C589"/>
    <mergeCell ref="D584:D589"/>
    <mergeCell ref="E584:E589"/>
    <mergeCell ref="F584:F589"/>
    <mergeCell ref="G584:G589"/>
    <mergeCell ref="H584:H589"/>
    <mergeCell ref="C578:C583"/>
    <mergeCell ref="D578:D583"/>
    <mergeCell ref="E578:E583"/>
    <mergeCell ref="F578:F583"/>
    <mergeCell ref="G578:G583"/>
    <mergeCell ref="H578:H583"/>
    <mergeCell ref="C572:C577"/>
    <mergeCell ref="D572:D577"/>
    <mergeCell ref="E572:E577"/>
    <mergeCell ref="F572:F577"/>
    <mergeCell ref="G572:G577"/>
    <mergeCell ref="H572:H577"/>
    <mergeCell ref="C566:C571"/>
    <mergeCell ref="D566:D571"/>
    <mergeCell ref="E566:E571"/>
    <mergeCell ref="F566:F571"/>
    <mergeCell ref="G566:G571"/>
    <mergeCell ref="H566:H571"/>
    <mergeCell ref="C560:C565"/>
    <mergeCell ref="D560:D565"/>
    <mergeCell ref="E560:E565"/>
    <mergeCell ref="F560:F565"/>
    <mergeCell ref="G560:G565"/>
    <mergeCell ref="H560:H565"/>
    <mergeCell ref="C554:C559"/>
    <mergeCell ref="D554:D559"/>
    <mergeCell ref="E554:E559"/>
    <mergeCell ref="F554:F559"/>
    <mergeCell ref="G554:G559"/>
    <mergeCell ref="H554:H559"/>
    <mergeCell ref="C548:C553"/>
    <mergeCell ref="D548:D553"/>
    <mergeCell ref="E548:E553"/>
    <mergeCell ref="F548:F553"/>
    <mergeCell ref="G548:G553"/>
    <mergeCell ref="H548:H553"/>
    <mergeCell ref="C542:C547"/>
    <mergeCell ref="D542:D547"/>
    <mergeCell ref="E542:E547"/>
    <mergeCell ref="F542:F547"/>
    <mergeCell ref="G542:G547"/>
    <mergeCell ref="H542:H547"/>
    <mergeCell ref="C536:C541"/>
    <mergeCell ref="D536:D541"/>
    <mergeCell ref="E536:E541"/>
    <mergeCell ref="F536:F541"/>
    <mergeCell ref="G536:G541"/>
    <mergeCell ref="H536:H541"/>
    <mergeCell ref="C530:C535"/>
    <mergeCell ref="D530:D535"/>
    <mergeCell ref="E530:E535"/>
    <mergeCell ref="F530:F535"/>
    <mergeCell ref="G530:G535"/>
    <mergeCell ref="H530:H535"/>
    <mergeCell ref="C524:C529"/>
    <mergeCell ref="D524:D529"/>
    <mergeCell ref="E524:E529"/>
    <mergeCell ref="F524:F529"/>
    <mergeCell ref="G524:G529"/>
    <mergeCell ref="H524:H529"/>
    <mergeCell ref="C518:C523"/>
    <mergeCell ref="D518:D523"/>
    <mergeCell ref="E518:E523"/>
    <mergeCell ref="F518:F523"/>
    <mergeCell ref="G518:G523"/>
    <mergeCell ref="H518:H523"/>
    <mergeCell ref="C512:C517"/>
    <mergeCell ref="D512:D517"/>
    <mergeCell ref="E512:E517"/>
    <mergeCell ref="F512:F517"/>
    <mergeCell ref="G512:G517"/>
    <mergeCell ref="H512:H517"/>
    <mergeCell ref="C506:C511"/>
    <mergeCell ref="D506:D511"/>
    <mergeCell ref="E506:E511"/>
    <mergeCell ref="F506:F511"/>
    <mergeCell ref="G506:G511"/>
    <mergeCell ref="H506:H511"/>
    <mergeCell ref="C500:C505"/>
    <mergeCell ref="D500:D505"/>
    <mergeCell ref="E500:E505"/>
    <mergeCell ref="F500:F505"/>
    <mergeCell ref="G500:G505"/>
    <mergeCell ref="H500:H505"/>
    <mergeCell ref="C494:C499"/>
    <mergeCell ref="D494:D499"/>
    <mergeCell ref="E494:E499"/>
    <mergeCell ref="F494:F499"/>
    <mergeCell ref="G494:G499"/>
    <mergeCell ref="H494:H499"/>
    <mergeCell ref="C488:C493"/>
    <mergeCell ref="D488:D493"/>
    <mergeCell ref="E488:E493"/>
    <mergeCell ref="F488:F493"/>
    <mergeCell ref="G488:G493"/>
    <mergeCell ref="H488:H493"/>
    <mergeCell ref="C482:C487"/>
    <mergeCell ref="D482:D487"/>
    <mergeCell ref="E482:E487"/>
    <mergeCell ref="F482:F487"/>
    <mergeCell ref="G482:G487"/>
    <mergeCell ref="H482:H487"/>
    <mergeCell ref="C476:C481"/>
    <mergeCell ref="D476:D481"/>
    <mergeCell ref="E476:E481"/>
    <mergeCell ref="F476:F481"/>
    <mergeCell ref="G476:G481"/>
    <mergeCell ref="H476:H481"/>
    <mergeCell ref="C470:C475"/>
    <mergeCell ref="D470:D475"/>
    <mergeCell ref="E470:E475"/>
    <mergeCell ref="F470:F475"/>
    <mergeCell ref="G470:G475"/>
    <mergeCell ref="H470:H475"/>
    <mergeCell ref="C464:C469"/>
    <mergeCell ref="D464:D469"/>
    <mergeCell ref="E464:E469"/>
    <mergeCell ref="F464:F469"/>
    <mergeCell ref="G464:G469"/>
    <mergeCell ref="H464:H469"/>
    <mergeCell ref="C458:C463"/>
    <mergeCell ref="D458:D463"/>
    <mergeCell ref="E458:E463"/>
    <mergeCell ref="F458:F463"/>
    <mergeCell ref="G458:G463"/>
    <mergeCell ref="H458:H463"/>
    <mergeCell ref="C452:C457"/>
    <mergeCell ref="D452:D457"/>
    <mergeCell ref="E452:E457"/>
    <mergeCell ref="F452:F457"/>
    <mergeCell ref="G452:G457"/>
    <mergeCell ref="H452:H457"/>
    <mergeCell ref="C446:C451"/>
    <mergeCell ref="D446:D451"/>
    <mergeCell ref="E446:E451"/>
    <mergeCell ref="F446:F451"/>
    <mergeCell ref="G446:G451"/>
    <mergeCell ref="H446:H451"/>
    <mergeCell ref="C440:C445"/>
    <mergeCell ref="D440:D445"/>
    <mergeCell ref="E440:E445"/>
    <mergeCell ref="F440:F445"/>
    <mergeCell ref="G440:G445"/>
    <mergeCell ref="H440:H445"/>
    <mergeCell ref="C434:C439"/>
    <mergeCell ref="D434:D439"/>
    <mergeCell ref="E434:E439"/>
    <mergeCell ref="F434:F439"/>
    <mergeCell ref="G434:G439"/>
    <mergeCell ref="H434:H439"/>
    <mergeCell ref="C428:C433"/>
    <mergeCell ref="D428:D433"/>
    <mergeCell ref="E428:E433"/>
    <mergeCell ref="F428:F433"/>
    <mergeCell ref="G428:G433"/>
    <mergeCell ref="H428:H433"/>
    <mergeCell ref="C422:C427"/>
    <mergeCell ref="D422:D427"/>
    <mergeCell ref="E422:E427"/>
    <mergeCell ref="F422:F427"/>
    <mergeCell ref="G422:G427"/>
    <mergeCell ref="H422:H427"/>
    <mergeCell ref="C416:C421"/>
    <mergeCell ref="D416:D421"/>
    <mergeCell ref="E416:E421"/>
    <mergeCell ref="F416:F421"/>
    <mergeCell ref="G416:G421"/>
    <mergeCell ref="H416:H421"/>
    <mergeCell ref="C410:C415"/>
    <mergeCell ref="D410:D415"/>
    <mergeCell ref="E410:E415"/>
    <mergeCell ref="F410:F415"/>
    <mergeCell ref="G410:G415"/>
    <mergeCell ref="H410:H415"/>
    <mergeCell ref="C404:C409"/>
    <mergeCell ref="D404:D409"/>
    <mergeCell ref="E404:E409"/>
    <mergeCell ref="F404:F409"/>
    <mergeCell ref="G404:G409"/>
    <mergeCell ref="H404:H409"/>
    <mergeCell ref="C398:C403"/>
    <mergeCell ref="D398:D403"/>
    <mergeCell ref="E398:E403"/>
    <mergeCell ref="F398:F403"/>
    <mergeCell ref="G398:G403"/>
    <mergeCell ref="H398:H403"/>
    <mergeCell ref="C392:C397"/>
    <mergeCell ref="D392:D397"/>
    <mergeCell ref="E392:E397"/>
    <mergeCell ref="F392:F397"/>
    <mergeCell ref="G392:G397"/>
    <mergeCell ref="H392:H397"/>
    <mergeCell ref="C386:C391"/>
    <mergeCell ref="D386:D391"/>
    <mergeCell ref="E386:E391"/>
    <mergeCell ref="F386:F391"/>
    <mergeCell ref="G386:G391"/>
    <mergeCell ref="H386:H391"/>
    <mergeCell ref="C380:C385"/>
    <mergeCell ref="D380:D385"/>
    <mergeCell ref="E380:E385"/>
    <mergeCell ref="F380:F385"/>
    <mergeCell ref="G380:G385"/>
    <mergeCell ref="H380:H385"/>
    <mergeCell ref="C374:C379"/>
    <mergeCell ref="D374:D379"/>
    <mergeCell ref="E374:E379"/>
    <mergeCell ref="F374:F379"/>
    <mergeCell ref="G374:G379"/>
    <mergeCell ref="H374:H379"/>
    <mergeCell ref="C368:C373"/>
    <mergeCell ref="D368:D373"/>
    <mergeCell ref="E368:E373"/>
    <mergeCell ref="F368:F373"/>
    <mergeCell ref="G368:G373"/>
    <mergeCell ref="H368:H373"/>
    <mergeCell ref="C362:C367"/>
    <mergeCell ref="D362:D367"/>
    <mergeCell ref="E362:E367"/>
    <mergeCell ref="F362:F367"/>
    <mergeCell ref="G362:G367"/>
    <mergeCell ref="H362:H367"/>
    <mergeCell ref="C356:C361"/>
    <mergeCell ref="D356:D361"/>
    <mergeCell ref="E356:E361"/>
    <mergeCell ref="F356:F361"/>
    <mergeCell ref="G356:G361"/>
    <mergeCell ref="H356:H361"/>
    <mergeCell ref="C350:C355"/>
    <mergeCell ref="D350:D355"/>
    <mergeCell ref="E350:E355"/>
    <mergeCell ref="F350:F355"/>
    <mergeCell ref="G350:G355"/>
    <mergeCell ref="H350:H355"/>
    <mergeCell ref="C344:C349"/>
    <mergeCell ref="D344:D349"/>
    <mergeCell ref="E344:E349"/>
    <mergeCell ref="F344:F349"/>
    <mergeCell ref="G344:G349"/>
    <mergeCell ref="H344:H349"/>
    <mergeCell ref="C338:C343"/>
    <mergeCell ref="D338:D343"/>
    <mergeCell ref="E338:E343"/>
    <mergeCell ref="F338:F343"/>
    <mergeCell ref="G338:G343"/>
    <mergeCell ref="H338:H343"/>
    <mergeCell ref="C332:C337"/>
    <mergeCell ref="D332:D337"/>
    <mergeCell ref="E332:E337"/>
    <mergeCell ref="F332:F337"/>
    <mergeCell ref="G332:G337"/>
    <mergeCell ref="H332:H337"/>
    <mergeCell ref="C326:C331"/>
    <mergeCell ref="D326:D331"/>
    <mergeCell ref="E326:E331"/>
    <mergeCell ref="F326:F331"/>
    <mergeCell ref="G326:G331"/>
    <mergeCell ref="H326:H331"/>
    <mergeCell ref="C320:C325"/>
    <mergeCell ref="D320:D325"/>
    <mergeCell ref="E320:E325"/>
    <mergeCell ref="F320:F325"/>
    <mergeCell ref="G320:G325"/>
    <mergeCell ref="H320:H325"/>
    <mergeCell ref="C314:C319"/>
    <mergeCell ref="D314:D319"/>
    <mergeCell ref="E314:E319"/>
    <mergeCell ref="F314:F319"/>
    <mergeCell ref="G314:G319"/>
    <mergeCell ref="H314:H319"/>
    <mergeCell ref="C308:C313"/>
    <mergeCell ref="D308:D313"/>
    <mergeCell ref="E308:E313"/>
    <mergeCell ref="F308:F313"/>
    <mergeCell ref="G308:G313"/>
    <mergeCell ref="H308:H313"/>
    <mergeCell ref="C302:C307"/>
    <mergeCell ref="D302:D307"/>
    <mergeCell ref="E302:E307"/>
    <mergeCell ref="F302:F307"/>
    <mergeCell ref="G302:G307"/>
    <mergeCell ref="H302:H307"/>
    <mergeCell ref="C296:C301"/>
    <mergeCell ref="D296:D301"/>
    <mergeCell ref="E296:E301"/>
    <mergeCell ref="F296:F301"/>
    <mergeCell ref="G296:G301"/>
    <mergeCell ref="H296:H301"/>
    <mergeCell ref="C290:C295"/>
    <mergeCell ref="D290:D295"/>
    <mergeCell ref="E290:E295"/>
    <mergeCell ref="F290:F295"/>
    <mergeCell ref="G290:G295"/>
    <mergeCell ref="H290:H295"/>
    <mergeCell ref="C284:C289"/>
    <mergeCell ref="D284:D289"/>
    <mergeCell ref="E284:E289"/>
    <mergeCell ref="F284:F289"/>
    <mergeCell ref="G284:G289"/>
    <mergeCell ref="H284:H289"/>
    <mergeCell ref="C278:C283"/>
    <mergeCell ref="D278:D283"/>
    <mergeCell ref="E278:E283"/>
    <mergeCell ref="F278:F283"/>
    <mergeCell ref="G278:G283"/>
    <mergeCell ref="H278:H283"/>
    <mergeCell ref="C272:C277"/>
    <mergeCell ref="D272:D277"/>
    <mergeCell ref="E272:E277"/>
    <mergeCell ref="F272:F277"/>
    <mergeCell ref="G272:G277"/>
    <mergeCell ref="H272:H277"/>
    <mergeCell ref="C266:C271"/>
    <mergeCell ref="D266:D271"/>
    <mergeCell ref="E266:E271"/>
    <mergeCell ref="F266:F271"/>
    <mergeCell ref="G266:G271"/>
    <mergeCell ref="H266:H271"/>
    <mergeCell ref="C260:C265"/>
    <mergeCell ref="D260:D265"/>
    <mergeCell ref="E260:E265"/>
    <mergeCell ref="F260:F265"/>
    <mergeCell ref="G260:G265"/>
    <mergeCell ref="H260:H265"/>
    <mergeCell ref="C254:C259"/>
    <mergeCell ref="D254:D259"/>
    <mergeCell ref="E254:E259"/>
    <mergeCell ref="F254:F259"/>
    <mergeCell ref="G254:G259"/>
    <mergeCell ref="H254:H259"/>
    <mergeCell ref="C248:C253"/>
    <mergeCell ref="D248:D253"/>
    <mergeCell ref="E248:E253"/>
    <mergeCell ref="F248:F253"/>
    <mergeCell ref="G248:G253"/>
    <mergeCell ref="H248:H253"/>
    <mergeCell ref="C242:C247"/>
    <mergeCell ref="D242:D247"/>
    <mergeCell ref="E242:E247"/>
    <mergeCell ref="F242:F247"/>
    <mergeCell ref="G242:G247"/>
    <mergeCell ref="H242:H247"/>
    <mergeCell ref="C236:C241"/>
    <mergeCell ref="D236:D241"/>
    <mergeCell ref="E236:E241"/>
    <mergeCell ref="F236:F241"/>
    <mergeCell ref="G236:G241"/>
    <mergeCell ref="H236:H241"/>
    <mergeCell ref="C230:C235"/>
    <mergeCell ref="D230:D235"/>
    <mergeCell ref="E230:E235"/>
    <mergeCell ref="F230:F235"/>
    <mergeCell ref="G230:G235"/>
    <mergeCell ref="H230:H235"/>
    <mergeCell ref="C224:C229"/>
    <mergeCell ref="D224:D229"/>
    <mergeCell ref="E224:E229"/>
    <mergeCell ref="F224:F229"/>
    <mergeCell ref="G224:G229"/>
    <mergeCell ref="H224:H229"/>
    <mergeCell ref="C218:C223"/>
    <mergeCell ref="D218:D223"/>
    <mergeCell ref="E218:E223"/>
    <mergeCell ref="F218:F223"/>
    <mergeCell ref="G218:G223"/>
    <mergeCell ref="H218:H223"/>
    <mergeCell ref="C212:C217"/>
    <mergeCell ref="D212:D217"/>
    <mergeCell ref="E212:E217"/>
    <mergeCell ref="F212:F217"/>
    <mergeCell ref="G212:G217"/>
    <mergeCell ref="H212:H217"/>
    <mergeCell ref="C206:C211"/>
    <mergeCell ref="D206:D211"/>
    <mergeCell ref="E206:E211"/>
    <mergeCell ref="F206:F211"/>
    <mergeCell ref="G206:G211"/>
    <mergeCell ref="H206:H211"/>
    <mergeCell ref="C200:C205"/>
    <mergeCell ref="D200:D205"/>
    <mergeCell ref="E200:E205"/>
    <mergeCell ref="F200:F205"/>
    <mergeCell ref="G200:G205"/>
    <mergeCell ref="H200:H205"/>
    <mergeCell ref="C194:C199"/>
    <mergeCell ref="D194:D199"/>
    <mergeCell ref="E194:E199"/>
    <mergeCell ref="F194:F199"/>
    <mergeCell ref="G194:G199"/>
    <mergeCell ref="H194:H199"/>
    <mergeCell ref="C188:C193"/>
    <mergeCell ref="D188:D193"/>
    <mergeCell ref="E188:E193"/>
    <mergeCell ref="F188:F193"/>
    <mergeCell ref="G188:G193"/>
    <mergeCell ref="H188:H193"/>
    <mergeCell ref="C182:C187"/>
    <mergeCell ref="D182:D187"/>
    <mergeCell ref="E182:E187"/>
    <mergeCell ref="F182:F187"/>
    <mergeCell ref="G182:G187"/>
    <mergeCell ref="H182:H187"/>
    <mergeCell ref="C176:C181"/>
    <mergeCell ref="D176:D181"/>
    <mergeCell ref="E176:E181"/>
    <mergeCell ref="F176:F181"/>
    <mergeCell ref="G176:G181"/>
    <mergeCell ref="H176:H181"/>
    <mergeCell ref="C170:C175"/>
    <mergeCell ref="D170:D175"/>
    <mergeCell ref="E170:E175"/>
    <mergeCell ref="F170:F175"/>
    <mergeCell ref="G170:G175"/>
    <mergeCell ref="H170:H175"/>
    <mergeCell ref="C164:C169"/>
    <mergeCell ref="D164:D169"/>
    <mergeCell ref="E164:E169"/>
    <mergeCell ref="F164:F169"/>
    <mergeCell ref="G164:G169"/>
    <mergeCell ref="H164:H169"/>
    <mergeCell ref="C158:C163"/>
    <mergeCell ref="D158:D163"/>
    <mergeCell ref="E158:E163"/>
    <mergeCell ref="F158:F163"/>
    <mergeCell ref="G158:G163"/>
    <mergeCell ref="H158:H163"/>
    <mergeCell ref="C152:C157"/>
    <mergeCell ref="D152:D157"/>
    <mergeCell ref="E152:E157"/>
    <mergeCell ref="F152:F157"/>
    <mergeCell ref="G152:G157"/>
    <mergeCell ref="H152:H157"/>
    <mergeCell ref="C146:C151"/>
    <mergeCell ref="D146:D151"/>
    <mergeCell ref="E146:E151"/>
    <mergeCell ref="F146:F151"/>
    <mergeCell ref="G146:G151"/>
    <mergeCell ref="H146:H151"/>
    <mergeCell ref="C140:C145"/>
    <mergeCell ref="D140:D145"/>
    <mergeCell ref="E140:E145"/>
    <mergeCell ref="F140:F145"/>
    <mergeCell ref="G140:G145"/>
    <mergeCell ref="H140:H145"/>
    <mergeCell ref="C134:C139"/>
    <mergeCell ref="D134:D139"/>
    <mergeCell ref="E134:E139"/>
    <mergeCell ref="F134:F139"/>
    <mergeCell ref="G134:G139"/>
    <mergeCell ref="H134:H139"/>
    <mergeCell ref="C128:C133"/>
    <mergeCell ref="D128:D133"/>
    <mergeCell ref="E128:E133"/>
    <mergeCell ref="F128:F133"/>
    <mergeCell ref="G128:G133"/>
    <mergeCell ref="H128:H133"/>
    <mergeCell ref="C122:C127"/>
    <mergeCell ref="D122:D127"/>
    <mergeCell ref="E122:E127"/>
    <mergeCell ref="F122:F127"/>
    <mergeCell ref="G122:G127"/>
    <mergeCell ref="H122:H127"/>
    <mergeCell ref="C116:C121"/>
    <mergeCell ref="D116:D121"/>
    <mergeCell ref="E116:E121"/>
    <mergeCell ref="F116:F121"/>
    <mergeCell ref="G116:G121"/>
    <mergeCell ref="H116:H121"/>
    <mergeCell ref="C110:C115"/>
    <mergeCell ref="D110:D115"/>
    <mergeCell ref="E110:E115"/>
    <mergeCell ref="F110:F115"/>
    <mergeCell ref="G110:G115"/>
    <mergeCell ref="H110:H115"/>
    <mergeCell ref="C104:C109"/>
    <mergeCell ref="D104:D109"/>
    <mergeCell ref="E104:E109"/>
    <mergeCell ref="F104:F109"/>
    <mergeCell ref="G104:G109"/>
    <mergeCell ref="H104:H109"/>
    <mergeCell ref="C98:C103"/>
    <mergeCell ref="D98:D103"/>
    <mergeCell ref="E98:E103"/>
    <mergeCell ref="F98:F103"/>
    <mergeCell ref="G98:G103"/>
    <mergeCell ref="H98:H103"/>
    <mergeCell ref="C92:C97"/>
    <mergeCell ref="D92:D97"/>
    <mergeCell ref="E92:E97"/>
    <mergeCell ref="F92:F97"/>
    <mergeCell ref="G92:G97"/>
    <mergeCell ref="H92:H97"/>
    <mergeCell ref="C86:C91"/>
    <mergeCell ref="D86:D91"/>
    <mergeCell ref="E86:E91"/>
    <mergeCell ref="F86:F91"/>
    <mergeCell ref="G86:G91"/>
    <mergeCell ref="H86:H91"/>
    <mergeCell ref="C80:C85"/>
    <mergeCell ref="D80:D85"/>
    <mergeCell ref="E80:E85"/>
    <mergeCell ref="F80:F85"/>
    <mergeCell ref="G80:G85"/>
    <mergeCell ref="H80:H85"/>
    <mergeCell ref="C74:C79"/>
    <mergeCell ref="D74:D79"/>
    <mergeCell ref="E74:E79"/>
    <mergeCell ref="F74:F79"/>
    <mergeCell ref="G74:G79"/>
    <mergeCell ref="H74:H79"/>
    <mergeCell ref="C68:C73"/>
    <mergeCell ref="D68:D73"/>
    <mergeCell ref="E68:E73"/>
    <mergeCell ref="F68:F73"/>
    <mergeCell ref="G68:G73"/>
    <mergeCell ref="H68:H73"/>
    <mergeCell ref="C62:C67"/>
    <mergeCell ref="D62:D67"/>
    <mergeCell ref="E62:E67"/>
    <mergeCell ref="F62:F67"/>
    <mergeCell ref="G62:G67"/>
    <mergeCell ref="H62:H67"/>
    <mergeCell ref="C56:C61"/>
    <mergeCell ref="D56:D61"/>
    <mergeCell ref="E56:E61"/>
    <mergeCell ref="F56:F61"/>
    <mergeCell ref="G56:G61"/>
    <mergeCell ref="H56:H61"/>
    <mergeCell ref="C50:C55"/>
    <mergeCell ref="D50:D55"/>
    <mergeCell ref="E50:E55"/>
    <mergeCell ref="F50:F55"/>
    <mergeCell ref="G50:G55"/>
    <mergeCell ref="H50:H55"/>
    <mergeCell ref="C44:C49"/>
    <mergeCell ref="D44:D49"/>
    <mergeCell ref="E44:E49"/>
    <mergeCell ref="F44:F49"/>
    <mergeCell ref="G44:G49"/>
    <mergeCell ref="H44:H49"/>
    <mergeCell ref="C38:C43"/>
    <mergeCell ref="D38:D43"/>
    <mergeCell ref="E38:E43"/>
    <mergeCell ref="F38:F43"/>
    <mergeCell ref="G38:G43"/>
    <mergeCell ref="H38:H43"/>
    <mergeCell ref="C32:C37"/>
    <mergeCell ref="D32:D37"/>
    <mergeCell ref="E32:E37"/>
    <mergeCell ref="F32:F37"/>
    <mergeCell ref="G32:G37"/>
    <mergeCell ref="H32:H37"/>
    <mergeCell ref="C26:C31"/>
    <mergeCell ref="D26:D31"/>
    <mergeCell ref="E26:E31"/>
    <mergeCell ref="F26:F31"/>
    <mergeCell ref="G26:G31"/>
    <mergeCell ref="H26:H31"/>
    <mergeCell ref="C20:C25"/>
    <mergeCell ref="D20:D25"/>
    <mergeCell ref="E20:E25"/>
    <mergeCell ref="F20:F25"/>
    <mergeCell ref="G20:G25"/>
    <mergeCell ref="H20:H25"/>
    <mergeCell ref="C14:C19"/>
    <mergeCell ref="D14:D19"/>
    <mergeCell ref="E14:E19"/>
    <mergeCell ref="F14:F19"/>
    <mergeCell ref="G14:G19"/>
    <mergeCell ref="H14:H19"/>
    <mergeCell ref="C8:C13"/>
    <mergeCell ref="D8:D13"/>
    <mergeCell ref="E8:E13"/>
    <mergeCell ref="F8:F13"/>
    <mergeCell ref="G8:G13"/>
    <mergeCell ref="H8:H13"/>
    <mergeCell ref="C2:C7"/>
    <mergeCell ref="D2:D7"/>
    <mergeCell ref="E2:E7"/>
    <mergeCell ref="F2:F7"/>
    <mergeCell ref="G2:G7"/>
    <mergeCell ref="H2:H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2026-08-22T01:10:25Z</dcterms:created>
  <dcterms:modified xsi:type="dcterms:W3CDTF">2026-08-22T01:28:45Z</dcterms:modified>
</cp:coreProperties>
</file>