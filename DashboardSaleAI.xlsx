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Sale\"/>
    </mc:Choice>
  </mc:AlternateContent>
  <xr:revisionPtr revIDLastSave="0" documentId="13_ncr:1_{CD0B5B3F-FB39-42E2-92F9-68B956D60376}" xr6:coauthVersionLast="36" xr6:coauthVersionMax="36" xr10:uidLastSave="{00000000-0000-0000-0000-000000000000}"/>
  <bookViews>
    <workbookView xWindow="0" yWindow="0" windowWidth="19200" windowHeight="8130" activeTab="4" xr2:uid="{51F89FC5-9E8B-4444-B8E4-5BD9F41461A1}"/>
  </bookViews>
  <sheets>
    <sheet name="2026" sheetId="1" r:id="rId1"/>
    <sheet name="2025" sheetId="2" r:id="rId2"/>
    <sheet name="PLAN2026" sheetId="3" r:id="rId3"/>
    <sheet name="Status" sheetId="4" r:id="rId4"/>
    <sheet name="CPAC2026" sheetId="8" r:id="rId5"/>
    <sheet name="PLANCPAC2026" sheetId="9" r:id="rId6"/>
    <sheet name="CPAC2025" sheetId="10" r:id="rId7"/>
  </sheets>
  <externalReferences>
    <externalReference r:id="rId8"/>
  </externalReferences>
  <definedNames>
    <definedName name="_xlnm._FilterDatabase" localSheetId="1" hidden="1">'2025'!$A$1:$S$287</definedName>
    <definedName name="_xlnm._FilterDatabase" localSheetId="0" hidden="1">'2026'!$A$1:$S$291</definedName>
    <definedName name="_xlnm._FilterDatabase" localSheetId="2" hidden="1">PLAN2026!$A$1:$R$296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0" l="1"/>
  <c r="N2" i="10" s="1"/>
  <c r="C2" i="10"/>
  <c r="D2" i="10"/>
  <c r="D8" i="10" s="1"/>
  <c r="E2" i="10"/>
  <c r="F2" i="10"/>
  <c r="F8" i="10" s="1"/>
  <c r="G2" i="10"/>
  <c r="G8" i="10" s="1"/>
  <c r="H2" i="10"/>
  <c r="H8" i="10" s="1"/>
  <c r="I2" i="10"/>
  <c r="I8" i="10" s="1"/>
  <c r="B3" i="10"/>
  <c r="C3" i="10"/>
  <c r="D3" i="10"/>
  <c r="N3" i="10" s="1"/>
  <c r="E3" i="10"/>
  <c r="F3" i="10"/>
  <c r="G3" i="10"/>
  <c r="H3" i="10"/>
  <c r="I3" i="10"/>
  <c r="B4" i="10"/>
  <c r="N4" i="10" s="1"/>
  <c r="C4" i="10"/>
  <c r="C8" i="10" s="1"/>
  <c r="D4" i="10"/>
  <c r="E4" i="10"/>
  <c r="F4" i="10"/>
  <c r="G4" i="10"/>
  <c r="H4" i="10"/>
  <c r="I4" i="10"/>
  <c r="B5" i="10"/>
  <c r="C5" i="10"/>
  <c r="D5" i="10"/>
  <c r="E5" i="10"/>
  <c r="E8" i="10" s="1"/>
  <c r="F5" i="10"/>
  <c r="G5" i="10"/>
  <c r="H5" i="10"/>
  <c r="I5" i="10"/>
  <c r="B6" i="10"/>
  <c r="C6" i="10"/>
  <c r="D6" i="10"/>
  <c r="N6" i="10" s="1"/>
  <c r="E6" i="10"/>
  <c r="F6" i="10"/>
  <c r="G6" i="10"/>
  <c r="H6" i="10"/>
  <c r="I6" i="10"/>
  <c r="B7" i="10"/>
  <c r="C7" i="10"/>
  <c r="D7" i="10"/>
  <c r="N7" i="10" s="1"/>
  <c r="E7" i="10"/>
  <c r="F7" i="10"/>
  <c r="G7" i="10"/>
  <c r="H7" i="10"/>
  <c r="I7" i="10"/>
  <c r="B8" i="10"/>
  <c r="J8" i="10"/>
  <c r="K8" i="10"/>
  <c r="L8" i="10"/>
  <c r="M8" i="10"/>
  <c r="B2" i="9"/>
  <c r="B8" i="9" s="1"/>
  <c r="C2" i="9"/>
  <c r="D2" i="9"/>
  <c r="D8" i="9" s="1"/>
  <c r="E2" i="9"/>
  <c r="E8" i="9" s="1"/>
  <c r="F2" i="9"/>
  <c r="F8" i="9" s="1"/>
  <c r="G2" i="9"/>
  <c r="H2" i="9"/>
  <c r="I2" i="9"/>
  <c r="I8" i="9" s="1"/>
  <c r="J2" i="9"/>
  <c r="K2" i="9"/>
  <c r="L2" i="9"/>
  <c r="M2" i="9"/>
  <c r="M8" i="9" s="1"/>
  <c r="B3" i="9"/>
  <c r="C3" i="9"/>
  <c r="D3" i="9"/>
  <c r="N3" i="9" s="1"/>
  <c r="E3" i="9"/>
  <c r="F3" i="9"/>
  <c r="G3" i="9"/>
  <c r="H3" i="9"/>
  <c r="I3" i="9"/>
  <c r="J3" i="9"/>
  <c r="K3" i="9"/>
  <c r="L3" i="9"/>
  <c r="M3" i="9"/>
  <c r="B4" i="9"/>
  <c r="C4" i="9"/>
  <c r="N4" i="9" s="1"/>
  <c r="D4" i="9"/>
  <c r="E4" i="9"/>
  <c r="F4" i="9"/>
  <c r="G4" i="9"/>
  <c r="H4" i="9"/>
  <c r="I4" i="9"/>
  <c r="J4" i="9"/>
  <c r="J8" i="9" s="1"/>
  <c r="K4" i="9"/>
  <c r="K8" i="9" s="1"/>
  <c r="L4" i="9"/>
  <c r="L8" i="9" s="1"/>
  <c r="M4" i="9"/>
  <c r="B5" i="9"/>
  <c r="C5" i="9"/>
  <c r="C8" i="9" s="1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N6" i="9" s="1"/>
  <c r="J6" i="9"/>
  <c r="K6" i="9"/>
  <c r="L6" i="9"/>
  <c r="M6" i="9"/>
  <c r="B7" i="9"/>
  <c r="C7" i="9"/>
  <c r="D7" i="9"/>
  <c r="N7" i="9" s="1"/>
  <c r="E7" i="9"/>
  <c r="F7" i="9"/>
  <c r="G7" i="9"/>
  <c r="H7" i="9"/>
  <c r="I7" i="9"/>
  <c r="J7" i="9"/>
  <c r="K7" i="9"/>
  <c r="L7" i="9"/>
  <c r="M7" i="9"/>
  <c r="G8" i="9"/>
  <c r="H8" i="9"/>
  <c r="B2" i="8"/>
  <c r="N2" i="8" s="1"/>
  <c r="C2" i="8"/>
  <c r="D2" i="8"/>
  <c r="E2" i="8"/>
  <c r="F2" i="8"/>
  <c r="F8" i="8" s="1"/>
  <c r="G2" i="8"/>
  <c r="G8" i="8" s="1"/>
  <c r="H2" i="8"/>
  <c r="I2" i="8"/>
  <c r="I8" i="8" s="1"/>
  <c r="J2" i="8"/>
  <c r="J8" i="8" s="1"/>
  <c r="K2" i="8"/>
  <c r="K8" i="8" s="1"/>
  <c r="L2" i="8"/>
  <c r="M2" i="8"/>
  <c r="B3" i="8"/>
  <c r="C3" i="8"/>
  <c r="N3" i="8" s="1"/>
  <c r="D3" i="8"/>
  <c r="E3" i="8"/>
  <c r="F3" i="8"/>
  <c r="G3" i="8"/>
  <c r="H3" i="8"/>
  <c r="I3" i="8"/>
  <c r="J3" i="8"/>
  <c r="K3" i="8"/>
  <c r="L3" i="8"/>
  <c r="M3" i="8"/>
  <c r="B4" i="8"/>
  <c r="C4" i="8"/>
  <c r="N4" i="8" s="1"/>
  <c r="D4" i="8"/>
  <c r="D8" i="8" s="1"/>
  <c r="E4" i="8"/>
  <c r="E8" i="8" s="1"/>
  <c r="F4" i="8"/>
  <c r="G4" i="8"/>
  <c r="H4" i="8"/>
  <c r="I4" i="8"/>
  <c r="J4" i="8"/>
  <c r="K4" i="8"/>
  <c r="L4" i="8"/>
  <c r="M4" i="8"/>
  <c r="B5" i="8"/>
  <c r="C5" i="8"/>
  <c r="N5" i="8" s="1"/>
  <c r="D5" i="8"/>
  <c r="E5" i="8"/>
  <c r="F5" i="8"/>
  <c r="G5" i="8"/>
  <c r="H5" i="8"/>
  <c r="H8" i="8" s="1"/>
  <c r="I5" i="8"/>
  <c r="J5" i="8"/>
  <c r="K5" i="8"/>
  <c r="L5" i="8"/>
  <c r="M5" i="8"/>
  <c r="B6" i="8"/>
  <c r="C6" i="8"/>
  <c r="N6" i="8" s="1"/>
  <c r="D6" i="8"/>
  <c r="E6" i="8"/>
  <c r="F6" i="8"/>
  <c r="G6" i="8"/>
  <c r="H6" i="8"/>
  <c r="I6" i="8"/>
  <c r="J6" i="8"/>
  <c r="K6" i="8"/>
  <c r="L6" i="8"/>
  <c r="M6" i="8"/>
  <c r="B7" i="8"/>
  <c r="N7" i="8" s="1"/>
  <c r="C7" i="8"/>
  <c r="D7" i="8"/>
  <c r="E7" i="8"/>
  <c r="F7" i="8"/>
  <c r="G7" i="8"/>
  <c r="H7" i="8"/>
  <c r="I7" i="8"/>
  <c r="J7" i="8"/>
  <c r="K7" i="8"/>
  <c r="L7" i="8"/>
  <c r="M7" i="8"/>
  <c r="L8" i="8"/>
  <c r="M8" i="8"/>
  <c r="N8" i="8" l="1"/>
  <c r="N5" i="9"/>
  <c r="N5" i="10"/>
  <c r="N8" i="10" s="1"/>
  <c r="C8" i="8"/>
  <c r="B8" i="8"/>
  <c r="N2" i="9"/>
  <c r="N8" i="9" s="1"/>
  <c r="S288" i="2"/>
  <c r="R298" i="3"/>
</calcChain>
</file>

<file path=xl/sharedStrings.xml><?xml version="1.0" encoding="utf-8"?>
<sst xmlns="http://schemas.openxmlformats.org/spreadsheetml/2006/main" count="5044" uniqueCount="791">
  <si>
    <t>กิจการ</t>
  </si>
  <si>
    <t>FCPLNO</t>
  </si>
  <si>
    <t>โรงงาน</t>
  </si>
  <si>
    <t>TYPE</t>
  </si>
  <si>
    <t>Grade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</si>
  <si>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</si>
  <si>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</si>
  <si>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</si>
  <si>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</si>
  <si>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</si>
  <si>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</si>
  <si>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</si>
  <si>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</si>
  <si>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</si>
  <si>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</si>
  <si>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</si>
  <si>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</si>
  <si>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</si>
  <si>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1-Metro</t>
  </si>
  <si>
    <t>บจก.เจเอ็นเจพี ซิเมนต์</t>
  </si>
  <si>
    <t>31ED</t>
  </si>
  <si>
    <t>B</t>
  </si>
  <si>
    <t>บจก.เอส.เอส.พี (072) คอนสตรัคชั่น</t>
  </si>
  <si>
    <t>31EC</t>
  </si>
  <si>
    <t>คลองด่าน</t>
  </si>
  <si>
    <t>A</t>
  </si>
  <si>
    <t>หจก.เพาเวอร์ แลนด์ คอนกรีต</t>
  </si>
  <si>
    <t>31EF</t>
  </si>
  <si>
    <t>D</t>
  </si>
  <si>
    <t>บจก.สหชัยธุรกิจก่อสร้าง 1993</t>
  </si>
  <si>
    <t>FC139</t>
  </si>
  <si>
    <t>คลอง 11</t>
  </si>
  <si>
    <t>2-East</t>
  </si>
  <si>
    <t>FC095</t>
  </si>
  <si>
    <t>มวกเหล็ก</t>
  </si>
  <si>
    <t>FC046</t>
  </si>
  <si>
    <t>วังม่วง</t>
  </si>
  <si>
    <t>FC175</t>
  </si>
  <si>
    <t>พัฒนานิคม</t>
  </si>
  <si>
    <t>FC390</t>
  </si>
  <si>
    <t>โคกสำโรง</t>
  </si>
  <si>
    <t>บจก.นิธิศพันธ์</t>
  </si>
  <si>
    <t>FC013</t>
  </si>
  <si>
    <t>ลำนารายณ์</t>
  </si>
  <si>
    <t>บจก.ศุภภัณฑ์คอนกรีต</t>
  </si>
  <si>
    <t>FC111</t>
  </si>
  <si>
    <t>ดาวเรือง 1</t>
  </si>
  <si>
    <t>หจก.ดวงแสงทองคอนกรีต</t>
  </si>
  <si>
    <t>FC209</t>
  </si>
  <si>
    <t>บ้านหมอ</t>
  </si>
  <si>
    <t>FC389</t>
  </si>
  <si>
    <t>บ้านหมอ 2</t>
  </si>
  <si>
    <t>บจก.บี.เอ.ซี.คอนกรีต</t>
  </si>
  <si>
    <t>FC068</t>
  </si>
  <si>
    <t>บ้านอำเภอ 1</t>
  </si>
  <si>
    <t>FC117</t>
  </si>
  <si>
    <t>บ้านอำเภอ 2</t>
  </si>
  <si>
    <t>FC169</t>
  </si>
  <si>
    <t>มาบประชัน 1</t>
  </si>
  <si>
    <t>FC273</t>
  </si>
  <si>
    <t>สัตหีบ 2</t>
  </si>
  <si>
    <t>บจก.พี.เอส.ดี.คอนกรีตโปรดักส์</t>
  </si>
  <si>
    <t>FC228</t>
  </si>
  <si>
    <t>พนัสนิคม</t>
  </si>
  <si>
    <t>FC388</t>
  </si>
  <si>
    <t>หมอนนาง</t>
  </si>
  <si>
    <t>บจก.หนองใหญ่คอนกรีต</t>
  </si>
  <si>
    <t>FC256</t>
  </si>
  <si>
    <t>บ้านบึง 2</t>
  </si>
  <si>
    <t>FC071</t>
  </si>
  <si>
    <t>ปลวกแดง</t>
  </si>
  <si>
    <t>FC272</t>
  </si>
  <si>
    <t>หนองใหญ่ 2</t>
  </si>
  <si>
    <t>FC300</t>
  </si>
  <si>
    <t>หนองไผ่แก้ว</t>
  </si>
  <si>
    <t>FC332</t>
  </si>
  <si>
    <t>วังจันทร์</t>
  </si>
  <si>
    <t>FC402</t>
  </si>
  <si>
    <t>หนองใหญ่ 3</t>
  </si>
  <si>
    <t>FC401</t>
  </si>
  <si>
    <t>บ้านค่าย 2</t>
  </si>
  <si>
    <t>FC406</t>
  </si>
  <si>
    <t>โรจนะหนองใหญ่</t>
  </si>
  <si>
    <t>FC410</t>
  </si>
  <si>
    <t>บ้านบึง 3</t>
  </si>
  <si>
    <t>หจก.ท.ทวีทรัพย์คอนกรีต</t>
  </si>
  <si>
    <t>FC088</t>
  </si>
  <si>
    <t>บางน้ำเปรี้ยว 1</t>
  </si>
  <si>
    <t>FC309</t>
  </si>
  <si>
    <t>บางน้ำเปรี้ยว 2</t>
  </si>
  <si>
    <t>บจก.นิติมงคลคอนกรีต</t>
  </si>
  <si>
    <t>FC065</t>
  </si>
  <si>
    <t>บ้านนา</t>
  </si>
  <si>
    <t>หจก.บุญทวีพนมคอนกรีต</t>
  </si>
  <si>
    <t>FC056</t>
  </si>
  <si>
    <t>พนมสารคาม</t>
  </si>
  <si>
    <t>หจก.บุญทวีคอนกรีต</t>
  </si>
  <si>
    <t>FC017</t>
  </si>
  <si>
    <t>สอยดาว</t>
  </si>
  <si>
    <t>FC308</t>
  </si>
  <si>
    <t>วังสมบูรณ์</t>
  </si>
  <si>
    <t>บจก.กฤษฎ์ศุภณัฐ</t>
  </si>
  <si>
    <t>FC105</t>
  </si>
  <si>
    <t>นิคมพัฒนา</t>
  </si>
  <si>
    <t>C</t>
  </si>
  <si>
    <t>หจก.เกาะช้างคอนกรีต</t>
  </si>
  <si>
    <t>FC043</t>
  </si>
  <si>
    <t>เกาะช้าง</t>
  </si>
  <si>
    <t>บจก.บางแสนมหานคร ผลิตภัณฑ์คอนกรีต</t>
  </si>
  <si>
    <t>31IH</t>
  </si>
  <si>
    <t>บางแสน 1</t>
  </si>
  <si>
    <t>หจก.วี.เอส.อินดัสเตรียล ซัพพลาย</t>
  </si>
  <si>
    <t>13O4</t>
  </si>
  <si>
    <t>13O7</t>
  </si>
  <si>
    <t>บจก.อีสต์บลู</t>
  </si>
  <si>
    <t>FC323</t>
  </si>
  <si>
    <t>ตาพระยา</t>
  </si>
  <si>
    <t>บจก.บูรพาคอนกรีต แอนด์ คอนสตรัคชั่น</t>
  </si>
  <si>
    <t>13O3</t>
  </si>
  <si>
    <t>บจก.แปลงยาว คอนกรีต</t>
  </si>
  <si>
    <t>13O6</t>
  </si>
  <si>
    <t>บจก.ซิโนมา หานดาน(ไทยแลนด์)</t>
  </si>
  <si>
    <t>13O5</t>
  </si>
  <si>
    <t>บจก.ตราดคอนกรีต เรดดี้มิกซ์</t>
  </si>
  <si>
    <t>FC399</t>
  </si>
  <si>
    <t>ตราด</t>
  </si>
  <si>
    <t>หจก.งามยิ่งเจริญคอนกรีต</t>
  </si>
  <si>
    <t>FC015</t>
  </si>
  <si>
    <t>บ้านหมี่</t>
  </si>
  <si>
    <t>3-West</t>
  </si>
  <si>
    <t>FC197</t>
  </si>
  <si>
    <t>สรรคบุรี</t>
  </si>
  <si>
    <t>บจก.วรวิทย์คอนกรีต</t>
  </si>
  <si>
    <t>FC138</t>
  </si>
  <si>
    <t>หันตรา</t>
  </si>
  <si>
    <t>บจก.ต.แสงพัฒนาคอนกรีต</t>
  </si>
  <si>
    <t>FC142</t>
  </si>
  <si>
    <t>บางปลาม้า</t>
  </si>
  <si>
    <t>FC249</t>
  </si>
  <si>
    <t>ด่านช้าง 2</t>
  </si>
  <si>
    <t>FC092</t>
  </si>
  <si>
    <t>อู่ทอง</t>
  </si>
  <si>
    <t>บจก.ซี.แอล.คอนกรีต</t>
  </si>
  <si>
    <t>FC176</t>
  </si>
  <si>
    <t>บางตะเคียน</t>
  </si>
  <si>
    <t>FC201</t>
  </si>
  <si>
    <t>ศรีประจันต์</t>
  </si>
  <si>
    <t>FC214</t>
  </si>
  <si>
    <t>ดอนเจดีย์</t>
  </si>
  <si>
    <t>FC248</t>
  </si>
  <si>
    <t>สองพี่น้อง</t>
  </si>
  <si>
    <t>FC299</t>
  </si>
  <si>
    <t>สองพี่น้อง 2</t>
  </si>
  <si>
    <t>บจก.กอวัฒนาคอนกรีต</t>
  </si>
  <si>
    <t>FC070</t>
  </si>
  <si>
    <t>ท่ามะกา</t>
  </si>
  <si>
    <t>FC369</t>
  </si>
  <si>
    <t>FC254</t>
  </si>
  <si>
    <t>พนมทวน</t>
  </si>
  <si>
    <t>FC397</t>
  </si>
  <si>
    <t>ท่าม่วง</t>
  </si>
  <si>
    <t>บจก.ช.พรประสิทธิ์</t>
  </si>
  <si>
    <t>FC069</t>
  </si>
  <si>
    <t>จอมบึง</t>
  </si>
  <si>
    <t>หจก.ร่อนทองชัย</t>
  </si>
  <si>
    <t>FC009</t>
  </si>
  <si>
    <t>ประจวบคีรีขันธ์</t>
  </si>
  <si>
    <t>บจก.เบญจพลชัยคอนกรีต</t>
  </si>
  <si>
    <t>FC137</t>
  </si>
  <si>
    <t>ห้วยมงคล</t>
  </si>
  <si>
    <t>บจก.จิรดีผลิตภัณฑ์คอนกรีต</t>
  </si>
  <si>
    <t>FC158</t>
  </si>
  <si>
    <t>แก่งกระจาน</t>
  </si>
  <si>
    <t>บจก.ว.บัญชา คอนสตรัคชั่น</t>
  </si>
  <si>
    <t>FC236</t>
  </si>
  <si>
    <t>ทับสะแก</t>
  </si>
  <si>
    <t>หจก.ศิริภัณฑ์บางสะพานคอนกรีต</t>
  </si>
  <si>
    <t>FC035</t>
  </si>
  <si>
    <t>บางสะพาน</t>
  </si>
  <si>
    <t>4-North</t>
  </si>
  <si>
    <t>หจก.เรืองชัยคอนกรีต</t>
  </si>
  <si>
    <t>FC146</t>
  </si>
  <si>
    <t>ฝาง 2</t>
  </si>
  <si>
    <t>FC276</t>
  </si>
  <si>
    <t>ไชยปราการ</t>
  </si>
  <si>
    <t>FC322</t>
  </si>
  <si>
    <t>ฝาง-สันทราย</t>
  </si>
  <si>
    <t>หจก.บุญพลกิจ คอนกรีต</t>
  </si>
  <si>
    <t>FC216</t>
  </si>
  <si>
    <t>พร้าว</t>
  </si>
  <si>
    <t>หจก.ทวิภัณฑ์ฮอดคอนกรีต</t>
  </si>
  <si>
    <t>FC007</t>
  </si>
  <si>
    <t>ฮอด</t>
  </si>
  <si>
    <t>หจก.ชื่นชูไพรคอนกรีต</t>
  </si>
  <si>
    <t>FC205</t>
  </si>
  <si>
    <t>แม่สะเรียง</t>
  </si>
  <si>
    <t>หจก.ทองคอนส์ซัพพลาย</t>
  </si>
  <si>
    <t>FC297</t>
  </si>
  <si>
    <t>ลี้ 2</t>
  </si>
  <si>
    <t>FC393</t>
  </si>
  <si>
    <t>ลี้แม่ตืน</t>
  </si>
  <si>
    <t>บจก.ซีแมทคอนกรีต</t>
  </si>
  <si>
    <t>FC195</t>
  </si>
  <si>
    <t>เวียงป่าเป้า</t>
  </si>
  <si>
    <t>FC247</t>
  </si>
  <si>
    <t>แม่สรวย</t>
  </si>
  <si>
    <t>FC404</t>
  </si>
  <si>
    <t>แม่สรวย 2</t>
  </si>
  <si>
    <t>FC194</t>
  </si>
  <si>
    <t>พาน</t>
  </si>
  <si>
    <t>FC265</t>
  </si>
  <si>
    <t>เทิง</t>
  </si>
  <si>
    <t>FC280</t>
  </si>
  <si>
    <t>ป่าแดด</t>
  </si>
  <si>
    <t>บจก.ดวงแสงทอง</t>
  </si>
  <si>
    <t>FC174</t>
  </si>
  <si>
    <t>เชียงของ</t>
  </si>
  <si>
    <t>บจก.เม็งรายคอนกรีต</t>
  </si>
  <si>
    <t>FC048</t>
  </si>
  <si>
    <t>แม่สาย</t>
  </si>
  <si>
    <t>FC204</t>
  </si>
  <si>
    <t>เชียงแสน</t>
  </si>
  <si>
    <t>FC049</t>
  </si>
  <si>
    <t>แม่จัน</t>
  </si>
  <si>
    <t>หจก.เชียงคำคอนกรีต(2011)</t>
  </si>
  <si>
    <t>FC219</t>
  </si>
  <si>
    <t>เชียงคำ</t>
  </si>
  <si>
    <t>หจก.สุเกียวคอนกรีต</t>
  </si>
  <si>
    <t>FC057</t>
  </si>
  <si>
    <t>ปัว</t>
  </si>
  <si>
    <t>หจก.จักรภัทรคอนกรีต</t>
  </si>
  <si>
    <t>FC172</t>
  </si>
  <si>
    <t>งาว</t>
  </si>
  <si>
    <t>หจก.ส.พงษ์เจริญคอนกรีตผสมเสร็จ</t>
  </si>
  <si>
    <t>FC121</t>
  </si>
  <si>
    <t>คลองลาน</t>
  </si>
  <si>
    <t>หจก.ม.บุญทำพานิช</t>
  </si>
  <si>
    <t>FC167</t>
  </si>
  <si>
    <t>พิชัย</t>
  </si>
  <si>
    <t>บจก.อุตรดิตถ์พิชัย</t>
  </si>
  <si>
    <t>FC208</t>
  </si>
  <si>
    <t>พรหมพิราม</t>
  </si>
  <si>
    <t>หจก.บรรจงกิจคอนกรีต</t>
  </si>
  <si>
    <t>FC130</t>
  </si>
  <si>
    <t>วชิรบารมี</t>
  </si>
  <si>
    <t>บจก.วังทองเซอร์วิส</t>
  </si>
  <si>
    <t>FC148</t>
  </si>
  <si>
    <t>พรานกระต่าย</t>
  </si>
  <si>
    <t>บจก.รุ่งวิชัยคอนกรีต</t>
  </si>
  <si>
    <t>FC094</t>
  </si>
  <si>
    <t>บางระกำ</t>
  </si>
  <si>
    <t>FC250</t>
  </si>
  <si>
    <t>ลานกระบือ</t>
  </si>
  <si>
    <t>หจก.ไทยสมบูรณ์ บิ๊กโฮม คอนกรีต</t>
  </si>
  <si>
    <t>FC207</t>
  </si>
  <si>
    <t>กงไกรลาศ</t>
  </si>
  <si>
    <t>บจก.เจริญภัณฑ์ผลิตคอนกรีต</t>
  </si>
  <si>
    <t>FC045</t>
  </si>
  <si>
    <t>ขาณุวรลักษบุรี</t>
  </si>
  <si>
    <t>FC289</t>
  </si>
  <si>
    <t>คลองขลุง 2</t>
  </si>
  <si>
    <t>FC067</t>
  </si>
  <si>
    <t>ท่าตะโก</t>
  </si>
  <si>
    <t>FC382</t>
  </si>
  <si>
    <t>หนองบัว 2</t>
  </si>
  <si>
    <t>หจก.คณฑาทองการโยธา</t>
  </si>
  <si>
    <t>FC118</t>
  </si>
  <si>
    <t>บ้านไร่ 1</t>
  </si>
  <si>
    <t>FC178</t>
  </si>
  <si>
    <t>บ้านไร่ 2</t>
  </si>
  <si>
    <t>หจก.ศรีเทพคอนกรีตผสมเสร็จ</t>
  </si>
  <si>
    <t>FC025</t>
  </si>
  <si>
    <t>ศรีเทพ</t>
  </si>
  <si>
    <t>FC165</t>
  </si>
  <si>
    <t>วิเชียรบุรี</t>
  </si>
  <si>
    <t>บจก.ตึกน้ำเงินคอนกรีต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</si>
  <si>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</si>
  <si>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</si>
  <si>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</si>
  <si>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</si>
  <si>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</si>
  <si>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</si>
  <si>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</si>
  <si>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ไบโอคอมเพล็ก</t>
  </si>
  <si>
    <t>หจก.มังกรทองคอนกรีต</t>
  </si>
  <si>
    <t>FC153</t>
  </si>
  <si>
    <t>ทับคล้อ</t>
  </si>
  <si>
    <t>FC154</t>
  </si>
  <si>
    <t>ตะพานหิน</t>
  </si>
  <si>
    <t>FC101</t>
  </si>
  <si>
    <t>โพทะเล</t>
  </si>
  <si>
    <t>FC246</t>
  </si>
  <si>
    <t>ชนแดน</t>
  </si>
  <si>
    <t>หจก.ณัฐชูพงศ์คอนกรีต</t>
  </si>
  <si>
    <t>FC187</t>
  </si>
  <si>
    <t>นครไทย</t>
  </si>
  <si>
    <t>บจก.วีคอนกรีต</t>
  </si>
  <si>
    <t>FC053</t>
  </si>
  <si>
    <t>หนองไผ่</t>
  </si>
  <si>
    <t>FC036</t>
  </si>
  <si>
    <t>เพชรบูรณ์</t>
  </si>
  <si>
    <t>FC051</t>
  </si>
  <si>
    <t>หล่มสัก</t>
  </si>
  <si>
    <t>FC259</t>
  </si>
  <si>
    <t>วังชมภู</t>
  </si>
  <si>
    <t>FC278</t>
  </si>
  <si>
    <t>เขาค้อ</t>
  </si>
  <si>
    <t>หจก.จรูญคอนกรีต</t>
  </si>
  <si>
    <t>FC240</t>
  </si>
  <si>
    <t>ทรัพย์ไพรวัลย์</t>
  </si>
  <si>
    <t>หจก.ซีเค 2024 คอนกรีต</t>
  </si>
  <si>
    <t>FC347</t>
  </si>
  <si>
    <t xml:space="preserve">หจก.ที เอ็น ดับเบิ้ลยู เชียงดาวก่อสร้าง </t>
  </si>
  <si>
    <t>FC348</t>
  </si>
  <si>
    <t>เชียงดาว</t>
  </si>
  <si>
    <t>หจก.เกษมชัยพานิช</t>
  </si>
  <si>
    <t>FC360</t>
  </si>
  <si>
    <t>วังเหนือ</t>
  </si>
  <si>
    <t>หจก.ปงคอนกรีต</t>
  </si>
  <si>
    <t>FC357</t>
  </si>
  <si>
    <t xml:space="preserve">หจก.ชุมพลวัสดุก่อสร้าง </t>
  </si>
  <si>
    <t>FC362</t>
  </si>
  <si>
    <t>หจก.เจเอ็นเพาเวอร์ คอนกรีต</t>
  </si>
  <si>
    <t>FC368</t>
  </si>
  <si>
    <t>FC408</t>
  </si>
  <si>
    <t>หจก.ดับเบิ้ลยูซี คอนกรีต</t>
  </si>
  <si>
    <t>FC371</t>
  </si>
  <si>
    <t xml:space="preserve">หจก.กิจเจริญคอนกรีต(2558)
</t>
  </si>
  <si>
    <t>FC373</t>
  </si>
  <si>
    <t>หจก.พงษ์ศราคอนกรีต</t>
  </si>
  <si>
    <t>FC364</t>
  </si>
  <si>
    <t>หจก.เอ็นพี วัสดุก่อสร้าง</t>
  </si>
  <si>
    <t>19AP</t>
  </si>
  <si>
    <t>FC403</t>
  </si>
  <si>
    <t>บจก.เทพนว</t>
  </si>
  <si>
    <t>FC372</t>
  </si>
  <si>
    <t>บจก.นอร์ทเทิร์น แมททีเรียล แอนด์ คอนกรีต</t>
  </si>
  <si>
    <t>19FD</t>
  </si>
  <si>
    <t>19FE</t>
  </si>
  <si>
    <t>FC374</t>
  </si>
  <si>
    <t>ลำปาง-สบปราบ</t>
  </si>
  <si>
    <t>หจก.พี ดี คอนกรีต</t>
  </si>
  <si>
    <t>FC306</t>
  </si>
  <si>
    <t>แจ้ห่ม</t>
  </si>
  <si>
    <t>บจก.เอ็น.ดี.พี.เอ็นจิเนียริ่ง</t>
  </si>
  <si>
    <t>19FJ</t>
  </si>
  <si>
    <t>หจก.สิงโตทอง คอนกรีต</t>
  </si>
  <si>
    <t>FC392</t>
  </si>
  <si>
    <t>5-NorthE</t>
  </si>
  <si>
    <t>หจก.เจริญพัฒนา</t>
  </si>
  <si>
    <t>FC063</t>
  </si>
  <si>
    <t>ปากช่อง 2</t>
  </si>
  <si>
    <t>FC160</t>
  </si>
  <si>
    <t>ปากช่อง 3</t>
  </si>
  <si>
    <t>หจก.เจตนะธรรมค้าไม้</t>
  </si>
  <si>
    <t>FC031</t>
  </si>
  <si>
    <t>สีคิ้ว</t>
  </si>
  <si>
    <t>หจก.อังครงค์รักษ์พาณิชย์</t>
  </si>
  <si>
    <t>FC050</t>
  </si>
  <si>
    <t>พิมาย 2</t>
  </si>
  <si>
    <t>FC144</t>
  </si>
  <si>
    <t>ชุมพวง</t>
  </si>
  <si>
    <t>FC157</t>
  </si>
  <si>
    <t>จักราช</t>
  </si>
  <si>
    <t>FC114</t>
  </si>
  <si>
    <t>สีดา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</si>
  <si>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</si>
  <si>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</si>
  <si>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</si>
  <si>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</si>
  <si>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</si>
  <si>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</si>
  <si>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</si>
  <si>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FC409</t>
  </si>
  <si>
    <t>โนนสูง</t>
  </si>
  <si>
    <t>หจก.ผาน้ำเที่ยง</t>
  </si>
  <si>
    <t>FC001</t>
  </si>
  <si>
    <t>ชุมแพ</t>
  </si>
  <si>
    <t>FC243</t>
  </si>
  <si>
    <t>สีชมพู</t>
  </si>
  <si>
    <t>หจก.ภูเวียงคอนกรีต</t>
  </si>
  <si>
    <t>ZZS1</t>
  </si>
  <si>
    <t>หจก.ซีเมนต์ทอง 2543</t>
  </si>
  <si>
    <t>FC156</t>
  </si>
  <si>
    <t>มัญจาคีรี</t>
  </si>
  <si>
    <t>FC014</t>
  </si>
  <si>
    <t>แก้งคร้อ</t>
  </si>
  <si>
    <t>หจก.พลังเพชร (2009)</t>
  </si>
  <si>
    <t>FC179</t>
  </si>
  <si>
    <t>บำเหน็จณรงค์</t>
  </si>
  <si>
    <t>หจก.จำลองชัยคอนกรีต</t>
  </si>
  <si>
    <t>FC283</t>
  </si>
  <si>
    <t>หนองสองห้อง</t>
  </si>
  <si>
    <t>14IU</t>
  </si>
  <si>
    <t>FC313</t>
  </si>
  <si>
    <t>วาปีปทุม</t>
  </si>
  <si>
    <t>บจก.เจ.เค.คอนกรีต</t>
  </si>
  <si>
    <t>FC081</t>
  </si>
  <si>
    <t>ปราสาท</t>
  </si>
  <si>
    <t>บจก.คูย่งฮวด (1995)</t>
  </si>
  <si>
    <t>FC147</t>
  </si>
  <si>
    <t>ลำปลายมาศ</t>
  </si>
  <si>
    <t>FC090</t>
  </si>
  <si>
    <t>สุรินทร์ 1</t>
  </si>
  <si>
    <t>FC245</t>
  </si>
  <si>
    <t>สุรินทร์ 2</t>
  </si>
  <si>
    <t>FC113</t>
  </si>
  <si>
    <t>ท่าตูม</t>
  </si>
  <si>
    <t>FC383</t>
  </si>
  <si>
    <t>14H5</t>
  </si>
  <si>
    <t>บจก.คูย่งฮวด อุดรธานี</t>
  </si>
  <si>
    <t>31P2</t>
  </si>
  <si>
    <t>หจก.เค.ที.เอส.ผลิตภัณฑ์คอนกรีต</t>
  </si>
  <si>
    <t>FC002</t>
  </si>
  <si>
    <t>กันทรลักษ์</t>
  </si>
  <si>
    <t>FC041</t>
  </si>
  <si>
    <t>ศรีสะเกษ</t>
  </si>
  <si>
    <t>FC231</t>
  </si>
  <si>
    <t>โนนคูณ</t>
  </si>
  <si>
    <t>FC290</t>
  </si>
  <si>
    <t>น้ำยืน</t>
  </si>
  <si>
    <t>FC268</t>
  </si>
  <si>
    <t>อุทุมพรพิสัย</t>
  </si>
  <si>
    <t>FC415</t>
  </si>
  <si>
    <t>ราษีไศล</t>
  </si>
  <si>
    <t>บจก.เคแพคคอนกรีต 2004</t>
  </si>
  <si>
    <t>ZZP2</t>
  </si>
  <si>
    <t>น้ำพอง</t>
  </si>
  <si>
    <t>ZZP3</t>
  </si>
  <si>
    <t>ขอนแก่น 1</t>
  </si>
  <si>
    <t>ZZP4</t>
  </si>
  <si>
    <t>ขอนแก่น 2</t>
  </si>
  <si>
    <t>ZZP5</t>
  </si>
  <si>
    <t>ท่าพระ</t>
  </si>
  <si>
    <t>ZZTA</t>
  </si>
  <si>
    <t>โนนสะอาด</t>
  </si>
  <si>
    <t>ZZP8</t>
  </si>
  <si>
    <t>ZZP1</t>
  </si>
  <si>
    <t>หจก.เจริญศิลป์เคหะละหานทราย</t>
  </si>
  <si>
    <t>FC291</t>
  </si>
  <si>
    <t>ละหานทราย</t>
  </si>
  <si>
    <t>FC344</t>
  </si>
  <si>
    <t>หจก.เนรมิตวัสดุก่อสร้าง</t>
  </si>
  <si>
    <t>FC189</t>
  </si>
  <si>
    <t>ตระการพืชผล</t>
  </si>
  <si>
    <t>FC222</t>
  </si>
  <si>
    <t>เขมราฐ</t>
  </si>
  <si>
    <t>บจก.บุษยาคอนกรีต อำนาจเจริญ</t>
  </si>
  <si>
    <t>FC136</t>
  </si>
  <si>
    <t>อำนาจเจริญ 1</t>
  </si>
  <si>
    <t>FC181</t>
  </si>
  <si>
    <t>อำนาจเจริญ 2</t>
  </si>
  <si>
    <t>FC285</t>
  </si>
  <si>
    <t>ปทุมราชวงศา</t>
  </si>
  <si>
    <t>FC370</t>
  </si>
  <si>
    <t>FC378</t>
  </si>
  <si>
    <t>อำนาจเจริญ 3 -น้ำปลีก</t>
  </si>
  <si>
    <t>FC400</t>
  </si>
  <si>
    <t>บจก.กิจเจริญชัย ธุรกิจคอนกรีต</t>
  </si>
  <si>
    <t>FC143</t>
  </si>
  <si>
    <t>ธาตุพนม</t>
  </si>
  <si>
    <t>หจก.พัฒนกิจคอนกรีต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</si>
  <si>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</si>
  <si>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</si>
  <si>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</si>
  <si>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</si>
  <si>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</si>
  <si>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</si>
  <si>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</si>
  <si>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หจก.เอส พี เค คอนกรีต</t>
  </si>
  <si>
    <t>FC192</t>
  </si>
  <si>
    <t>วานรนิวาส</t>
  </si>
  <si>
    <t>FC318</t>
  </si>
  <si>
    <t>อากาศอำนวย</t>
  </si>
  <si>
    <t>หจก.ว.รามฤทธิรงค์ เอ็นจิเนียริ่ง</t>
  </si>
  <si>
    <t>FC258</t>
  </si>
  <si>
    <t>บ้านแพง</t>
  </si>
  <si>
    <t>FC330</t>
  </si>
  <si>
    <t>ศรีสงคราม</t>
  </si>
  <si>
    <t>FC386</t>
  </si>
  <si>
    <t>หจก.ณัฐรวี คอนกรีต</t>
  </si>
  <si>
    <t>FC089</t>
  </si>
  <si>
    <t>ท่าบ่อ</t>
  </si>
  <si>
    <t>หจก.สมจินตนาวงษ์เจริญ คอนกรีต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</si>
  <si>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</si>
  <si>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</si>
  <si>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</si>
  <si>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</si>
  <si>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</si>
  <si>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</si>
  <si>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</si>
  <si>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>บจก.ซี.ซี.คอนกรีต</t>
  </si>
  <si>
    <t>FC242</t>
  </si>
  <si>
    <t xml:space="preserve">ภูเรือ </t>
  </si>
  <si>
    <t>ZZP6</t>
  </si>
  <si>
    <t>FC337</t>
  </si>
  <si>
    <t>หจก.ส.ปราณี(คอนกรีต)</t>
  </si>
  <si>
    <t>FC232</t>
  </si>
  <si>
    <t>บ้านผือ</t>
  </si>
  <si>
    <t>หจก.นาซ่าคอนกรีต</t>
  </si>
  <si>
    <t>FC286</t>
  </si>
  <si>
    <t>ภูกระดึง</t>
  </si>
  <si>
    <t>FC326</t>
  </si>
  <si>
    <t>หนองหิน</t>
  </si>
  <si>
    <t>FC379</t>
  </si>
  <si>
    <t>หนองบัวลำภู</t>
  </si>
  <si>
    <t>14H3</t>
  </si>
  <si>
    <t>หจก.บิ๊ก.เอส.คอนกรีต</t>
  </si>
  <si>
    <t>FC296</t>
  </si>
  <si>
    <t>ปากชม</t>
  </si>
  <si>
    <t>หจก.ขุนคลังคอนกรีต</t>
  </si>
  <si>
    <t>FC188</t>
  </si>
  <si>
    <t>เลิงนกทา</t>
  </si>
  <si>
    <t>หจก.เอส อาร์ อาร์ คอนกรีต</t>
  </si>
  <si>
    <t>หจก.ทรัพย์รุ่งเรืองวัสดุ</t>
  </si>
  <si>
    <t>FC292</t>
  </si>
  <si>
    <t>สุวรรณภูมิ</t>
  </si>
  <si>
    <t>14H8</t>
  </si>
  <si>
    <t>บจก.เมโทรพาวเวอร์คอนกรีต</t>
  </si>
  <si>
    <t>FC314</t>
  </si>
  <si>
    <t>ท่าอุเทน</t>
  </si>
  <si>
    <t>FC361</t>
  </si>
  <si>
    <t>โพนสวรรค์</t>
  </si>
  <si>
    <t>บจก.พี เอ็น คอนกรีต</t>
  </si>
  <si>
    <t>FC325</t>
  </si>
  <si>
    <t>เพ็ญ</t>
  </si>
  <si>
    <t>บจก.สมยงคอนกรีต</t>
  </si>
  <si>
    <t>FC321</t>
  </si>
  <si>
    <t>แวงน้อย</t>
  </si>
  <si>
    <t>บจก.แซ่หวัง(ปักกิ่ง)คอนกรีต</t>
  </si>
  <si>
    <t>FC226</t>
  </si>
  <si>
    <t>แวงใหญ่</t>
  </si>
  <si>
    <t>บจก.จำลองชัยโฮมเซ็นเตอร์</t>
  </si>
  <si>
    <t>FC324</t>
  </si>
  <si>
    <t>นาเชือก</t>
  </si>
  <si>
    <t>บจก.สิริพัฒน์ บิวดิ้ง</t>
  </si>
  <si>
    <t>ZZP9</t>
  </si>
  <si>
    <t>นครพนม 3</t>
  </si>
  <si>
    <t>บจก.จงเจริญ คอนกรีต</t>
  </si>
  <si>
    <t>FC329</t>
  </si>
  <si>
    <t>หจก.เนินปัญญา ก่อสร้าง</t>
  </si>
  <si>
    <t>FC334</t>
  </si>
  <si>
    <t>บ้านม่วง</t>
  </si>
  <si>
    <t>หจก.สมพรพาณิชย์ คอนกรีต</t>
  </si>
  <si>
    <t>FC336</t>
  </si>
  <si>
    <t>สังคม</t>
  </si>
  <si>
    <t>หจก.โนนศิลาดาวเงินคอนกรีต</t>
  </si>
  <si>
    <t>ZZS2</t>
  </si>
  <si>
    <t>หจก.ชัยวัฒน์เซ่งฮะเซียง</t>
  </si>
  <si>
    <t>FC335</t>
  </si>
  <si>
    <t>พนมไพร 2</t>
  </si>
  <si>
    <t>บจก.ประทุมศิริ ซิเมนต์</t>
  </si>
  <si>
    <t>FC359</t>
  </si>
  <si>
    <t>เสิงสาง</t>
  </si>
  <si>
    <t>หจก.หงษ์ทองสว่างคอนกรีต</t>
  </si>
  <si>
    <t>FC358</t>
  </si>
  <si>
    <t>โพนพิสัย</t>
  </si>
  <si>
    <t>หจก.สยาม เค กรุ๊ป</t>
  </si>
  <si>
    <t>FC354</t>
  </si>
  <si>
    <t>ด่านขุนทด</t>
  </si>
  <si>
    <t>FC376</t>
  </si>
  <si>
    <t>จัตุรัส</t>
  </si>
  <si>
    <t>FC385</t>
  </si>
  <si>
    <t>FC โนนไทย (At Site)</t>
  </si>
  <si>
    <t>FC411</t>
  </si>
  <si>
    <t>ห้วยบง</t>
  </si>
  <si>
    <t>หจก.เคพีอาร์ คอนกรีต</t>
  </si>
  <si>
    <t>FC363</t>
  </si>
  <si>
    <t>ศรีบุญเรือง</t>
  </si>
  <si>
    <t>บจก.เป เป้ คอนกรีต</t>
  </si>
  <si>
    <t>FC377</t>
  </si>
  <si>
    <t>หจก.คอนกรีตรุ่งโรจน์</t>
  </si>
  <si>
    <t>FC022</t>
  </si>
  <si>
    <t>สว่างแดนดิน</t>
  </si>
  <si>
    <t>หจก.นครพัฒน์ คอนกรีต</t>
  </si>
  <si>
    <t>FC380</t>
  </si>
  <si>
    <t>หจก.ธีระคอนกรีต</t>
  </si>
  <si>
    <t>FC407</t>
  </si>
  <si>
    <t>หจก.เจ นา อินเทอนิตี้</t>
  </si>
  <si>
    <t>FC405</t>
  </si>
  <si>
    <t>บจก.กนกนภาคอนกรีต</t>
  </si>
  <si>
    <t>FC350</t>
  </si>
  <si>
    <t xml:space="preserve">เกษตรวิสัย </t>
  </si>
  <si>
    <t>FC351</t>
  </si>
  <si>
    <t>โพนทอง</t>
  </si>
  <si>
    <t>FC387</t>
  </si>
  <si>
    <t>บจก.ซีมิกซ์คอนกรีต</t>
  </si>
  <si>
    <t>ZZS4</t>
  </si>
  <si>
    <t>ZZS5</t>
  </si>
  <si>
    <t>FC395</t>
  </si>
  <si>
    <t>FC412</t>
  </si>
  <si>
    <t>14H4</t>
  </si>
  <si>
    <t>บจก.ทวีสินคอนกรีต</t>
  </si>
  <si>
    <t>FC141</t>
  </si>
  <si>
    <t>กาฬสินธุ์</t>
  </si>
  <si>
    <t>FC193</t>
  </si>
  <si>
    <t>สมเด็จ</t>
  </si>
  <si>
    <t>FC288</t>
  </si>
  <si>
    <t>ยางตลาด</t>
  </si>
  <si>
    <t>6-South</t>
  </si>
  <si>
    <t>บจก.ไชยาคอนกรีต</t>
  </si>
  <si>
    <t>FC040</t>
  </si>
  <si>
    <t>เชี่ยวหลาน</t>
  </si>
  <si>
    <t>FC029</t>
  </si>
  <si>
    <t>ไชยา</t>
  </si>
  <si>
    <t>บจก.ชุมพรไถ่เชียงคอนกรีต</t>
  </si>
  <si>
    <t>FC287</t>
  </si>
  <si>
    <t>มาบอำมฤต</t>
  </si>
  <si>
    <t>บจก.คอนกรีตซีแพคระนอง</t>
  </si>
  <si>
    <t>FC282</t>
  </si>
  <si>
    <t>ระนอง</t>
  </si>
  <si>
    <t>บจก.ผาหลวงคอนกรีต</t>
  </si>
  <si>
    <t>3165</t>
  </si>
  <si>
    <t>3166</t>
  </si>
  <si>
    <t>หจก.ลิ้มปิพงษ์ค้าวัสดุก่อสร้างและคอนกรีต</t>
  </si>
  <si>
    <t>FC115</t>
  </si>
  <si>
    <t>เกาะพะงัน</t>
  </si>
  <si>
    <t>บจก.พุนพินมาตรฐานคอนกรีต</t>
  </si>
  <si>
    <t>3168</t>
  </si>
  <si>
    <t>บจก.ปัญญามาตรฐานคอนกรีต</t>
  </si>
  <si>
    <t>FC253</t>
  </si>
  <si>
    <t>นาสาร</t>
  </si>
  <si>
    <t>FC129</t>
  </si>
  <si>
    <t>ทุ่งใหญ่</t>
  </si>
  <si>
    <t>FC295</t>
  </si>
  <si>
    <t>บางสวรรค์ 3</t>
  </si>
  <si>
    <t>FC356</t>
  </si>
  <si>
    <t>นาสาร 2</t>
  </si>
  <si>
    <t>FC396</t>
  </si>
  <si>
    <t>เวียงสระ</t>
  </si>
  <si>
    <t>หจก.ขนอมคอนกรีต 2000</t>
  </si>
  <si>
    <t>FC006</t>
  </si>
  <si>
    <t>ขนอม</t>
  </si>
  <si>
    <t>FC213</t>
  </si>
  <si>
    <t>สิชล</t>
  </si>
  <si>
    <t>บจก.เจริญสหกิจหัวไทร</t>
  </si>
  <si>
    <t>FC027</t>
  </si>
  <si>
    <t>ระโนด</t>
  </si>
  <si>
    <t>FC058</t>
  </si>
  <si>
    <t>หัวไทร 1</t>
  </si>
  <si>
    <t>FC212</t>
  </si>
  <si>
    <t>หัวไทร 2</t>
  </si>
  <si>
    <t>FC218</t>
  </si>
  <si>
    <t>บ่อล้อ</t>
  </si>
  <si>
    <t>FC238</t>
  </si>
  <si>
    <t>ชะอวด 1</t>
  </si>
  <si>
    <t>FC310</t>
  </si>
  <si>
    <t>ชะอวด 2</t>
  </si>
  <si>
    <t>FC366</t>
  </si>
  <si>
    <t>จุฬาภรณ์</t>
  </si>
  <si>
    <t>บจก.ลันตามิกซ์คอน</t>
  </si>
  <si>
    <t>FC028</t>
  </si>
  <si>
    <t>เกาะลันตาใหญ่</t>
  </si>
  <si>
    <t>หจก.พังงาซีแพค</t>
  </si>
  <si>
    <t>FC098</t>
  </si>
  <si>
    <t>ทับปุด</t>
  </si>
  <si>
    <t>FC414</t>
  </si>
  <si>
    <t>ทับปุด 2</t>
  </si>
  <si>
    <t>FC221</t>
  </si>
  <si>
    <t>พังงา</t>
  </si>
  <si>
    <t>FC270</t>
  </si>
  <si>
    <t>ทุ่งมะพร้าว</t>
  </si>
  <si>
    <t>บจก.สตูลผลิตภัณฑ์คอนกรีต</t>
  </si>
  <si>
    <t>FC082</t>
  </si>
  <si>
    <t>สตูล</t>
  </si>
  <si>
    <t>FC210</t>
  </si>
  <si>
    <t>ละงู</t>
  </si>
  <si>
    <t>บจก.พีระวัฒน์คอนกรีต</t>
  </si>
  <si>
    <t>FC072</t>
  </si>
  <si>
    <t>สิงหนคร</t>
  </si>
  <si>
    <t>FC227</t>
  </si>
  <si>
    <t>สะเดา</t>
  </si>
  <si>
    <t>บจก.โยธาวิทย์ โฮมเซ็นเตอร์</t>
  </si>
  <si>
    <t>FC381</t>
  </si>
  <si>
    <t>ทุ่งตะโก</t>
  </si>
  <si>
    <t>หจก.จุฑารัตน์คอนกรีต</t>
  </si>
  <si>
    <t>15AQ</t>
  </si>
  <si>
    <t>หจก.นราธิวาสทักษิณคอนกรีต</t>
  </si>
  <si>
    <t>FC199</t>
  </si>
  <si>
    <t>นราธิวาส 2</t>
  </si>
  <si>
    <t>บจก.ปัตตานีคอนกรีต</t>
  </si>
  <si>
    <t>FC127</t>
  </si>
  <si>
    <t>ปัตตานี</t>
  </si>
  <si>
    <t>FC166</t>
  </si>
  <si>
    <t>บ่อทอง (จ.ปัตตานี)</t>
  </si>
  <si>
    <t>หจก.พิชัยอุปกรณ์ก่อสร้าง</t>
  </si>
  <si>
    <t>FC162</t>
  </si>
  <si>
    <t>สุไหงโกลก</t>
  </si>
  <si>
    <t>หจก.วี.วี.เอ็มคอนกรีต</t>
  </si>
  <si>
    <t>FC398</t>
  </si>
  <si>
    <t>บางม่วง</t>
  </si>
  <si>
    <t>FC413</t>
  </si>
  <si>
    <t>เขาหลักโกลเด้นฮิลล์</t>
  </si>
  <si>
    <t>รวม</t>
  </si>
  <si>
    <t>Stand Alone</t>
  </si>
  <si>
    <t>Network</t>
  </si>
  <si>
    <t>สระกระโจม</t>
  </si>
  <si>
    <t xml:space="preserve">เนินพระปรางค์ </t>
  </si>
  <si>
    <t>13O2</t>
  </si>
  <si>
    <t>บูรพา ท่าใหม่</t>
  </si>
  <si>
    <t>FN11</t>
  </si>
  <si>
    <t>สระบุรี HSR 4-6</t>
  </si>
  <si>
    <t>AAA</t>
  </si>
  <si>
    <t>นากลาง2</t>
  </si>
  <si>
    <t xml:space="preserve">ไชยวาน </t>
  </si>
  <si>
    <t>ZZZ</t>
  </si>
  <si>
    <t>ZZS6</t>
  </si>
  <si>
    <t>3164</t>
  </si>
  <si>
    <t>15DJ</t>
  </si>
  <si>
    <t>ท่าศาลา-ศิริภัณฑ์</t>
  </si>
  <si>
    <t>บริษัท</t>
  </si>
  <si>
    <t>FC093</t>
  </si>
  <si>
    <t>สามชุก</t>
  </si>
  <si>
    <t>BBB</t>
  </si>
  <si>
    <t>หจก.เซ็นจูรี่บึงกาฬ</t>
  </si>
  <si>
    <t>FC018</t>
  </si>
  <si>
    <t>บึงกาฬ</t>
  </si>
  <si>
    <t>status</t>
  </si>
  <si>
    <t>นพวงศ์</t>
  </si>
  <si>
    <t>หลวงแพ่ง</t>
  </si>
  <si>
    <t xml:space="preserve">กาญจนบุรี 2 </t>
  </si>
  <si>
    <t>วี.เอส.คอนกรีต</t>
  </si>
  <si>
    <t>แปลงยาว</t>
  </si>
  <si>
    <t>ซิโนมา</t>
  </si>
  <si>
    <t>บูรพา ท่าหลวง</t>
  </si>
  <si>
    <t>แพร่-ร้องกวาง</t>
  </si>
  <si>
    <t>ลำปาง-เกาะคา</t>
  </si>
  <si>
    <t>ลำปาง-แม่ทะ(ผาลาด)</t>
  </si>
  <si>
    <t>ลำปาง-ห้างฉัตร</t>
  </si>
  <si>
    <t xml:space="preserve">แม่ฮ่องสอน </t>
  </si>
  <si>
    <t>แม่แจ่ม</t>
  </si>
  <si>
    <t xml:space="preserve">สะเมิง </t>
  </si>
  <si>
    <t xml:space="preserve">ปาย </t>
  </si>
  <si>
    <t>เวียงสา 2</t>
  </si>
  <si>
    <t xml:space="preserve">พญาเม็งราย </t>
  </si>
  <si>
    <t xml:space="preserve">ปง </t>
  </si>
  <si>
    <t xml:space="preserve">เชียงม่วน </t>
  </si>
  <si>
    <t xml:space="preserve">แม่ใจ </t>
  </si>
  <si>
    <t>ชาติตระการ</t>
  </si>
  <si>
    <t xml:space="preserve">เนินมะปราง </t>
  </si>
  <si>
    <t>ภูเวียง</t>
  </si>
  <si>
    <t xml:space="preserve">พล </t>
  </si>
  <si>
    <t>เชียงคาน</t>
  </si>
  <si>
    <t>โนนไทย (At Site)</t>
  </si>
  <si>
    <t xml:space="preserve">ปะคำ </t>
  </si>
  <si>
    <t xml:space="preserve">อาจสามารถ </t>
  </si>
  <si>
    <t>พังโคน 2</t>
  </si>
  <si>
    <t>ชานุมาน</t>
  </si>
  <si>
    <t>วังสะพุง</t>
  </si>
  <si>
    <t>กระนวน</t>
  </si>
  <si>
    <t>นาหว้า</t>
  </si>
  <si>
    <t>เสนางคนิคม</t>
  </si>
  <si>
    <t>พยัคฆภูมิพิสัย</t>
  </si>
  <si>
    <t>กุดจับ</t>
  </si>
  <si>
    <t>ศีขรภูมิ</t>
  </si>
  <si>
    <t>โซ่พิสัย</t>
  </si>
  <si>
    <t>หนองหานทล.2350</t>
  </si>
  <si>
    <t>หนองเรือ</t>
  </si>
  <si>
    <t>ยโสธร 3</t>
  </si>
  <si>
    <t>สร้างคอม</t>
  </si>
  <si>
    <t>อุดร-สามพร้าว</t>
  </si>
  <si>
    <t>โนนไทย-พระทองคำ</t>
  </si>
  <si>
    <t>เมืองเลย2</t>
  </si>
  <si>
    <t>หนองคาย เลี่ยงเมือง</t>
  </si>
  <si>
    <t>โนนศิลา</t>
  </si>
  <si>
    <t>อุดร-มิตรภาพ คูย่งฮวด</t>
  </si>
  <si>
    <t>อุดรธานี</t>
  </si>
  <si>
    <t xml:space="preserve">อุดร - นาข่า  </t>
  </si>
  <si>
    <t>ร้อยเอ็ด3</t>
  </si>
  <si>
    <t xml:space="preserve"> นครพนม 5</t>
  </si>
  <si>
    <t xml:space="preserve">อุดร - นิคมสงเคราะห์  </t>
  </si>
  <si>
    <t>เขื่อนอุบลรัตน์</t>
  </si>
  <si>
    <t>อุบลชยางกูร</t>
  </si>
  <si>
    <t>กาญจนดิษฐ์</t>
  </si>
  <si>
    <t>ปากน้ำชุมพร</t>
  </si>
  <si>
    <t>ผาหลวงคอนกรีต 1</t>
  </si>
  <si>
    <t xml:space="preserve">หนองขรี </t>
  </si>
  <si>
    <t>ผาหลวงคอนกรีต 2</t>
  </si>
  <si>
    <t>วี.เอส.คอนกรีต2</t>
  </si>
  <si>
    <t>ปง</t>
  </si>
  <si>
    <t>เชียงม่วน</t>
  </si>
  <si>
    <t>แม่ฮ่องสอน</t>
  </si>
  <si>
    <t>ปาย</t>
  </si>
  <si>
    <t>แม่ใจ</t>
  </si>
  <si>
    <t>เนินมะปราง</t>
  </si>
  <si>
    <t>พญาเม็งราย</t>
  </si>
  <si>
    <t>สะเมิง</t>
  </si>
  <si>
    <t>หนองหาน-ทล.2350</t>
  </si>
  <si>
    <t>วี.เอส.คอนกรีต()</t>
  </si>
  <si>
    <t xml:space="preserve">แปลงยาว </t>
  </si>
  <si>
    <t xml:space="preserve">ซิโนมา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</si>
</sst>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;\-;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SCG"/>
      <family val="3"/>
    </font>
    <font>
      <b/>
      <sz val="10"/>
      <name val="SCG"/>
      <family val="3"/>
    </font>
    <font>
      <b/>
      <sz val="10"/>
      <color indexed="8"/>
      <name val="SCG"/>
      <family val="3"/>
    </font>
    <font>
      <sz val="10"/>
      <name val="Arial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5" fillId="0" borderId="0"/>
    <xf numFmtId="0" fontId="6" fillId="0" borderId="0"/>
  </cellStyleXfs>
  <cellXfs count="48">
    <xf numFmtId="0" fontId="0" fillId="0" borderId="0" xfId="0"/>
    <xf numFmtId="0" fontId="2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>
      <alignment horizontal="center"/>
    </xf>
    <xf numFmtId="0" fontId="4" fillId="0" borderId="0" xfId="0" applyFont="1"/>
    <xf numFmtId="0" fontId="3" fillId="5" borderId="1" xfId="0" applyFont="1" applyFill="1" applyBorder="1" applyAlignment="1" applyProtection="1">
      <alignment horizontal="center" vertical="center" wrapText="1"/>
      <protection locked="0"/>
    </xf>
    <xf numFmtId="0" fontId="3" fillId="5" borderId="1" xfId="0" applyFont="1" applyFill="1" applyBorder="1" applyAlignment="1" applyProtection="1">
      <alignment horizontal="left" vertical="center"/>
      <protection locked="0"/>
    </xf>
    <xf numFmtId="0" fontId="3" fillId="5" borderId="1" xfId="0" applyFont="1" applyFill="1" applyBorder="1" applyAlignment="1" applyProtection="1">
      <alignment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164" fontId="4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0" fontId="3" fillId="5" borderId="1" xfId="0" applyFont="1" applyFill="1" applyBorder="1" applyAlignment="1">
      <alignment vertical="center"/>
    </xf>
    <xf numFmtId="0" fontId="3" fillId="5" borderId="1" xfId="2" applyFont="1" applyFill="1" applyBorder="1" applyAlignment="1" applyProtection="1">
      <alignment vertical="center"/>
      <protection locked="0"/>
    </xf>
    <xf numFmtId="0" fontId="3" fillId="5" borderId="1" xfId="2" applyFont="1" applyFill="1" applyBorder="1" applyAlignment="1" applyProtection="1">
      <alignment horizontal="center" vertical="center"/>
      <protection locked="0"/>
    </xf>
    <xf numFmtId="0" fontId="3" fillId="5" borderId="1" xfId="3" applyFont="1" applyFill="1" applyBorder="1" applyAlignment="1">
      <alignment vertical="center"/>
    </xf>
    <xf numFmtId="0" fontId="3" fillId="5" borderId="1" xfId="0" quotePrefix="1" applyFont="1" applyFill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5" borderId="2" xfId="0" applyFont="1" applyFill="1" applyBorder="1" applyAlignment="1" applyProtection="1">
      <alignment vertical="center"/>
      <protection locked="0"/>
    </xf>
    <xf numFmtId="0" fontId="3" fillId="5" borderId="2" xfId="2" applyFont="1" applyFill="1" applyBorder="1" applyAlignment="1" applyProtection="1">
      <alignment vertical="center"/>
      <protection locked="0"/>
    </xf>
    <xf numFmtId="0" fontId="3" fillId="5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7" fontId="3" fillId="8" borderId="1" xfId="0" applyNumberFormat="1" applyFont="1" applyFill="1" applyBorder="1" applyAlignment="1">
      <alignment horizontal="center" vertical="center" wrapText="1"/>
    </xf>
    <xf numFmtId="3" fontId="3" fillId="7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/>
    <xf numFmtId="0" fontId="2" fillId="0" borderId="1" xfId="0" applyFont="1" applyFill="1" applyBorder="1"/>
    <xf numFmtId="0" fontId="4" fillId="0" borderId="1" xfId="0" applyFont="1" applyBorder="1" applyAlignment="1">
      <alignment horizontal="center"/>
    </xf>
    <xf numFmtId="164" fontId="2" fillId="0" borderId="1" xfId="1" applyNumberFormat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5" borderId="1" xfId="0" applyFont="1" applyFill="1" applyBorder="1"/>
    <xf numFmtId="0" fontId="3" fillId="6" borderId="1" xfId="0" applyFont="1" applyFill="1" applyBorder="1" applyAlignment="1">
      <alignment vertical="center"/>
    </xf>
    <xf numFmtId="0" fontId="4" fillId="6" borderId="1" xfId="0" applyFont="1" applyFill="1" applyBorder="1"/>
    <xf numFmtId="0" fontId="3" fillId="9" borderId="1" xfId="0" applyFont="1" applyFill="1" applyBorder="1" applyAlignment="1">
      <alignment vertical="center"/>
    </xf>
    <xf numFmtId="0" fontId="4" fillId="9" borderId="1" xfId="0" applyFont="1" applyFill="1" applyBorder="1"/>
    <xf numFmtId="0" fontId="4" fillId="9" borderId="1" xfId="0" applyFont="1" applyFill="1" applyBorder="1" applyAlignment="1">
      <alignment horizontal="center"/>
    </xf>
    <xf numFmtId="164" fontId="3" fillId="0" borderId="0" xfId="0" applyNumberFormat="1" applyFont="1" applyAlignment="1">
      <alignment vertical="center"/>
    </xf>
    <xf numFmtId="0" fontId="3" fillId="6" borderId="1" xfId="0" applyFont="1" applyFill="1" applyBorder="1"/>
    <xf numFmtId="0" fontId="4" fillId="6" borderId="1" xfId="0" applyFont="1" applyFill="1" applyBorder="1" applyAlignment="1">
      <alignment horizontal="center"/>
    </xf>
    <xf numFmtId="3" fontId="4" fillId="0" borderId="0" xfId="0" applyNumberFormat="1" applyFont="1"/>
    <xf numFmtId="0" fontId="3" fillId="2" borderId="2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0" fontId="6" fillId="0" borderId="0" xfId="4"/>
    <xf numFmtId="3" fontId="6" fillId="0" borderId="0" xfId="4" applyNumberFormat="1"/>
  </cellXfs>
  <cellStyles count="5">
    <cellStyle name="Comma" xfId="1" builtinId="3"/>
    <cellStyle name="Normal" xfId="0" builtinId="0"/>
    <cellStyle name="Normal 2" xfId="4" xr:uid="{BA9139B0-AFD5-4753-A17F-CFBB11C17E24}"/>
    <cellStyle name="Normal_FC Type S -Update มิ.ย.54" xfId="3" xr:uid="{4311FE94-9E7B-4DC1-A9E8-964CD256E021}"/>
    <cellStyle name="Normal_ยอดผลิต jan-16 dec" xfId="2" xr:uid="{05FFCB47-9425-4128-A319-DAAEE2BC1E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3591;&#3634;&#3609;/&#3619;&#3634;&#3618;&#3591;&#3634;&#3609;&#3588;&#3603;&#3632;&#3592;&#3633;&#3604;&#3585;&#3634;&#3619;/2569/&#3619;&#3634;&#3618;&#3591;&#3634;&#3609;/&#3618;&#3629;&#3604;&#3586;&#3634;&#3618;%20CP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PAC 2026-WEB"/>
      <sheetName val="CPAC 2025-WEB"/>
      <sheetName val="data"/>
    </sheetNames>
    <sheetDataSet>
      <sheetData sheetId="0">
        <row r="1">
          <cell r="C1" t="str">
            <v>ปี 2026(ขนาดจิ๋ว, ขนาดเล็ก, ขนาดกลาง, ขนาดใหญ่, ขนาดเมก้า)</v>
          </cell>
        </row>
        <row r="2">
          <cell r="C2" t="str">
            <v>มกราคม</v>
          </cell>
          <cell r="E2" t="str">
            <v>กุมภาพันธ์</v>
          </cell>
          <cell r="G2" t="str">
            <v>มีนาคม</v>
          </cell>
          <cell r="I2" t="str">
            <v>เมษายน</v>
          </cell>
          <cell r="K2" t="str">
            <v>พฤษภาคม</v>
          </cell>
          <cell r="M2" t="str">
            <v>มิถุนายน</v>
          </cell>
          <cell r="O2" t="str">
            <v>กรกฎาคม</v>
          </cell>
          <cell r="Q2" t="str">
            <v>สิงหาคม</v>
          </cell>
        </row>
        <row r="3">
          <cell r="C3" t="str">
            <v>Vol.(m³)</v>
          </cell>
          <cell r="D3" t="str">
            <v>เทียบเป้าหมาย</v>
          </cell>
          <cell r="E3" t="str">
            <v>Vol.(m³)</v>
          </cell>
          <cell r="F3" t="str">
            <v>เทียบเป้าหมาย</v>
          </cell>
          <cell r="G3" t="str">
            <v>Vol.(m³)</v>
          </cell>
          <cell r="H3" t="str">
            <v>เทียบเป้าหมาย</v>
          </cell>
          <cell r="I3" t="str">
            <v>Vol.(m³)</v>
          </cell>
          <cell r="J3" t="str">
            <v>เทียบเป้าหมาย</v>
          </cell>
          <cell r="K3" t="str">
            <v>Vol.(m³)</v>
          </cell>
          <cell r="L3" t="str">
            <v>เทียบเป้าหมาย</v>
          </cell>
          <cell r="M3" t="str">
            <v>Vol.(m³)</v>
          </cell>
          <cell r="N3" t="str">
            <v>เทียบเป้าหมาย</v>
          </cell>
          <cell r="O3" t="str">
            <v>Vol.(m³)</v>
          </cell>
          <cell r="P3" t="str">
            <v>เทียบเป้าหมาย</v>
          </cell>
          <cell r="Q3" t="str">
            <v>Vol.(m³)</v>
          </cell>
          <cell r="R3" t="str">
            <v>เทียบเป้าหมาย</v>
          </cell>
          <cell r="S3" t="str">
            <v>Vol.(m³)</v>
          </cell>
          <cell r="T3" t="str">
            <v>เทียบเป้าหมาย</v>
          </cell>
          <cell r="U3" t="str">
            <v>Vol.(m³)</v>
          </cell>
          <cell r="V3" t="str">
            <v>เทียบเป้าหมาย</v>
          </cell>
          <cell r="W3" t="str">
            <v>Vol.(m³)</v>
          </cell>
          <cell r="X3" t="str">
            <v>เทียบเป้าหมาย</v>
          </cell>
          <cell r="Y3" t="str">
            <v>Vol.(m³)</v>
          </cell>
          <cell r="Z3" t="str">
            <v>เทียบเป้าหมาย</v>
          </cell>
        </row>
        <row r="4">
          <cell r="C4" t="str">
            <v>รวม(m³)</v>
          </cell>
          <cell r="D4" t="str">
            <v>รวม(m³)</v>
          </cell>
          <cell r="E4" t="str">
            <v>รวม(m³)</v>
          </cell>
          <cell r="F4" t="str">
            <v>รวม(m³)</v>
          </cell>
          <cell r="G4" t="str">
            <v>รวม(m³)</v>
          </cell>
          <cell r="H4" t="str">
            <v>รวม(m³)</v>
          </cell>
          <cell r="I4" t="str">
            <v>รวม(m³)</v>
          </cell>
          <cell r="J4" t="str">
            <v>รวม(m³)</v>
          </cell>
          <cell r="K4" t="str">
            <v>รวม(m³)</v>
          </cell>
          <cell r="L4" t="str">
            <v>รวม(m³)</v>
          </cell>
          <cell r="M4" t="str">
            <v>รวม(m³)</v>
          </cell>
          <cell r="N4" t="str">
            <v>รวม(m³)</v>
          </cell>
          <cell r="O4" t="str">
            <v>รวม(m³)</v>
          </cell>
          <cell r="P4" t="str">
            <v>รวม(m³)</v>
          </cell>
          <cell r="Q4" t="str">
            <v>รวม(m³)</v>
          </cell>
          <cell r="R4" t="str">
            <v>รวม(m³)</v>
          </cell>
          <cell r="S4" t="str">
            <v>รวม(m³)</v>
          </cell>
          <cell r="T4" t="str">
            <v>รวม(m³)</v>
          </cell>
          <cell r="U4" t="str">
            <v>รวม(m³)</v>
          </cell>
          <cell r="V4" t="str">
            <v>รวม(m³)</v>
          </cell>
          <cell r="W4" t="str">
            <v>รวม(m³)</v>
          </cell>
          <cell r="X4" t="str">
            <v>รวม(m³)</v>
          </cell>
          <cell r="Y4" t="str">
            <v>รวม(m³)</v>
          </cell>
          <cell r="Z4" t="str">
            <v>รวม(m³)</v>
          </cell>
        </row>
        <row r="5">
          <cell r="A5" t="str">
            <v>1-Metro</v>
          </cell>
          <cell r="C5">
            <v>190200</v>
          </cell>
          <cell r="D5">
            <v>214300</v>
          </cell>
          <cell r="E5">
            <v>219954</v>
          </cell>
          <cell r="F5">
            <v>239200</v>
          </cell>
          <cell r="G5">
            <v>260272</v>
          </cell>
          <cell r="H5">
            <v>265100</v>
          </cell>
          <cell r="I5">
            <v>192174</v>
          </cell>
          <cell r="J5">
            <v>175100</v>
          </cell>
          <cell r="K5">
            <v>214257</v>
          </cell>
          <cell r="L5">
            <v>211400</v>
          </cell>
          <cell r="M5">
            <v>208327</v>
          </cell>
          <cell r="N5">
            <v>234300</v>
          </cell>
          <cell r="O5">
            <v>219159</v>
          </cell>
          <cell r="P5">
            <v>239300</v>
          </cell>
          <cell r="Q5">
            <v>215373</v>
          </cell>
          <cell r="R5">
            <v>214500</v>
          </cell>
        </row>
        <row r="6">
          <cell r="C6">
            <v>190200</v>
          </cell>
          <cell r="D6">
            <v>214300</v>
          </cell>
          <cell r="E6">
            <v>219954</v>
          </cell>
          <cell r="F6">
            <v>239200</v>
          </cell>
          <cell r="G6">
            <v>260272</v>
          </cell>
          <cell r="H6">
            <v>265100</v>
          </cell>
          <cell r="I6">
            <v>192174</v>
          </cell>
          <cell r="J6">
            <v>175100</v>
          </cell>
          <cell r="K6">
            <v>214257</v>
          </cell>
          <cell r="L6">
            <v>211400</v>
          </cell>
          <cell r="M6">
            <v>208327</v>
          </cell>
          <cell r="N6">
            <v>234300</v>
          </cell>
          <cell r="O6">
            <v>219159</v>
          </cell>
          <cell r="P6">
            <v>239300</v>
          </cell>
          <cell r="Q6">
            <v>215373</v>
          </cell>
          <cell r="R6">
            <v>214500</v>
          </cell>
        </row>
        <row r="7">
          <cell r="A7" t="str">
            <v>2-East</v>
          </cell>
          <cell r="C7">
            <v>160382</v>
          </cell>
          <cell r="D7">
            <v>149850</v>
          </cell>
          <cell r="E7">
            <v>171181</v>
          </cell>
          <cell r="F7">
            <v>158950</v>
          </cell>
          <cell r="G7">
            <v>193873</v>
          </cell>
          <cell r="H7">
            <v>175470</v>
          </cell>
          <cell r="I7">
            <v>131725</v>
          </cell>
          <cell r="J7">
            <v>136800</v>
          </cell>
          <cell r="K7">
            <v>156343</v>
          </cell>
          <cell r="L7">
            <v>169370</v>
          </cell>
          <cell r="M7">
            <v>161950</v>
          </cell>
          <cell r="N7">
            <v>178420</v>
          </cell>
          <cell r="O7">
            <v>175011</v>
          </cell>
          <cell r="P7">
            <v>184340</v>
          </cell>
          <cell r="Q7">
            <v>183407</v>
          </cell>
          <cell r="R7">
            <v>185770</v>
          </cell>
        </row>
        <row r="8">
          <cell r="C8">
            <v>160382</v>
          </cell>
          <cell r="D8">
            <v>149850</v>
          </cell>
          <cell r="E8">
            <v>171181</v>
          </cell>
          <cell r="F8">
            <v>158950</v>
          </cell>
          <cell r="G8">
            <v>193873</v>
          </cell>
          <cell r="H8">
            <v>175470</v>
          </cell>
          <cell r="I8">
            <v>131725</v>
          </cell>
          <cell r="J8">
            <v>136800</v>
          </cell>
          <cell r="K8">
            <v>156343</v>
          </cell>
          <cell r="L8">
            <v>169370</v>
          </cell>
          <cell r="M8">
            <v>161950</v>
          </cell>
          <cell r="N8">
            <v>178420</v>
          </cell>
          <cell r="O8">
            <v>175011</v>
          </cell>
          <cell r="P8">
            <v>184340</v>
          </cell>
          <cell r="Q8">
            <v>183407</v>
          </cell>
          <cell r="R8">
            <v>185770</v>
          </cell>
        </row>
        <row r="9">
          <cell r="A9" t="str">
            <v>3-West</v>
          </cell>
          <cell r="C9">
            <v>86684</v>
          </cell>
          <cell r="D9">
            <v>83500</v>
          </cell>
          <cell r="E9">
            <v>102154</v>
          </cell>
          <cell r="F9">
            <v>88000</v>
          </cell>
          <cell r="G9">
            <v>115805</v>
          </cell>
          <cell r="H9">
            <v>95100</v>
          </cell>
          <cell r="I9">
            <v>80877</v>
          </cell>
          <cell r="J9">
            <v>73700</v>
          </cell>
          <cell r="K9">
            <v>98781</v>
          </cell>
          <cell r="L9">
            <v>96200</v>
          </cell>
          <cell r="M9">
            <v>90261</v>
          </cell>
          <cell r="N9">
            <v>91700</v>
          </cell>
          <cell r="O9">
            <v>105339</v>
          </cell>
          <cell r="P9">
            <v>96500</v>
          </cell>
          <cell r="Q9">
            <v>94434</v>
          </cell>
          <cell r="R9">
            <v>93200</v>
          </cell>
        </row>
        <row r="10">
          <cell r="C10">
            <v>86684</v>
          </cell>
          <cell r="D10">
            <v>83500</v>
          </cell>
          <cell r="E10">
            <v>102154</v>
          </cell>
          <cell r="F10">
            <v>88000</v>
          </cell>
          <cell r="G10">
            <v>115805</v>
          </cell>
          <cell r="H10">
            <v>95100</v>
          </cell>
          <cell r="I10">
            <v>80877</v>
          </cell>
          <cell r="J10">
            <v>73700</v>
          </cell>
          <cell r="K10">
            <v>98781</v>
          </cell>
          <cell r="L10">
            <v>96200</v>
          </cell>
          <cell r="M10">
            <v>90261</v>
          </cell>
          <cell r="N10">
            <v>91700</v>
          </cell>
          <cell r="O10">
            <v>105339</v>
          </cell>
          <cell r="P10">
            <v>96500</v>
          </cell>
          <cell r="Q10">
            <v>94434</v>
          </cell>
          <cell r="R10">
            <v>93200</v>
          </cell>
        </row>
        <row r="11">
          <cell r="A11" t="str">
            <v>5-NorthE</v>
          </cell>
          <cell r="C11">
            <v>69073</v>
          </cell>
          <cell r="D11">
            <v>83225</v>
          </cell>
          <cell r="E11">
            <v>73598</v>
          </cell>
          <cell r="F11">
            <v>83925</v>
          </cell>
          <cell r="G11">
            <v>99432</v>
          </cell>
          <cell r="H11">
            <v>92889</v>
          </cell>
          <cell r="I11">
            <v>68047</v>
          </cell>
          <cell r="J11">
            <v>76954</v>
          </cell>
          <cell r="K11">
            <v>67717</v>
          </cell>
          <cell r="L11">
            <v>84370</v>
          </cell>
          <cell r="M11">
            <v>70374</v>
          </cell>
          <cell r="N11">
            <v>84225</v>
          </cell>
          <cell r="O11">
            <v>73141</v>
          </cell>
          <cell r="P11">
            <v>86925</v>
          </cell>
          <cell r="Q11">
            <v>66304</v>
          </cell>
          <cell r="R11">
            <v>87025</v>
          </cell>
        </row>
        <row r="12">
          <cell r="C12">
            <v>69073</v>
          </cell>
          <cell r="D12">
            <v>83225</v>
          </cell>
          <cell r="E12">
            <v>73598</v>
          </cell>
          <cell r="F12">
            <v>83925</v>
          </cell>
          <cell r="G12">
            <v>99432</v>
          </cell>
          <cell r="H12">
            <v>92889</v>
          </cell>
          <cell r="I12">
            <v>68047</v>
          </cell>
          <cell r="J12">
            <v>76954</v>
          </cell>
          <cell r="K12">
            <v>67717</v>
          </cell>
          <cell r="L12">
            <v>84370</v>
          </cell>
          <cell r="M12">
            <v>70374</v>
          </cell>
          <cell r="N12">
            <v>84225</v>
          </cell>
          <cell r="O12">
            <v>73141</v>
          </cell>
          <cell r="P12">
            <v>86925</v>
          </cell>
          <cell r="Q12">
            <v>66304</v>
          </cell>
          <cell r="R12">
            <v>87025</v>
          </cell>
        </row>
        <row r="13">
          <cell r="A13" t="str">
            <v>6-South</v>
          </cell>
          <cell r="C13">
            <v>90495</v>
          </cell>
          <cell r="D13">
            <v>93800</v>
          </cell>
          <cell r="E13">
            <v>87159</v>
          </cell>
          <cell r="F13">
            <v>94700</v>
          </cell>
          <cell r="G13">
            <v>100721</v>
          </cell>
          <cell r="H13">
            <v>107900</v>
          </cell>
          <cell r="I13">
            <v>74766</v>
          </cell>
          <cell r="J13">
            <v>91600</v>
          </cell>
          <cell r="K13">
            <v>85556</v>
          </cell>
          <cell r="L13">
            <v>104000</v>
          </cell>
          <cell r="M13">
            <v>88261</v>
          </cell>
          <cell r="N13">
            <v>102200</v>
          </cell>
          <cell r="O13">
            <v>90419</v>
          </cell>
          <cell r="P13">
            <v>103800</v>
          </cell>
          <cell r="Q13">
            <v>99113</v>
          </cell>
          <cell r="R13">
            <v>100900</v>
          </cell>
        </row>
        <row r="14">
          <cell r="C14">
            <v>90495</v>
          </cell>
          <cell r="D14">
            <v>93800</v>
          </cell>
          <cell r="E14">
            <v>87159</v>
          </cell>
          <cell r="F14">
            <v>94700</v>
          </cell>
          <cell r="G14">
            <v>100721</v>
          </cell>
          <cell r="H14">
            <v>107900</v>
          </cell>
          <cell r="I14">
            <v>74766</v>
          </cell>
          <cell r="J14">
            <v>91600</v>
          </cell>
          <cell r="K14">
            <v>85556</v>
          </cell>
          <cell r="L14">
            <v>104000</v>
          </cell>
          <cell r="M14">
            <v>88261</v>
          </cell>
          <cell r="N14">
            <v>102200</v>
          </cell>
          <cell r="O14">
            <v>90419</v>
          </cell>
          <cell r="P14">
            <v>103800</v>
          </cell>
          <cell r="Q14">
            <v>99113</v>
          </cell>
          <cell r="R14">
            <v>100900</v>
          </cell>
        </row>
        <row r="15">
          <cell r="A15" t="str">
            <v>4-North</v>
          </cell>
          <cell r="C15">
            <v>92632</v>
          </cell>
          <cell r="D15">
            <v>97150</v>
          </cell>
          <cell r="E15">
            <v>95678</v>
          </cell>
          <cell r="F15">
            <v>99150</v>
          </cell>
          <cell r="G15">
            <v>112490</v>
          </cell>
          <cell r="H15">
            <v>113800</v>
          </cell>
          <cell r="I15">
            <v>73709</v>
          </cell>
          <cell r="J15">
            <v>80600</v>
          </cell>
          <cell r="K15">
            <v>103374</v>
          </cell>
          <cell r="L15">
            <v>96300</v>
          </cell>
          <cell r="M15">
            <v>100869</v>
          </cell>
          <cell r="N15">
            <v>100400</v>
          </cell>
          <cell r="O15">
            <v>92912</v>
          </cell>
          <cell r="P15">
            <v>100550</v>
          </cell>
          <cell r="Q15">
            <v>98607</v>
          </cell>
          <cell r="R15">
            <v>94100</v>
          </cell>
        </row>
        <row r="16">
          <cell r="C16">
            <v>92632</v>
          </cell>
          <cell r="D16">
            <v>97150</v>
          </cell>
          <cell r="E16">
            <v>95678</v>
          </cell>
          <cell r="F16">
            <v>99150</v>
          </cell>
          <cell r="G16">
            <v>112490</v>
          </cell>
          <cell r="H16">
            <v>113800</v>
          </cell>
          <cell r="I16">
            <v>73709</v>
          </cell>
          <cell r="J16">
            <v>80600</v>
          </cell>
          <cell r="K16">
            <v>103374</v>
          </cell>
          <cell r="L16">
            <v>96300</v>
          </cell>
          <cell r="M16">
            <v>100869</v>
          </cell>
          <cell r="N16">
            <v>100400</v>
          </cell>
          <cell r="O16">
            <v>92912</v>
          </cell>
          <cell r="P16">
            <v>100550</v>
          </cell>
          <cell r="Q16">
            <v>98607</v>
          </cell>
          <cell r="R16">
            <v>94100</v>
          </cell>
        </row>
        <row r="17">
          <cell r="C17">
            <v>689466</v>
          </cell>
          <cell r="D17">
            <v>721825</v>
          </cell>
          <cell r="E17">
            <v>749724</v>
          </cell>
          <cell r="F17">
            <v>763925</v>
          </cell>
          <cell r="G17">
            <v>882593</v>
          </cell>
          <cell r="H17">
            <v>850259</v>
          </cell>
          <cell r="I17">
            <v>621298</v>
          </cell>
          <cell r="J17">
            <v>634754</v>
          </cell>
          <cell r="K17">
            <v>726027</v>
          </cell>
          <cell r="L17">
            <v>761640</v>
          </cell>
          <cell r="M17">
            <v>720042</v>
          </cell>
          <cell r="N17">
            <v>791245</v>
          </cell>
          <cell r="O17">
            <v>755980</v>
          </cell>
          <cell r="P17">
            <v>811415</v>
          </cell>
          <cell r="Q17">
            <v>757238</v>
          </cell>
          <cell r="R17">
            <v>775495</v>
          </cell>
        </row>
        <row r="18">
          <cell r="C18">
            <v>689466</v>
          </cell>
          <cell r="D18">
            <v>721825</v>
          </cell>
          <cell r="E18">
            <v>749724</v>
          </cell>
          <cell r="F18">
            <v>763925</v>
          </cell>
          <cell r="G18">
            <v>882593</v>
          </cell>
          <cell r="H18">
            <v>850259</v>
          </cell>
          <cell r="I18">
            <v>621298</v>
          </cell>
          <cell r="J18">
            <v>634754</v>
          </cell>
          <cell r="K18">
            <v>726027</v>
          </cell>
          <cell r="L18">
            <v>761640</v>
          </cell>
          <cell r="M18">
            <v>720042</v>
          </cell>
          <cell r="N18">
            <v>791245</v>
          </cell>
          <cell r="O18">
            <v>755980</v>
          </cell>
          <cell r="P18">
            <v>811415</v>
          </cell>
          <cell r="Q18">
            <v>757238</v>
          </cell>
          <cell r="R18">
            <v>775495</v>
          </cell>
        </row>
      </sheetData>
      <sheetData sheetId="1">
        <row r="1">
          <cell r="C1" t="str">
            <v>ปี 2025(ขนาดจิ๋ว, ขนาดเล็ก, ขนาดกลาง, ขนาดใหญ่, ขนาดเมก้า)</v>
          </cell>
        </row>
        <row r="2">
          <cell r="C2" t="str">
            <v>มกราคม</v>
          </cell>
          <cell r="E2" t="str">
            <v>กุมภาพันธ์</v>
          </cell>
          <cell r="G2" t="str">
            <v>มีนาคม</v>
          </cell>
          <cell r="I2" t="str">
            <v>เมษายน</v>
          </cell>
          <cell r="K2" t="str">
            <v>พฤษภาคม</v>
          </cell>
          <cell r="M2" t="str">
            <v>มิถุนายน</v>
          </cell>
          <cell r="O2" t="str">
            <v>กรกฎาคม</v>
          </cell>
          <cell r="Q2" t="str">
            <v>สิงหาคม</v>
          </cell>
        </row>
        <row r="3">
          <cell r="C3" t="str">
            <v>Vol.(m³)</v>
          </cell>
          <cell r="E3" t="str">
            <v>Vol.(m³)</v>
          </cell>
          <cell r="G3" t="str">
            <v>Vol.(m³)</v>
          </cell>
          <cell r="I3" t="str">
            <v>Vol.(m³)</v>
          </cell>
          <cell r="K3" t="str">
            <v>Vol.(m³)</v>
          </cell>
          <cell r="M3" t="str">
            <v>Vol.(m³)</v>
          </cell>
          <cell r="O3" t="str">
            <v>Vol.(m³)</v>
          </cell>
          <cell r="Q3" t="str">
            <v>Vol.(m³)</v>
          </cell>
        </row>
        <row r="4">
          <cell r="C4" t="str">
            <v>รวม(m³)</v>
          </cell>
          <cell r="E4" t="str">
            <v>รวม(m³)</v>
          </cell>
          <cell r="G4" t="str">
            <v>รวม(m³)</v>
          </cell>
          <cell r="I4" t="str">
            <v>รวม(m³)</v>
          </cell>
          <cell r="K4" t="str">
            <v>รวม(m³)</v>
          </cell>
          <cell r="M4" t="str">
            <v>รวม(m³)</v>
          </cell>
          <cell r="O4" t="str">
            <v>รวม(m³)</v>
          </cell>
          <cell r="Q4" t="str">
            <v>รวม(m³)</v>
          </cell>
        </row>
        <row r="5">
          <cell r="A5" t="str">
            <v>1-Metro</v>
          </cell>
          <cell r="C5">
            <v>200099</v>
          </cell>
          <cell r="E5">
            <v>208536</v>
          </cell>
          <cell r="G5">
            <v>239658</v>
          </cell>
          <cell r="I5">
            <v>175649</v>
          </cell>
          <cell r="K5">
            <v>212577</v>
          </cell>
          <cell r="M5">
            <v>236605</v>
          </cell>
          <cell r="O5">
            <v>228963</v>
          </cell>
          <cell r="Q5">
            <v>232783</v>
          </cell>
        </row>
        <row r="6">
          <cell r="C6">
            <v>200099</v>
          </cell>
          <cell r="E6">
            <v>208536</v>
          </cell>
          <cell r="G6">
            <v>239658</v>
          </cell>
          <cell r="I6">
            <v>175649</v>
          </cell>
          <cell r="K6">
            <v>212577</v>
          </cell>
          <cell r="M6">
            <v>236605</v>
          </cell>
          <cell r="O6">
            <v>228963</v>
          </cell>
          <cell r="Q6">
            <v>232783</v>
          </cell>
        </row>
        <row r="7">
          <cell r="A7" t="str">
            <v>2-East</v>
          </cell>
          <cell r="C7">
            <v>174828</v>
          </cell>
          <cell r="E7">
            <v>165963</v>
          </cell>
          <cell r="G7">
            <v>188666</v>
          </cell>
          <cell r="I7">
            <v>138881</v>
          </cell>
          <cell r="K7">
            <v>165051</v>
          </cell>
          <cell r="M7">
            <v>178943</v>
          </cell>
          <cell r="O7">
            <v>201263</v>
          </cell>
          <cell r="Q7">
            <v>184795</v>
          </cell>
        </row>
        <row r="8">
          <cell r="C8">
            <v>174828</v>
          </cell>
          <cell r="E8">
            <v>165963</v>
          </cell>
          <cell r="G8">
            <v>188666</v>
          </cell>
          <cell r="I8">
            <v>138881</v>
          </cell>
          <cell r="K8">
            <v>165051</v>
          </cell>
          <cell r="M8">
            <v>178943</v>
          </cell>
          <cell r="O8">
            <v>201263</v>
          </cell>
          <cell r="Q8">
            <v>184795</v>
          </cell>
        </row>
        <row r="9">
          <cell r="A9" t="str">
            <v>3-West</v>
          </cell>
          <cell r="C9">
            <v>89728</v>
          </cell>
          <cell r="E9">
            <v>100483</v>
          </cell>
          <cell r="G9">
            <v>108389</v>
          </cell>
          <cell r="I9">
            <v>80176</v>
          </cell>
          <cell r="K9">
            <v>86205</v>
          </cell>
          <cell r="M9">
            <v>104123</v>
          </cell>
          <cell r="O9">
            <v>104903</v>
          </cell>
          <cell r="Q9">
            <v>91478</v>
          </cell>
        </row>
        <row r="10">
          <cell r="C10">
            <v>89728</v>
          </cell>
          <cell r="E10">
            <v>100483</v>
          </cell>
          <cell r="G10">
            <v>108389</v>
          </cell>
          <cell r="I10">
            <v>80176</v>
          </cell>
          <cell r="K10">
            <v>86205</v>
          </cell>
          <cell r="M10">
            <v>104123</v>
          </cell>
          <cell r="O10">
            <v>104903</v>
          </cell>
          <cell r="Q10">
            <v>91478</v>
          </cell>
        </row>
        <row r="11">
          <cell r="A11" t="str">
            <v>5-NorthE</v>
          </cell>
          <cell r="C11">
            <v>77670</v>
          </cell>
          <cell r="E11">
            <v>83917</v>
          </cell>
          <cell r="G11">
            <v>98007</v>
          </cell>
          <cell r="I11">
            <v>78176</v>
          </cell>
          <cell r="K11">
            <v>85661</v>
          </cell>
          <cell r="M11">
            <v>95308</v>
          </cell>
          <cell r="O11">
            <v>100031</v>
          </cell>
          <cell r="Q11">
            <v>99787</v>
          </cell>
        </row>
        <row r="12">
          <cell r="C12">
            <v>77670</v>
          </cell>
          <cell r="E12">
            <v>83917</v>
          </cell>
          <cell r="G12">
            <v>98007</v>
          </cell>
          <cell r="I12">
            <v>78176</v>
          </cell>
          <cell r="K12">
            <v>85661</v>
          </cell>
          <cell r="M12">
            <v>95308</v>
          </cell>
          <cell r="O12">
            <v>100031</v>
          </cell>
          <cell r="Q12">
            <v>99787</v>
          </cell>
        </row>
        <row r="13">
          <cell r="A13" t="str">
            <v>6-South</v>
          </cell>
          <cell r="C13">
            <v>93911</v>
          </cell>
          <cell r="E13">
            <v>98125</v>
          </cell>
          <cell r="G13">
            <v>123668</v>
          </cell>
          <cell r="I13">
            <v>93882</v>
          </cell>
          <cell r="K13">
            <v>100379</v>
          </cell>
          <cell r="M13">
            <v>104470</v>
          </cell>
          <cell r="O13">
            <v>108829</v>
          </cell>
          <cell r="Q13">
            <v>101242</v>
          </cell>
        </row>
        <row r="14">
          <cell r="C14">
            <v>93911</v>
          </cell>
          <cell r="E14">
            <v>98125</v>
          </cell>
          <cell r="G14">
            <v>123668</v>
          </cell>
          <cell r="I14">
            <v>93882</v>
          </cell>
          <cell r="K14">
            <v>100379</v>
          </cell>
          <cell r="M14">
            <v>104470</v>
          </cell>
          <cell r="O14">
            <v>108829</v>
          </cell>
          <cell r="Q14">
            <v>101242</v>
          </cell>
        </row>
        <row r="15">
          <cell r="A15" t="str">
            <v>4-North</v>
          </cell>
          <cell r="C15">
            <v>94052</v>
          </cell>
          <cell r="E15">
            <v>103220</v>
          </cell>
          <cell r="G15">
            <v>124516</v>
          </cell>
          <cell r="I15">
            <v>90073</v>
          </cell>
          <cell r="K15">
            <v>100542</v>
          </cell>
          <cell r="M15">
            <v>104712</v>
          </cell>
          <cell r="O15">
            <v>105314</v>
          </cell>
          <cell r="Q15">
            <v>104706</v>
          </cell>
        </row>
        <row r="16">
          <cell r="C16">
            <v>94052</v>
          </cell>
          <cell r="E16">
            <v>103220</v>
          </cell>
          <cell r="G16">
            <v>124516</v>
          </cell>
          <cell r="I16">
            <v>90073</v>
          </cell>
          <cell r="K16">
            <v>100542</v>
          </cell>
          <cell r="M16">
            <v>104712</v>
          </cell>
          <cell r="O16">
            <v>105314</v>
          </cell>
          <cell r="Q16">
            <v>104706</v>
          </cell>
        </row>
        <row r="17">
          <cell r="C17">
            <v>730288</v>
          </cell>
          <cell r="E17">
            <v>760244</v>
          </cell>
          <cell r="G17">
            <v>882904</v>
          </cell>
          <cell r="I17">
            <v>656838</v>
          </cell>
          <cell r="K17">
            <v>750413</v>
          </cell>
          <cell r="M17">
            <v>824160</v>
          </cell>
          <cell r="O17">
            <v>849303</v>
          </cell>
          <cell r="Q17">
            <v>814791</v>
          </cell>
        </row>
        <row r="18">
          <cell r="C18">
            <v>730288</v>
          </cell>
          <cell r="E18">
            <v>760244</v>
          </cell>
          <cell r="G18">
            <v>882904</v>
          </cell>
          <cell r="I18">
            <v>656838</v>
          </cell>
          <cell r="K18">
            <v>750413</v>
          </cell>
          <cell r="M18">
            <v>824160</v>
          </cell>
          <cell r="O18">
            <v>849303</v>
          </cell>
          <cell r="Q18">
            <v>814791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427E-3E6F-4B51-9404-7A99B46443BA}">
  <dimension ref="A1:S291"/>
  <sheetViews>
    <sheetView workbookViewId="0">
      <pane xSplit="6" ySplit="1" topLeftCell="M277" activePane="bottomRight" state="frozen"/>
      <selection pane="topRight" activeCell="L1" sqref="L1"/>
      <selection pane="bottomLeft" activeCell="A2" sqref="A2"/>
      <selection pane="bottomRight" sqref="A1:S291"/>
    </sheetView>
  </sheetViews>
  <sheetFormatPr defaultRowHeight="17" x14ac:dyDescent="0.6"/>
  <cols>
    <col min="1" max="1" width="9.1796875" style="1" customWidth="1"/>
    <col min="2" max="2" width="28.08984375" style="19" customWidth="1"/>
    <col min="3" max="3" width="8.6328125" style="19" customWidth="1"/>
    <col min="4" max="4" width="28.81640625" style="19" customWidth="1"/>
    <col min="5" max="5" width="11.453125" style="2" bestFit="1" customWidth="1"/>
    <col min="6" max="6" width="6.08984375" style="2" bestFit="1" customWidth="1"/>
    <col min="7" max="13" width="8.7265625" style="6"/>
    <col min="14" max="18" width="8.7265625" style="6" customWidth="1"/>
    <col min="19" max="19" width="9.08984375" style="6" bestFit="1" customWidth="1"/>
    <col min="20" max="16384" width="8.7265625" style="6"/>
  </cols>
  <sheetData>
    <row r="1" spans="1:19" ht="17.5" thickBot="1" x14ac:dyDescent="0.65">
      <c r="A1" s="4" t="s">
        <v>0</v>
      </c>
      <c r="B1" s="4" t="s">
        <v>710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5" t="s">
        <v>17</v>
      </c>
    </row>
    <row r="2" spans="1:19" ht="17.5" thickBot="1" x14ac:dyDescent="0.65">
      <c r="A2" s="7" t="s">
        <v>18</v>
      </c>
      <c r="B2" s="8" t="s">
        <v>19</v>
      </c>
      <c r="C2" s="9" t="s">
        <v>20</v>
      </c>
      <c r="D2" s="9" t="s">
        <v>719</v>
      </c>
      <c r="E2" s="10" t="s">
        <v>695</v>
      </c>
      <c r="F2" s="10" t="s">
        <v>21</v>
      </c>
      <c r="G2" s="11">
        <v>1607</v>
      </c>
      <c r="H2" s="11">
        <v>2058</v>
      </c>
      <c r="I2" s="11">
        <v>2339</v>
      </c>
      <c r="J2" s="11">
        <v>1512</v>
      </c>
      <c r="K2" s="11">
        <v>3055</v>
      </c>
      <c r="L2" s="11">
        <v>3376</v>
      </c>
      <c r="M2" s="11">
        <v>2784</v>
      </c>
      <c r="N2" s="11">
        <v>2145</v>
      </c>
      <c r="O2" s="11">
        <v>0</v>
      </c>
      <c r="P2" s="11">
        <v>0</v>
      </c>
      <c r="Q2" s="11">
        <v>0</v>
      </c>
      <c r="R2" s="11">
        <v>0</v>
      </c>
      <c r="S2" s="12">
        <v>18876</v>
      </c>
    </row>
    <row r="3" spans="1:19" ht="17.5" thickBot="1" x14ac:dyDescent="0.65">
      <c r="A3" s="7" t="s">
        <v>18</v>
      </c>
      <c r="B3" s="9" t="s">
        <v>22</v>
      </c>
      <c r="C3" s="14" t="s">
        <v>23</v>
      </c>
      <c r="D3" s="9" t="s">
        <v>24</v>
      </c>
      <c r="E3" s="10" t="s">
        <v>695</v>
      </c>
      <c r="F3" s="10" t="s">
        <v>25</v>
      </c>
      <c r="G3" s="11">
        <v>1620</v>
      </c>
      <c r="H3" s="11">
        <v>1834</v>
      </c>
      <c r="I3" s="11">
        <v>2020</v>
      </c>
      <c r="J3" s="11">
        <v>980</v>
      </c>
      <c r="K3" s="11">
        <v>1419</v>
      </c>
      <c r="L3" s="11">
        <v>1773</v>
      </c>
      <c r="M3" s="11">
        <v>2158</v>
      </c>
      <c r="N3" s="11">
        <v>2049</v>
      </c>
      <c r="O3" s="11">
        <v>0</v>
      </c>
      <c r="P3" s="11">
        <v>0</v>
      </c>
      <c r="Q3" s="11">
        <v>0</v>
      </c>
      <c r="R3" s="11">
        <v>0</v>
      </c>
      <c r="S3" s="12">
        <v>13853</v>
      </c>
    </row>
    <row r="4" spans="1:19" ht="17.5" thickBot="1" x14ac:dyDescent="0.65">
      <c r="A4" s="7" t="s">
        <v>18</v>
      </c>
      <c r="B4" s="9" t="s">
        <v>26</v>
      </c>
      <c r="C4" s="9" t="s">
        <v>27</v>
      </c>
      <c r="D4" s="9" t="s">
        <v>718</v>
      </c>
      <c r="E4" s="10" t="s">
        <v>695</v>
      </c>
      <c r="F4" s="10" t="s">
        <v>28</v>
      </c>
      <c r="G4" s="11">
        <v>948</v>
      </c>
      <c r="H4" s="11">
        <v>836</v>
      </c>
      <c r="I4" s="11">
        <v>1175</v>
      </c>
      <c r="J4" s="11">
        <v>929</v>
      </c>
      <c r="K4" s="11">
        <v>799</v>
      </c>
      <c r="L4" s="11">
        <v>1095</v>
      </c>
      <c r="M4" s="11">
        <v>1000</v>
      </c>
      <c r="N4" s="11">
        <v>819</v>
      </c>
      <c r="O4" s="11">
        <v>0</v>
      </c>
      <c r="P4" s="11">
        <v>0</v>
      </c>
      <c r="Q4" s="11">
        <v>0</v>
      </c>
      <c r="R4" s="11">
        <v>0</v>
      </c>
      <c r="S4" s="12">
        <v>7601</v>
      </c>
    </row>
    <row r="5" spans="1:19" ht="17.5" thickBot="1" x14ac:dyDescent="0.65">
      <c r="A5" s="7" t="s">
        <v>18</v>
      </c>
      <c r="B5" s="9" t="s">
        <v>29</v>
      </c>
      <c r="C5" s="9" t="s">
        <v>30</v>
      </c>
      <c r="D5" s="9" t="s">
        <v>31</v>
      </c>
      <c r="E5" s="10" t="s">
        <v>694</v>
      </c>
      <c r="F5" s="10" t="s">
        <v>25</v>
      </c>
      <c r="G5" s="11">
        <v>2149</v>
      </c>
      <c r="H5" s="11">
        <v>1837</v>
      </c>
      <c r="I5" s="11">
        <v>2742</v>
      </c>
      <c r="J5" s="11">
        <v>2448</v>
      </c>
      <c r="K5" s="11">
        <v>1495</v>
      </c>
      <c r="L5" s="11">
        <v>1636</v>
      </c>
      <c r="M5" s="11">
        <v>900</v>
      </c>
      <c r="N5" s="11">
        <v>2330</v>
      </c>
      <c r="O5" s="11">
        <v>0</v>
      </c>
      <c r="P5" s="11">
        <v>0</v>
      </c>
      <c r="Q5" s="11">
        <v>0</v>
      </c>
      <c r="R5" s="11">
        <v>0</v>
      </c>
      <c r="S5" s="12">
        <v>15537</v>
      </c>
    </row>
    <row r="6" spans="1:19" ht="17.5" thickBot="1" x14ac:dyDescent="0.65">
      <c r="A6" s="10" t="s">
        <v>32</v>
      </c>
      <c r="B6" s="9" t="s">
        <v>29</v>
      </c>
      <c r="C6" s="9" t="s">
        <v>33</v>
      </c>
      <c r="D6" s="9" t="s">
        <v>34</v>
      </c>
      <c r="E6" s="10" t="s">
        <v>694</v>
      </c>
      <c r="F6" s="10" t="s">
        <v>25</v>
      </c>
      <c r="G6" s="11">
        <v>1079</v>
      </c>
      <c r="H6" s="11">
        <v>1409</v>
      </c>
      <c r="I6" s="11">
        <v>1532</v>
      </c>
      <c r="J6" s="11">
        <v>1261</v>
      </c>
      <c r="K6" s="11">
        <v>1481</v>
      </c>
      <c r="L6" s="11">
        <v>1860</v>
      </c>
      <c r="M6" s="11">
        <v>2450</v>
      </c>
      <c r="N6" s="11">
        <v>1721</v>
      </c>
      <c r="O6" s="11">
        <v>0</v>
      </c>
      <c r="P6" s="11">
        <v>0</v>
      </c>
      <c r="Q6" s="11">
        <v>0</v>
      </c>
      <c r="R6" s="11">
        <v>0</v>
      </c>
      <c r="S6" s="12">
        <v>12793</v>
      </c>
    </row>
    <row r="7" spans="1:19" ht="17.5" thickBot="1" x14ac:dyDescent="0.65">
      <c r="A7" s="10" t="s">
        <v>32</v>
      </c>
      <c r="B7" s="9" t="s">
        <v>29</v>
      </c>
      <c r="C7" s="9" t="s">
        <v>35</v>
      </c>
      <c r="D7" s="9" t="s">
        <v>36</v>
      </c>
      <c r="E7" s="10" t="s">
        <v>694</v>
      </c>
      <c r="F7" s="10" t="s">
        <v>25</v>
      </c>
      <c r="G7" s="11">
        <v>1174</v>
      </c>
      <c r="H7" s="11">
        <v>930</v>
      </c>
      <c r="I7" s="11">
        <v>1563</v>
      </c>
      <c r="J7" s="11">
        <v>1225</v>
      </c>
      <c r="K7" s="11">
        <v>2212</v>
      </c>
      <c r="L7" s="11">
        <v>3483</v>
      </c>
      <c r="M7" s="11">
        <v>1553</v>
      </c>
      <c r="N7" s="11">
        <v>1428</v>
      </c>
      <c r="O7" s="11">
        <v>0</v>
      </c>
      <c r="P7" s="11">
        <v>0</v>
      </c>
      <c r="Q7" s="11">
        <v>0</v>
      </c>
      <c r="R7" s="11">
        <v>0</v>
      </c>
      <c r="S7" s="12">
        <v>13568</v>
      </c>
    </row>
    <row r="8" spans="1:19" ht="17.5" thickBot="1" x14ac:dyDescent="0.65">
      <c r="A8" s="10" t="s">
        <v>32</v>
      </c>
      <c r="B8" s="9" t="s">
        <v>29</v>
      </c>
      <c r="C8" s="9" t="s">
        <v>37</v>
      </c>
      <c r="D8" s="9" t="s">
        <v>38</v>
      </c>
      <c r="E8" s="10" t="s">
        <v>694</v>
      </c>
      <c r="F8" s="10" t="s">
        <v>25</v>
      </c>
      <c r="G8" s="11">
        <v>1289</v>
      </c>
      <c r="H8" s="11">
        <v>854</v>
      </c>
      <c r="I8" s="11">
        <v>927</v>
      </c>
      <c r="J8" s="11">
        <v>819</v>
      </c>
      <c r="K8" s="11">
        <v>1140</v>
      </c>
      <c r="L8" s="11">
        <v>824</v>
      </c>
      <c r="M8" s="11">
        <v>483</v>
      </c>
      <c r="N8" s="11">
        <v>553</v>
      </c>
      <c r="O8" s="11">
        <v>0</v>
      </c>
      <c r="P8" s="11">
        <v>0</v>
      </c>
      <c r="Q8" s="11">
        <v>0</v>
      </c>
      <c r="R8" s="11">
        <v>0</v>
      </c>
      <c r="S8" s="12">
        <v>6889</v>
      </c>
    </row>
    <row r="9" spans="1:19" ht="17.5" thickBot="1" x14ac:dyDescent="0.65">
      <c r="A9" s="10" t="s">
        <v>32</v>
      </c>
      <c r="B9" s="9" t="s">
        <v>29</v>
      </c>
      <c r="C9" s="9" t="s">
        <v>39</v>
      </c>
      <c r="D9" s="9" t="s">
        <v>40</v>
      </c>
      <c r="E9" s="10" t="s">
        <v>694</v>
      </c>
      <c r="F9" s="10" t="s">
        <v>25</v>
      </c>
      <c r="G9" s="11">
        <v>630</v>
      </c>
      <c r="H9" s="11">
        <v>440</v>
      </c>
      <c r="I9" s="11">
        <v>1419</v>
      </c>
      <c r="J9" s="11">
        <v>1033</v>
      </c>
      <c r="K9" s="11">
        <v>620</v>
      </c>
      <c r="L9" s="11">
        <v>709</v>
      </c>
      <c r="M9" s="11">
        <v>1134</v>
      </c>
      <c r="N9" s="11">
        <v>943</v>
      </c>
      <c r="O9" s="11">
        <v>0</v>
      </c>
      <c r="P9" s="11">
        <v>0</v>
      </c>
      <c r="Q9" s="11">
        <v>0</v>
      </c>
      <c r="R9" s="11">
        <v>0</v>
      </c>
      <c r="S9" s="12">
        <v>6928</v>
      </c>
    </row>
    <row r="10" spans="1:19" ht="17.5" thickBot="1" x14ac:dyDescent="0.65">
      <c r="A10" s="10" t="s">
        <v>32</v>
      </c>
      <c r="B10" s="9" t="s">
        <v>41</v>
      </c>
      <c r="C10" s="9" t="s">
        <v>42</v>
      </c>
      <c r="D10" s="9" t="s">
        <v>43</v>
      </c>
      <c r="E10" s="10" t="s">
        <v>694</v>
      </c>
      <c r="F10" s="10" t="s">
        <v>28</v>
      </c>
      <c r="G10" s="11">
        <v>301</v>
      </c>
      <c r="H10" s="11">
        <v>228</v>
      </c>
      <c r="I10" s="11">
        <v>1401</v>
      </c>
      <c r="J10" s="11">
        <v>275</v>
      </c>
      <c r="K10" s="11">
        <v>253</v>
      </c>
      <c r="L10" s="11">
        <v>733</v>
      </c>
      <c r="M10" s="11">
        <v>591</v>
      </c>
      <c r="N10" s="11">
        <v>993</v>
      </c>
      <c r="O10" s="11">
        <v>0</v>
      </c>
      <c r="P10" s="11">
        <v>0</v>
      </c>
      <c r="Q10" s="11">
        <v>0</v>
      </c>
      <c r="R10" s="11">
        <v>0</v>
      </c>
      <c r="S10" s="12">
        <v>4775</v>
      </c>
    </row>
    <row r="11" spans="1:19" ht="17.5" thickBot="1" x14ac:dyDescent="0.65">
      <c r="A11" s="10" t="s">
        <v>32</v>
      </c>
      <c r="B11" s="9" t="s">
        <v>44</v>
      </c>
      <c r="C11" s="9" t="s">
        <v>45</v>
      </c>
      <c r="D11" s="9" t="s">
        <v>46</v>
      </c>
      <c r="E11" s="10" t="s">
        <v>694</v>
      </c>
      <c r="F11" s="10" t="s">
        <v>21</v>
      </c>
      <c r="G11" s="11">
        <v>2007</v>
      </c>
      <c r="H11" s="11">
        <v>2276</v>
      </c>
      <c r="I11" s="11">
        <v>2524</v>
      </c>
      <c r="J11" s="11">
        <v>1905</v>
      </c>
      <c r="K11" s="11">
        <v>2512</v>
      </c>
      <c r="L11" s="11">
        <v>3278</v>
      </c>
      <c r="M11" s="11">
        <v>2701</v>
      </c>
      <c r="N11" s="11">
        <v>2568</v>
      </c>
      <c r="O11" s="11">
        <v>0</v>
      </c>
      <c r="P11" s="11">
        <v>0</v>
      </c>
      <c r="Q11" s="11">
        <v>0</v>
      </c>
      <c r="R11" s="11">
        <v>0</v>
      </c>
      <c r="S11" s="12">
        <v>19771</v>
      </c>
    </row>
    <row r="12" spans="1:19" ht="17.5" thickBot="1" x14ac:dyDescent="0.65">
      <c r="A12" s="10" t="s">
        <v>32</v>
      </c>
      <c r="B12" s="9" t="s">
        <v>47</v>
      </c>
      <c r="C12" s="9" t="s">
        <v>48</v>
      </c>
      <c r="D12" s="9" t="s">
        <v>49</v>
      </c>
      <c r="E12" s="10" t="s">
        <v>694</v>
      </c>
      <c r="F12" s="10" t="s">
        <v>21</v>
      </c>
      <c r="G12" s="11">
        <v>2432</v>
      </c>
      <c r="H12" s="11">
        <v>2201</v>
      </c>
      <c r="I12" s="11">
        <v>2524</v>
      </c>
      <c r="J12" s="11">
        <v>1506</v>
      </c>
      <c r="K12" s="11">
        <v>2166</v>
      </c>
      <c r="L12" s="11">
        <v>2650</v>
      </c>
      <c r="M12" s="11">
        <v>3541</v>
      </c>
      <c r="N12" s="11">
        <v>2756</v>
      </c>
      <c r="O12" s="11">
        <v>0</v>
      </c>
      <c r="P12" s="11">
        <v>0</v>
      </c>
      <c r="Q12" s="11">
        <v>0</v>
      </c>
      <c r="R12" s="11">
        <v>0</v>
      </c>
      <c r="S12" s="12">
        <v>19776</v>
      </c>
    </row>
    <row r="13" spans="1:19" ht="17.5" thickBot="1" x14ac:dyDescent="0.65">
      <c r="A13" s="10" t="s">
        <v>32</v>
      </c>
      <c r="B13" s="9" t="s">
        <v>47</v>
      </c>
      <c r="C13" s="9" t="s">
        <v>50</v>
      </c>
      <c r="D13" s="9" t="s">
        <v>51</v>
      </c>
      <c r="E13" s="10" t="s">
        <v>694</v>
      </c>
      <c r="F13" s="10" t="s">
        <v>21</v>
      </c>
      <c r="G13" s="11">
        <v>524</v>
      </c>
      <c r="H13" s="11">
        <v>334</v>
      </c>
      <c r="I13" s="11">
        <v>516</v>
      </c>
      <c r="J13" s="11">
        <v>232</v>
      </c>
      <c r="K13" s="11">
        <v>633</v>
      </c>
      <c r="L13" s="11">
        <v>904</v>
      </c>
      <c r="M13" s="11">
        <v>473</v>
      </c>
      <c r="N13" s="11">
        <v>839</v>
      </c>
      <c r="O13" s="11">
        <v>0</v>
      </c>
      <c r="P13" s="11">
        <v>0</v>
      </c>
      <c r="Q13" s="11">
        <v>0</v>
      </c>
      <c r="R13" s="11">
        <v>0</v>
      </c>
      <c r="S13" s="12">
        <v>4455</v>
      </c>
    </row>
    <row r="14" spans="1:19" ht="17.5" thickBot="1" x14ac:dyDescent="0.65">
      <c r="A14" s="10" t="s">
        <v>32</v>
      </c>
      <c r="B14" s="9" t="s">
        <v>52</v>
      </c>
      <c r="C14" s="9" t="s">
        <v>53</v>
      </c>
      <c r="D14" s="9" t="s">
        <v>54</v>
      </c>
      <c r="E14" s="10" t="s">
        <v>694</v>
      </c>
      <c r="F14" s="10" t="s">
        <v>21</v>
      </c>
      <c r="G14" s="11">
        <v>6128</v>
      </c>
      <c r="H14" s="11">
        <v>4498</v>
      </c>
      <c r="I14" s="11">
        <v>5742</v>
      </c>
      <c r="J14" s="11">
        <v>3966</v>
      </c>
      <c r="K14" s="11">
        <v>3857</v>
      </c>
      <c r="L14" s="11">
        <v>3607</v>
      </c>
      <c r="M14" s="11">
        <v>3735</v>
      </c>
      <c r="N14" s="11">
        <v>4110</v>
      </c>
      <c r="O14" s="11">
        <v>0</v>
      </c>
      <c r="P14" s="11">
        <v>0</v>
      </c>
      <c r="Q14" s="11">
        <v>0</v>
      </c>
      <c r="R14" s="11">
        <v>0</v>
      </c>
      <c r="S14" s="12">
        <v>35643</v>
      </c>
    </row>
    <row r="15" spans="1:19" ht="17.5" thickBot="1" x14ac:dyDescent="0.65">
      <c r="A15" s="10" t="s">
        <v>32</v>
      </c>
      <c r="B15" s="9" t="s">
        <v>52</v>
      </c>
      <c r="C15" s="9" t="s">
        <v>55</v>
      </c>
      <c r="D15" s="9" t="s">
        <v>56</v>
      </c>
      <c r="E15" s="10" t="s">
        <v>694</v>
      </c>
      <c r="F15" s="10" t="s">
        <v>21</v>
      </c>
      <c r="G15" s="11">
        <v>215</v>
      </c>
      <c r="H15" s="11">
        <v>100</v>
      </c>
      <c r="I15" s="11">
        <v>395</v>
      </c>
      <c r="J15" s="11">
        <v>468</v>
      </c>
      <c r="K15" s="11">
        <v>38</v>
      </c>
      <c r="L15" s="11">
        <v>321</v>
      </c>
      <c r="M15" s="11">
        <v>251</v>
      </c>
      <c r="N15" s="11">
        <v>16</v>
      </c>
      <c r="O15" s="11">
        <v>0</v>
      </c>
      <c r="P15" s="11">
        <v>0</v>
      </c>
      <c r="Q15" s="11">
        <v>0</v>
      </c>
      <c r="R15" s="11">
        <v>0</v>
      </c>
      <c r="S15" s="12">
        <v>1804</v>
      </c>
    </row>
    <row r="16" spans="1:19" ht="17.5" thickBot="1" x14ac:dyDescent="0.65">
      <c r="A16" s="10" t="s">
        <v>32</v>
      </c>
      <c r="B16" s="9" t="s">
        <v>52</v>
      </c>
      <c r="C16" s="9" t="s">
        <v>57</v>
      </c>
      <c r="D16" s="9" t="s">
        <v>58</v>
      </c>
      <c r="E16" s="10" t="s">
        <v>694</v>
      </c>
      <c r="F16" s="10" t="s">
        <v>21</v>
      </c>
      <c r="G16" s="11">
        <v>5085</v>
      </c>
      <c r="H16" s="11">
        <v>5573</v>
      </c>
      <c r="I16" s="11">
        <v>6249</v>
      </c>
      <c r="J16" s="11">
        <v>4281</v>
      </c>
      <c r="K16" s="11">
        <v>3965</v>
      </c>
      <c r="L16" s="11">
        <v>4555</v>
      </c>
      <c r="M16" s="11">
        <v>4467</v>
      </c>
      <c r="N16" s="11">
        <v>3955</v>
      </c>
      <c r="O16" s="11">
        <v>0</v>
      </c>
      <c r="P16" s="11">
        <v>0</v>
      </c>
      <c r="Q16" s="11">
        <v>0</v>
      </c>
      <c r="R16" s="11">
        <v>0</v>
      </c>
      <c r="S16" s="12">
        <v>38130</v>
      </c>
    </row>
    <row r="17" spans="1:19" ht="17.5" thickBot="1" x14ac:dyDescent="0.65">
      <c r="A17" s="10" t="s">
        <v>32</v>
      </c>
      <c r="B17" s="9" t="s">
        <v>52</v>
      </c>
      <c r="C17" s="9" t="s">
        <v>59</v>
      </c>
      <c r="D17" s="9" t="s">
        <v>60</v>
      </c>
      <c r="E17" s="10" t="s">
        <v>694</v>
      </c>
      <c r="F17" s="10" t="s">
        <v>21</v>
      </c>
      <c r="G17" s="11">
        <v>3200</v>
      </c>
      <c r="H17" s="11">
        <v>2331</v>
      </c>
      <c r="I17" s="11">
        <v>2923</v>
      </c>
      <c r="J17" s="11">
        <v>1912</v>
      </c>
      <c r="K17" s="11">
        <v>2580</v>
      </c>
      <c r="L17" s="11">
        <v>2138</v>
      </c>
      <c r="M17" s="11">
        <v>2497</v>
      </c>
      <c r="N17" s="11">
        <v>2288</v>
      </c>
      <c r="O17" s="11">
        <v>0</v>
      </c>
      <c r="P17" s="11">
        <v>0</v>
      </c>
      <c r="Q17" s="11">
        <v>0</v>
      </c>
      <c r="R17" s="11">
        <v>0</v>
      </c>
      <c r="S17" s="12">
        <v>19869</v>
      </c>
    </row>
    <row r="18" spans="1:19" ht="17.5" thickBot="1" x14ac:dyDescent="0.65">
      <c r="A18" s="10" t="s">
        <v>32</v>
      </c>
      <c r="B18" s="9" t="s">
        <v>61</v>
      </c>
      <c r="C18" s="9" t="s">
        <v>62</v>
      </c>
      <c r="D18" s="9" t="s">
        <v>63</v>
      </c>
      <c r="E18" s="10" t="s">
        <v>694</v>
      </c>
      <c r="F18" s="10" t="s">
        <v>25</v>
      </c>
      <c r="G18" s="11">
        <v>2593</v>
      </c>
      <c r="H18" s="11">
        <v>2747</v>
      </c>
      <c r="I18" s="11">
        <v>2950</v>
      </c>
      <c r="J18" s="11">
        <v>3574</v>
      </c>
      <c r="K18" s="11">
        <v>3937</v>
      </c>
      <c r="L18" s="11">
        <v>3573</v>
      </c>
      <c r="M18" s="11">
        <v>2547</v>
      </c>
      <c r="N18" s="11">
        <v>2584</v>
      </c>
      <c r="O18" s="11">
        <v>0</v>
      </c>
      <c r="P18" s="11">
        <v>0</v>
      </c>
      <c r="Q18" s="11">
        <v>0</v>
      </c>
      <c r="R18" s="11">
        <v>0</v>
      </c>
      <c r="S18" s="12">
        <v>24505</v>
      </c>
    </row>
    <row r="19" spans="1:19" ht="17.5" thickBot="1" x14ac:dyDescent="0.65">
      <c r="A19" s="10" t="s">
        <v>32</v>
      </c>
      <c r="B19" s="9" t="s">
        <v>61</v>
      </c>
      <c r="C19" s="9" t="s">
        <v>64</v>
      </c>
      <c r="D19" s="9" t="s">
        <v>65</v>
      </c>
      <c r="E19" s="10" t="s">
        <v>694</v>
      </c>
      <c r="F19" s="10" t="s">
        <v>25</v>
      </c>
      <c r="G19" s="11">
        <v>5881</v>
      </c>
      <c r="H19" s="11">
        <v>2992</v>
      </c>
      <c r="I19" s="11">
        <v>3778</v>
      </c>
      <c r="J19" s="11">
        <v>3690</v>
      </c>
      <c r="K19" s="11">
        <v>3776</v>
      </c>
      <c r="L19" s="11">
        <v>3618</v>
      </c>
      <c r="M19" s="11">
        <v>3193</v>
      </c>
      <c r="N19" s="11">
        <v>3605</v>
      </c>
      <c r="O19" s="11">
        <v>0</v>
      </c>
      <c r="P19" s="11">
        <v>0</v>
      </c>
      <c r="Q19" s="11">
        <v>0</v>
      </c>
      <c r="R19" s="11">
        <v>0</v>
      </c>
      <c r="S19" s="12">
        <v>30533</v>
      </c>
    </row>
    <row r="20" spans="1:19" ht="17.5" thickBot="1" x14ac:dyDescent="0.65">
      <c r="A20" s="10" t="s">
        <v>32</v>
      </c>
      <c r="B20" s="9" t="s">
        <v>66</v>
      </c>
      <c r="C20" s="9" t="s">
        <v>67</v>
      </c>
      <c r="D20" s="9" t="s">
        <v>68</v>
      </c>
      <c r="E20" s="10" t="s">
        <v>694</v>
      </c>
      <c r="F20" s="10" t="s">
        <v>25</v>
      </c>
      <c r="G20" s="11">
        <v>4439</v>
      </c>
      <c r="H20" s="11">
        <v>5908</v>
      </c>
      <c r="I20" s="11">
        <v>7617</v>
      </c>
      <c r="J20" s="11">
        <v>5365</v>
      </c>
      <c r="K20" s="11">
        <v>4456</v>
      </c>
      <c r="L20" s="11">
        <v>4350</v>
      </c>
      <c r="M20" s="11">
        <v>2859</v>
      </c>
      <c r="N20" s="11">
        <v>2900</v>
      </c>
      <c r="O20" s="11">
        <v>0</v>
      </c>
      <c r="P20" s="11">
        <v>0</v>
      </c>
      <c r="Q20" s="11">
        <v>0</v>
      </c>
      <c r="R20" s="11">
        <v>0</v>
      </c>
      <c r="S20" s="12">
        <v>37894</v>
      </c>
    </row>
    <row r="21" spans="1:19" ht="17.5" thickBot="1" x14ac:dyDescent="0.65">
      <c r="A21" s="10" t="s">
        <v>32</v>
      </c>
      <c r="B21" s="9" t="s">
        <v>66</v>
      </c>
      <c r="C21" s="9" t="s">
        <v>69</v>
      </c>
      <c r="D21" s="9" t="s">
        <v>70</v>
      </c>
      <c r="E21" s="10" t="s">
        <v>694</v>
      </c>
      <c r="F21" s="10" t="s">
        <v>25</v>
      </c>
      <c r="G21" s="11">
        <v>2689</v>
      </c>
      <c r="H21" s="11">
        <v>4372</v>
      </c>
      <c r="I21" s="11">
        <v>4392</v>
      </c>
      <c r="J21" s="11">
        <v>3702</v>
      </c>
      <c r="K21" s="11">
        <v>3048</v>
      </c>
      <c r="L21" s="11">
        <v>2360</v>
      </c>
      <c r="M21" s="11">
        <v>2317</v>
      </c>
      <c r="N21" s="11">
        <v>3479</v>
      </c>
      <c r="O21" s="11">
        <v>0</v>
      </c>
      <c r="P21" s="11">
        <v>0</v>
      </c>
      <c r="Q21" s="11">
        <v>0</v>
      </c>
      <c r="R21" s="11">
        <v>0</v>
      </c>
      <c r="S21" s="12">
        <v>26359</v>
      </c>
    </row>
    <row r="22" spans="1:19" ht="17.5" thickBot="1" x14ac:dyDescent="0.65">
      <c r="A22" s="10" t="s">
        <v>32</v>
      </c>
      <c r="B22" s="9" t="s">
        <v>66</v>
      </c>
      <c r="C22" s="9" t="s">
        <v>71</v>
      </c>
      <c r="D22" s="9" t="s">
        <v>72</v>
      </c>
      <c r="E22" s="10" t="s">
        <v>694</v>
      </c>
      <c r="F22" s="10" t="s">
        <v>25</v>
      </c>
      <c r="G22" s="11">
        <v>4191</v>
      </c>
      <c r="H22" s="11">
        <v>3523</v>
      </c>
      <c r="I22" s="11">
        <v>4378</v>
      </c>
      <c r="J22" s="11">
        <v>3218</v>
      </c>
      <c r="K22" s="11">
        <v>3321</v>
      </c>
      <c r="L22" s="11">
        <v>3580</v>
      </c>
      <c r="M22" s="11">
        <v>4482</v>
      </c>
      <c r="N22" s="11">
        <v>3948</v>
      </c>
      <c r="O22" s="11">
        <v>0</v>
      </c>
      <c r="P22" s="11">
        <v>0</v>
      </c>
      <c r="Q22" s="11">
        <v>0</v>
      </c>
      <c r="R22" s="11">
        <v>0</v>
      </c>
      <c r="S22" s="12">
        <v>30641</v>
      </c>
    </row>
    <row r="23" spans="1:19" ht="17.5" thickBot="1" x14ac:dyDescent="0.65">
      <c r="A23" s="10" t="s">
        <v>32</v>
      </c>
      <c r="B23" s="9" t="s">
        <v>66</v>
      </c>
      <c r="C23" s="9" t="s">
        <v>73</v>
      </c>
      <c r="D23" s="9" t="s">
        <v>74</v>
      </c>
      <c r="E23" s="10" t="s">
        <v>694</v>
      </c>
      <c r="F23" s="10" t="s">
        <v>25</v>
      </c>
      <c r="G23" s="11">
        <v>3532</v>
      </c>
      <c r="H23" s="11">
        <v>4761</v>
      </c>
      <c r="I23" s="11">
        <v>6633</v>
      </c>
      <c r="J23" s="11">
        <v>3845</v>
      </c>
      <c r="K23" s="11">
        <v>3664</v>
      </c>
      <c r="L23" s="11">
        <v>3124</v>
      </c>
      <c r="M23" s="11">
        <v>3626</v>
      </c>
      <c r="N23" s="11">
        <v>3547</v>
      </c>
      <c r="O23" s="11">
        <v>0</v>
      </c>
      <c r="P23" s="11">
        <v>0</v>
      </c>
      <c r="Q23" s="11">
        <v>0</v>
      </c>
      <c r="R23" s="11">
        <v>0</v>
      </c>
      <c r="S23" s="12">
        <v>32732</v>
      </c>
    </row>
    <row r="24" spans="1:19" ht="17.5" thickBot="1" x14ac:dyDescent="0.65">
      <c r="A24" s="10" t="s">
        <v>32</v>
      </c>
      <c r="B24" s="9" t="s">
        <v>66</v>
      </c>
      <c r="C24" s="9" t="s">
        <v>75</v>
      </c>
      <c r="D24" s="9" t="s">
        <v>76</v>
      </c>
      <c r="E24" s="10" t="s">
        <v>694</v>
      </c>
      <c r="F24" s="10" t="s">
        <v>25</v>
      </c>
      <c r="G24" s="11">
        <v>805</v>
      </c>
      <c r="H24" s="11">
        <v>479</v>
      </c>
      <c r="I24" s="11">
        <v>343</v>
      </c>
      <c r="J24" s="11">
        <v>335</v>
      </c>
      <c r="K24" s="11">
        <v>471</v>
      </c>
      <c r="L24" s="11">
        <v>841</v>
      </c>
      <c r="M24" s="11">
        <v>1178</v>
      </c>
      <c r="N24" s="11">
        <v>662</v>
      </c>
      <c r="O24" s="11">
        <v>0</v>
      </c>
      <c r="P24" s="11">
        <v>0</v>
      </c>
      <c r="Q24" s="11">
        <v>0</v>
      </c>
      <c r="R24" s="11">
        <v>0</v>
      </c>
      <c r="S24" s="12">
        <v>5114</v>
      </c>
    </row>
    <row r="25" spans="1:19" ht="17.5" thickBot="1" x14ac:dyDescent="0.65">
      <c r="A25" s="10" t="s">
        <v>32</v>
      </c>
      <c r="B25" s="9" t="s">
        <v>66</v>
      </c>
      <c r="C25" s="9" t="s">
        <v>77</v>
      </c>
      <c r="D25" s="9" t="s">
        <v>78</v>
      </c>
      <c r="E25" s="10" t="s">
        <v>694</v>
      </c>
      <c r="F25" s="10" t="s">
        <v>25</v>
      </c>
      <c r="G25" s="11">
        <v>5547</v>
      </c>
      <c r="H25" s="11">
        <v>5092</v>
      </c>
      <c r="I25" s="11">
        <v>6312</v>
      </c>
      <c r="J25" s="11">
        <v>4319</v>
      </c>
      <c r="K25" s="11">
        <v>4355</v>
      </c>
      <c r="L25" s="11">
        <v>4767</v>
      </c>
      <c r="M25" s="11">
        <v>4278</v>
      </c>
      <c r="N25" s="11">
        <v>3177</v>
      </c>
      <c r="O25" s="11">
        <v>0</v>
      </c>
      <c r="P25" s="11">
        <v>0</v>
      </c>
      <c r="Q25" s="11">
        <v>0</v>
      </c>
      <c r="R25" s="11">
        <v>0</v>
      </c>
      <c r="S25" s="12">
        <v>37847</v>
      </c>
    </row>
    <row r="26" spans="1:19" ht="17.5" thickBot="1" x14ac:dyDescent="0.65">
      <c r="A26" s="10" t="s">
        <v>32</v>
      </c>
      <c r="B26" s="9" t="s">
        <v>66</v>
      </c>
      <c r="C26" s="9" t="s">
        <v>79</v>
      </c>
      <c r="D26" s="9" t="s">
        <v>80</v>
      </c>
      <c r="E26" s="10" t="s">
        <v>694</v>
      </c>
      <c r="F26" s="10" t="s">
        <v>25</v>
      </c>
      <c r="G26" s="11">
        <v>2099</v>
      </c>
      <c r="H26" s="11">
        <v>2826</v>
      </c>
      <c r="I26" s="11">
        <v>2235</v>
      </c>
      <c r="J26" s="11">
        <v>3431</v>
      </c>
      <c r="K26" s="11">
        <v>4020</v>
      </c>
      <c r="L26" s="11">
        <v>1600</v>
      </c>
      <c r="M26" s="11">
        <v>2684</v>
      </c>
      <c r="N26" s="11">
        <v>5554</v>
      </c>
      <c r="O26" s="11">
        <v>0</v>
      </c>
      <c r="P26" s="11">
        <v>0</v>
      </c>
      <c r="Q26" s="11">
        <v>0</v>
      </c>
      <c r="R26" s="11">
        <v>0</v>
      </c>
      <c r="S26" s="12">
        <v>24449</v>
      </c>
    </row>
    <row r="27" spans="1:19" ht="17.5" thickBot="1" x14ac:dyDescent="0.65">
      <c r="A27" s="10" t="s">
        <v>32</v>
      </c>
      <c r="B27" s="9" t="s">
        <v>66</v>
      </c>
      <c r="C27" s="9" t="s">
        <v>81</v>
      </c>
      <c r="D27" s="9" t="s">
        <v>82</v>
      </c>
      <c r="E27" s="10" t="s">
        <v>694</v>
      </c>
      <c r="F27" s="10" t="s">
        <v>25</v>
      </c>
      <c r="G27" s="11">
        <v>1631</v>
      </c>
      <c r="H27" s="11">
        <v>2026</v>
      </c>
      <c r="I27" s="11">
        <v>3315</v>
      </c>
      <c r="J27" s="11">
        <v>2881</v>
      </c>
      <c r="K27" s="11">
        <v>2702</v>
      </c>
      <c r="L27" s="11">
        <v>2841</v>
      </c>
      <c r="M27" s="11">
        <v>2880</v>
      </c>
      <c r="N27" s="11">
        <v>3953</v>
      </c>
      <c r="O27" s="11">
        <v>0</v>
      </c>
      <c r="P27" s="11">
        <v>0</v>
      </c>
      <c r="Q27" s="11">
        <v>0</v>
      </c>
      <c r="R27" s="11">
        <v>0</v>
      </c>
      <c r="S27" s="12">
        <v>22229</v>
      </c>
    </row>
    <row r="28" spans="1:19" ht="17.5" thickBot="1" x14ac:dyDescent="0.65">
      <c r="A28" s="10" t="s">
        <v>32</v>
      </c>
      <c r="B28" s="9" t="s">
        <v>66</v>
      </c>
      <c r="C28" s="9" t="s">
        <v>83</v>
      </c>
      <c r="D28" s="9" t="s">
        <v>84</v>
      </c>
      <c r="E28" s="10" t="s">
        <v>694</v>
      </c>
      <c r="F28" s="10" t="s">
        <v>25</v>
      </c>
      <c r="G28" s="11">
        <v>4551</v>
      </c>
      <c r="H28" s="11">
        <v>5910</v>
      </c>
      <c r="I28" s="11">
        <v>8498</v>
      </c>
      <c r="J28" s="11">
        <v>6435</v>
      </c>
      <c r="K28" s="11">
        <v>5214</v>
      </c>
      <c r="L28" s="11">
        <v>4157</v>
      </c>
      <c r="M28" s="11">
        <v>4580</v>
      </c>
      <c r="N28" s="11">
        <v>5239</v>
      </c>
      <c r="O28" s="11">
        <v>0</v>
      </c>
      <c r="P28" s="11">
        <v>0</v>
      </c>
      <c r="Q28" s="11">
        <v>0</v>
      </c>
      <c r="R28" s="11">
        <v>0</v>
      </c>
      <c r="S28" s="12">
        <v>44584</v>
      </c>
    </row>
    <row r="29" spans="1:19" ht="17.5" thickBot="1" x14ac:dyDescent="0.65">
      <c r="A29" s="10" t="s">
        <v>32</v>
      </c>
      <c r="B29" s="9" t="s">
        <v>85</v>
      </c>
      <c r="C29" s="9" t="s">
        <v>86</v>
      </c>
      <c r="D29" s="9" t="s">
        <v>87</v>
      </c>
      <c r="E29" s="10" t="s">
        <v>694</v>
      </c>
      <c r="F29" s="10" t="s">
        <v>21</v>
      </c>
      <c r="G29" s="11">
        <v>4082</v>
      </c>
      <c r="H29" s="11">
        <v>3264</v>
      </c>
      <c r="I29" s="11">
        <v>3610</v>
      </c>
      <c r="J29" s="11">
        <v>2164</v>
      </c>
      <c r="K29" s="11">
        <v>1872</v>
      </c>
      <c r="L29" s="11">
        <v>3775</v>
      </c>
      <c r="M29" s="11">
        <v>3196</v>
      </c>
      <c r="N29" s="11">
        <v>3244</v>
      </c>
      <c r="O29" s="11">
        <v>0</v>
      </c>
      <c r="P29" s="11">
        <v>0</v>
      </c>
      <c r="Q29" s="11">
        <v>0</v>
      </c>
      <c r="R29" s="11">
        <v>0</v>
      </c>
      <c r="S29" s="12">
        <v>25207</v>
      </c>
    </row>
    <row r="30" spans="1:19" ht="17.5" thickBot="1" x14ac:dyDescent="0.65">
      <c r="A30" s="10" t="s">
        <v>32</v>
      </c>
      <c r="B30" s="9" t="s">
        <v>85</v>
      </c>
      <c r="C30" s="9" t="s">
        <v>88</v>
      </c>
      <c r="D30" s="9" t="s">
        <v>89</v>
      </c>
      <c r="E30" s="10" t="s">
        <v>694</v>
      </c>
      <c r="F30" s="10" t="s">
        <v>21</v>
      </c>
      <c r="G30" s="11">
        <v>3588</v>
      </c>
      <c r="H30" s="11">
        <v>2943</v>
      </c>
      <c r="I30" s="11">
        <v>3083</v>
      </c>
      <c r="J30" s="11">
        <v>1834</v>
      </c>
      <c r="K30" s="11">
        <v>2743</v>
      </c>
      <c r="L30" s="11">
        <v>1739</v>
      </c>
      <c r="M30" s="11">
        <v>1825</v>
      </c>
      <c r="N30" s="11">
        <v>2703</v>
      </c>
      <c r="O30" s="11">
        <v>0</v>
      </c>
      <c r="P30" s="11">
        <v>0</v>
      </c>
      <c r="Q30" s="11">
        <v>0</v>
      </c>
      <c r="R30" s="11">
        <v>0</v>
      </c>
      <c r="S30" s="12">
        <v>20458</v>
      </c>
    </row>
    <row r="31" spans="1:19" ht="17.5" thickBot="1" x14ac:dyDescent="0.65">
      <c r="A31" s="10" t="s">
        <v>32</v>
      </c>
      <c r="B31" s="9" t="s">
        <v>90</v>
      </c>
      <c r="C31" s="9" t="s">
        <v>91</v>
      </c>
      <c r="D31" s="9" t="s">
        <v>92</v>
      </c>
      <c r="E31" s="10" t="s">
        <v>694</v>
      </c>
      <c r="F31" s="10" t="s">
        <v>25</v>
      </c>
      <c r="G31" s="11">
        <v>1989</v>
      </c>
      <c r="H31" s="11">
        <v>1946</v>
      </c>
      <c r="I31" s="11">
        <v>1832</v>
      </c>
      <c r="J31" s="11">
        <v>2455</v>
      </c>
      <c r="K31" s="11">
        <v>2420</v>
      </c>
      <c r="L31" s="11">
        <v>1506</v>
      </c>
      <c r="M31" s="11">
        <v>1752</v>
      </c>
      <c r="N31" s="11">
        <v>2211</v>
      </c>
      <c r="O31" s="11">
        <v>0</v>
      </c>
      <c r="P31" s="11">
        <v>0</v>
      </c>
      <c r="Q31" s="11">
        <v>0</v>
      </c>
      <c r="R31" s="11">
        <v>0</v>
      </c>
      <c r="S31" s="12">
        <v>16111</v>
      </c>
    </row>
    <row r="32" spans="1:19" ht="17.5" thickBot="1" x14ac:dyDescent="0.65">
      <c r="A32" s="10" t="s">
        <v>32</v>
      </c>
      <c r="B32" s="9" t="s">
        <v>93</v>
      </c>
      <c r="C32" s="9" t="s">
        <v>94</v>
      </c>
      <c r="D32" s="9" t="s">
        <v>95</v>
      </c>
      <c r="E32" s="10" t="s">
        <v>694</v>
      </c>
      <c r="F32" s="10" t="s">
        <v>25</v>
      </c>
      <c r="G32" s="11">
        <v>3547</v>
      </c>
      <c r="H32" s="11">
        <v>3167</v>
      </c>
      <c r="I32" s="11">
        <v>3085</v>
      </c>
      <c r="J32" s="11">
        <v>3179</v>
      </c>
      <c r="K32" s="11">
        <v>3177</v>
      </c>
      <c r="L32" s="11">
        <v>2743</v>
      </c>
      <c r="M32" s="11">
        <v>2995</v>
      </c>
      <c r="N32" s="11">
        <v>2562</v>
      </c>
      <c r="O32" s="11">
        <v>0</v>
      </c>
      <c r="P32" s="11">
        <v>0</v>
      </c>
      <c r="Q32" s="11">
        <v>0</v>
      </c>
      <c r="R32" s="11">
        <v>0</v>
      </c>
      <c r="S32" s="12">
        <v>24455</v>
      </c>
    </row>
    <row r="33" spans="1:19" ht="17.5" thickBot="1" x14ac:dyDescent="0.65">
      <c r="A33" s="10" t="s">
        <v>32</v>
      </c>
      <c r="B33" s="9" t="s">
        <v>96</v>
      </c>
      <c r="C33" s="9" t="s">
        <v>97</v>
      </c>
      <c r="D33" s="9" t="s">
        <v>98</v>
      </c>
      <c r="E33" s="10" t="s">
        <v>694</v>
      </c>
      <c r="F33" s="10" t="s">
        <v>25</v>
      </c>
      <c r="G33" s="11">
        <v>3222</v>
      </c>
      <c r="H33" s="11">
        <v>1416</v>
      </c>
      <c r="I33" s="11">
        <v>2548</v>
      </c>
      <c r="J33" s="11">
        <v>1235</v>
      </c>
      <c r="K33" s="11">
        <v>1639</v>
      </c>
      <c r="L33" s="11">
        <v>1636</v>
      </c>
      <c r="M33" s="11">
        <v>2917</v>
      </c>
      <c r="N33" s="11">
        <v>3737</v>
      </c>
      <c r="O33" s="11">
        <v>0</v>
      </c>
      <c r="P33" s="11">
        <v>0</v>
      </c>
      <c r="Q33" s="11">
        <v>0</v>
      </c>
      <c r="R33" s="11">
        <v>0</v>
      </c>
      <c r="S33" s="12">
        <v>18350</v>
      </c>
    </row>
    <row r="34" spans="1:19" ht="17.5" thickBot="1" x14ac:dyDescent="0.65">
      <c r="A34" s="10" t="s">
        <v>32</v>
      </c>
      <c r="B34" s="9" t="s">
        <v>96</v>
      </c>
      <c r="C34" s="9" t="s">
        <v>99</v>
      </c>
      <c r="D34" s="9" t="s">
        <v>100</v>
      </c>
      <c r="E34" s="10" t="s">
        <v>694</v>
      </c>
      <c r="F34" s="10" t="s">
        <v>25</v>
      </c>
      <c r="G34" s="11">
        <v>1653</v>
      </c>
      <c r="H34" s="11">
        <v>1975</v>
      </c>
      <c r="I34" s="11">
        <v>3065</v>
      </c>
      <c r="J34" s="11">
        <v>1427</v>
      </c>
      <c r="K34" s="11">
        <v>1176</v>
      </c>
      <c r="L34" s="11">
        <v>1808</v>
      </c>
      <c r="M34" s="11">
        <v>1655</v>
      </c>
      <c r="N34" s="11">
        <v>1866</v>
      </c>
      <c r="O34" s="11">
        <v>0</v>
      </c>
      <c r="P34" s="11">
        <v>0</v>
      </c>
      <c r="Q34" s="11">
        <v>0</v>
      </c>
      <c r="R34" s="11">
        <v>0</v>
      </c>
      <c r="S34" s="12">
        <v>14625</v>
      </c>
    </row>
    <row r="35" spans="1:19" ht="17.5" thickBot="1" x14ac:dyDescent="0.65">
      <c r="A35" s="10" t="s">
        <v>32</v>
      </c>
      <c r="B35" s="9" t="s">
        <v>101</v>
      </c>
      <c r="C35" s="9" t="s">
        <v>102</v>
      </c>
      <c r="D35" s="9" t="s">
        <v>103</v>
      </c>
      <c r="E35" s="10" t="s">
        <v>694</v>
      </c>
      <c r="F35" s="10" t="s">
        <v>104</v>
      </c>
      <c r="G35" s="11">
        <v>2819</v>
      </c>
      <c r="H35" s="11">
        <v>2279</v>
      </c>
      <c r="I35" s="11">
        <v>3744</v>
      </c>
      <c r="J35" s="11">
        <v>888</v>
      </c>
      <c r="K35" s="11">
        <v>1027</v>
      </c>
      <c r="L35" s="11">
        <v>1300</v>
      </c>
      <c r="M35" s="11">
        <v>1799</v>
      </c>
      <c r="N35" s="11">
        <v>983</v>
      </c>
      <c r="O35" s="11">
        <v>0</v>
      </c>
      <c r="P35" s="11">
        <v>0</v>
      </c>
      <c r="Q35" s="11">
        <v>0</v>
      </c>
      <c r="R35" s="11">
        <v>0</v>
      </c>
      <c r="S35" s="12">
        <v>14839</v>
      </c>
    </row>
    <row r="36" spans="1:19" ht="17.5" thickBot="1" x14ac:dyDescent="0.65">
      <c r="A36" s="10" t="s">
        <v>32</v>
      </c>
      <c r="B36" s="9" t="s">
        <v>105</v>
      </c>
      <c r="C36" s="9" t="s">
        <v>106</v>
      </c>
      <c r="D36" s="9" t="s">
        <v>107</v>
      </c>
      <c r="E36" s="10" t="s">
        <v>694</v>
      </c>
      <c r="F36" s="10" t="s">
        <v>104</v>
      </c>
      <c r="G36" s="11">
        <v>97</v>
      </c>
      <c r="H36" s="11">
        <v>316</v>
      </c>
      <c r="I36" s="11">
        <v>302</v>
      </c>
      <c r="J36" s="11">
        <v>123</v>
      </c>
      <c r="K36" s="11">
        <v>268</v>
      </c>
      <c r="L36" s="11">
        <v>345</v>
      </c>
      <c r="M36" s="11">
        <v>309</v>
      </c>
      <c r="N36" s="11">
        <v>621</v>
      </c>
      <c r="O36" s="11">
        <v>0</v>
      </c>
      <c r="P36" s="11">
        <v>0</v>
      </c>
      <c r="Q36" s="11">
        <v>0</v>
      </c>
      <c r="R36" s="11">
        <v>0</v>
      </c>
      <c r="S36" s="12">
        <v>2381</v>
      </c>
    </row>
    <row r="37" spans="1:19" ht="17.5" thickBot="1" x14ac:dyDescent="0.65">
      <c r="A37" s="10" t="s">
        <v>32</v>
      </c>
      <c r="B37" s="9" t="s">
        <v>108</v>
      </c>
      <c r="C37" s="9" t="s">
        <v>109</v>
      </c>
      <c r="D37" s="9" t="s">
        <v>110</v>
      </c>
      <c r="E37" s="10" t="s">
        <v>695</v>
      </c>
      <c r="F37" s="10" t="s">
        <v>21</v>
      </c>
      <c r="G37" s="11">
        <v>2315</v>
      </c>
      <c r="H37" s="11">
        <v>2120</v>
      </c>
      <c r="I37" s="11">
        <v>3378</v>
      </c>
      <c r="J37" s="11">
        <v>2045</v>
      </c>
      <c r="K37" s="11">
        <v>2083</v>
      </c>
      <c r="L37" s="11">
        <v>2708</v>
      </c>
      <c r="M37" s="11">
        <v>3537</v>
      </c>
      <c r="N37" s="11">
        <v>3448</v>
      </c>
      <c r="O37" s="11">
        <v>0</v>
      </c>
      <c r="P37" s="11">
        <v>0</v>
      </c>
      <c r="Q37" s="11">
        <v>0</v>
      </c>
      <c r="R37" s="11">
        <v>0</v>
      </c>
      <c r="S37" s="12">
        <v>21634</v>
      </c>
    </row>
    <row r="38" spans="1:19" ht="17.5" thickBot="1" x14ac:dyDescent="0.65">
      <c r="A38" s="10" t="s">
        <v>32</v>
      </c>
      <c r="B38" s="9" t="s">
        <v>111</v>
      </c>
      <c r="C38" s="9" t="s">
        <v>112</v>
      </c>
      <c r="D38" s="9" t="s">
        <v>721</v>
      </c>
      <c r="E38" s="10" t="s">
        <v>695</v>
      </c>
      <c r="F38" s="10" t="s">
        <v>21</v>
      </c>
      <c r="G38" s="11">
        <v>7458</v>
      </c>
      <c r="H38" s="11">
        <v>7447</v>
      </c>
      <c r="I38" s="11">
        <v>9786</v>
      </c>
      <c r="J38" s="11">
        <v>9199</v>
      </c>
      <c r="K38" s="11">
        <v>8025</v>
      </c>
      <c r="L38" s="11">
        <v>8019</v>
      </c>
      <c r="M38" s="11">
        <v>8840</v>
      </c>
      <c r="N38" s="11">
        <v>6451</v>
      </c>
      <c r="O38" s="11">
        <v>0</v>
      </c>
      <c r="P38" s="11">
        <v>0</v>
      </c>
      <c r="Q38" s="11">
        <v>0</v>
      </c>
      <c r="R38" s="11">
        <v>0</v>
      </c>
      <c r="S38" s="12">
        <v>65225</v>
      </c>
    </row>
    <row r="39" spans="1:19" ht="17.5" thickBot="1" x14ac:dyDescent="0.65">
      <c r="A39" s="10" t="s">
        <v>32</v>
      </c>
      <c r="B39" s="9" t="s">
        <v>111</v>
      </c>
      <c r="C39" s="9" t="s">
        <v>113</v>
      </c>
      <c r="D39" s="9" t="s">
        <v>778</v>
      </c>
      <c r="E39" s="10" t="s">
        <v>695</v>
      </c>
      <c r="F39" s="10" t="s">
        <v>21</v>
      </c>
      <c r="G39" s="11">
        <v>8335</v>
      </c>
      <c r="H39" s="11">
        <v>8551</v>
      </c>
      <c r="I39" s="11">
        <v>9761</v>
      </c>
      <c r="J39" s="11">
        <v>9133</v>
      </c>
      <c r="K39" s="11">
        <v>7847</v>
      </c>
      <c r="L39" s="11">
        <v>8266</v>
      </c>
      <c r="M39" s="11">
        <v>8245</v>
      </c>
      <c r="N39" s="11">
        <v>6476</v>
      </c>
      <c r="O39" s="11">
        <v>0</v>
      </c>
      <c r="P39" s="11">
        <v>0</v>
      </c>
      <c r="Q39" s="11">
        <v>0</v>
      </c>
      <c r="R39" s="11">
        <v>0</v>
      </c>
      <c r="S39" s="12">
        <v>66614</v>
      </c>
    </row>
    <row r="40" spans="1:19" ht="17.5" thickBot="1" x14ac:dyDescent="0.65">
      <c r="A40" s="10" t="s">
        <v>32</v>
      </c>
      <c r="B40" s="9" t="s">
        <v>114</v>
      </c>
      <c r="C40" s="9" t="s">
        <v>115</v>
      </c>
      <c r="D40" s="9" t="s">
        <v>116</v>
      </c>
      <c r="E40" s="10" t="s">
        <v>694</v>
      </c>
      <c r="F40" s="10" t="s">
        <v>25</v>
      </c>
      <c r="G40" s="11">
        <v>448</v>
      </c>
      <c r="H40" s="11">
        <v>501</v>
      </c>
      <c r="I40" s="11">
        <v>2208</v>
      </c>
      <c r="J40" s="11">
        <v>1291</v>
      </c>
      <c r="K40" s="11">
        <v>1372</v>
      </c>
      <c r="L40" s="11">
        <v>2101</v>
      </c>
      <c r="M40" s="11">
        <v>1107</v>
      </c>
      <c r="N40" s="11">
        <v>1009</v>
      </c>
      <c r="O40" s="11">
        <v>0</v>
      </c>
      <c r="P40" s="11">
        <v>0</v>
      </c>
      <c r="Q40" s="11">
        <v>0</v>
      </c>
      <c r="R40" s="11">
        <v>0</v>
      </c>
      <c r="S40" s="12">
        <v>10037</v>
      </c>
    </row>
    <row r="41" spans="1:19" ht="17.5" thickBot="1" x14ac:dyDescent="0.65">
      <c r="A41" s="10" t="s">
        <v>32</v>
      </c>
      <c r="B41" s="9" t="s">
        <v>117</v>
      </c>
      <c r="C41" s="9" t="s">
        <v>118</v>
      </c>
      <c r="D41" s="9" t="s">
        <v>724</v>
      </c>
      <c r="E41" s="10" t="s">
        <v>695</v>
      </c>
      <c r="F41" s="10" t="s">
        <v>104</v>
      </c>
      <c r="G41" s="11">
        <v>3283</v>
      </c>
      <c r="H41" s="11">
        <v>2684</v>
      </c>
      <c r="I41" s="11">
        <v>3331</v>
      </c>
      <c r="J41" s="11">
        <v>2701</v>
      </c>
      <c r="K41" s="11">
        <v>2300</v>
      </c>
      <c r="L41" s="11">
        <v>1725</v>
      </c>
      <c r="M41" s="11">
        <v>1814</v>
      </c>
      <c r="N41" s="11">
        <v>2352</v>
      </c>
      <c r="O41" s="11">
        <v>0</v>
      </c>
      <c r="P41" s="11">
        <v>0</v>
      </c>
      <c r="Q41" s="11">
        <v>0</v>
      </c>
      <c r="R41" s="11">
        <v>0</v>
      </c>
      <c r="S41" s="12">
        <v>20190</v>
      </c>
    </row>
    <row r="42" spans="1:19" ht="17.5" thickBot="1" x14ac:dyDescent="0.65">
      <c r="A42" s="10" t="s">
        <v>32</v>
      </c>
      <c r="B42" s="9" t="s">
        <v>119</v>
      </c>
      <c r="C42" s="9" t="s">
        <v>120</v>
      </c>
      <c r="D42" s="9" t="s">
        <v>722</v>
      </c>
      <c r="E42" s="10" t="s">
        <v>695</v>
      </c>
      <c r="F42" s="10" t="s">
        <v>28</v>
      </c>
      <c r="G42" s="11">
        <v>954</v>
      </c>
      <c r="H42" s="11">
        <v>524</v>
      </c>
      <c r="I42" s="11">
        <v>2541</v>
      </c>
      <c r="J42" s="11">
        <v>2024</v>
      </c>
      <c r="K42" s="11">
        <v>309</v>
      </c>
      <c r="L42" s="11">
        <v>0</v>
      </c>
      <c r="M42" s="11">
        <v>0</v>
      </c>
      <c r="N42" s="11">
        <v>25</v>
      </c>
      <c r="O42" s="11">
        <v>0</v>
      </c>
      <c r="P42" s="11">
        <v>0</v>
      </c>
      <c r="Q42" s="11">
        <v>0</v>
      </c>
      <c r="R42" s="11">
        <v>0</v>
      </c>
      <c r="S42" s="12">
        <v>6377</v>
      </c>
    </row>
    <row r="43" spans="1:19" ht="17.5" thickBot="1" x14ac:dyDescent="0.65">
      <c r="A43" s="10" t="s">
        <v>32</v>
      </c>
      <c r="B43" s="9" t="s">
        <v>121</v>
      </c>
      <c r="C43" s="9" t="s">
        <v>122</v>
      </c>
      <c r="D43" s="9" t="s">
        <v>723</v>
      </c>
      <c r="E43" s="10" t="s">
        <v>695</v>
      </c>
      <c r="F43" s="10" t="s">
        <v>28</v>
      </c>
      <c r="G43" s="11">
        <v>7271</v>
      </c>
      <c r="H43" s="11">
        <v>8549</v>
      </c>
      <c r="I43" s="11">
        <v>10422</v>
      </c>
      <c r="J43" s="11">
        <v>9418</v>
      </c>
      <c r="K43" s="11">
        <v>9986</v>
      </c>
      <c r="L43" s="11">
        <v>4034</v>
      </c>
      <c r="M43" s="11">
        <v>409</v>
      </c>
      <c r="N43" s="11">
        <v>2002</v>
      </c>
      <c r="O43" s="11">
        <v>0</v>
      </c>
      <c r="P43" s="11">
        <v>0</v>
      </c>
      <c r="Q43" s="11">
        <v>0</v>
      </c>
      <c r="R43" s="11">
        <v>0</v>
      </c>
      <c r="S43" s="12">
        <v>52091</v>
      </c>
    </row>
    <row r="44" spans="1:19" ht="17.5" thickBot="1" x14ac:dyDescent="0.65">
      <c r="A44" s="10" t="s">
        <v>32</v>
      </c>
      <c r="B44" s="9" t="s">
        <v>123</v>
      </c>
      <c r="C44" s="9" t="s">
        <v>124</v>
      </c>
      <c r="D44" s="9" t="s">
        <v>125</v>
      </c>
      <c r="E44" s="10" t="s">
        <v>694</v>
      </c>
      <c r="F44" s="10" t="s">
        <v>104</v>
      </c>
      <c r="G44" s="11">
        <v>382</v>
      </c>
      <c r="H44" s="11">
        <v>102</v>
      </c>
      <c r="I44" s="11">
        <v>386</v>
      </c>
      <c r="J44" s="11">
        <v>80</v>
      </c>
      <c r="K44" s="11">
        <v>84</v>
      </c>
      <c r="L44" s="11">
        <v>70</v>
      </c>
      <c r="M44" s="11">
        <v>98</v>
      </c>
      <c r="N44" s="11">
        <v>48</v>
      </c>
      <c r="O44" s="11">
        <v>0</v>
      </c>
      <c r="P44" s="11">
        <v>0</v>
      </c>
      <c r="Q44" s="11">
        <v>0</v>
      </c>
      <c r="R44" s="11">
        <v>0</v>
      </c>
      <c r="S44" s="12">
        <v>1250</v>
      </c>
    </row>
    <row r="45" spans="1:19" ht="17.5" thickBot="1" x14ac:dyDescent="0.65">
      <c r="A45" s="10" t="s">
        <v>32</v>
      </c>
      <c r="B45" s="9" t="s">
        <v>126</v>
      </c>
      <c r="C45" s="9" t="s">
        <v>127</v>
      </c>
      <c r="D45" s="9" t="s">
        <v>128</v>
      </c>
      <c r="E45" s="10" t="s">
        <v>694</v>
      </c>
      <c r="F45" s="10" t="s">
        <v>21</v>
      </c>
      <c r="G45" s="11">
        <v>554</v>
      </c>
      <c r="H45" s="11">
        <v>313</v>
      </c>
      <c r="I45" s="11">
        <v>1485</v>
      </c>
      <c r="J45" s="11">
        <v>1239</v>
      </c>
      <c r="K45" s="11">
        <v>363</v>
      </c>
      <c r="L45" s="11">
        <v>161</v>
      </c>
      <c r="M45" s="11">
        <v>268</v>
      </c>
      <c r="N45" s="11">
        <v>389</v>
      </c>
      <c r="O45" s="11">
        <v>0</v>
      </c>
      <c r="P45" s="11">
        <v>0</v>
      </c>
      <c r="Q45" s="11">
        <v>0</v>
      </c>
      <c r="R45" s="11">
        <v>0</v>
      </c>
      <c r="S45" s="12">
        <v>4772</v>
      </c>
    </row>
    <row r="46" spans="1:19" ht="17.5" thickBot="1" x14ac:dyDescent="0.65">
      <c r="A46" s="10" t="s">
        <v>129</v>
      </c>
      <c r="B46" s="9" t="s">
        <v>126</v>
      </c>
      <c r="C46" s="9" t="s">
        <v>130</v>
      </c>
      <c r="D46" s="9" t="s">
        <v>131</v>
      </c>
      <c r="E46" s="10" t="s">
        <v>694</v>
      </c>
      <c r="F46" s="10" t="s">
        <v>21</v>
      </c>
      <c r="G46" s="11">
        <v>771</v>
      </c>
      <c r="H46" s="11">
        <v>1988</v>
      </c>
      <c r="I46" s="11">
        <v>1314</v>
      </c>
      <c r="J46" s="11">
        <v>814</v>
      </c>
      <c r="K46" s="11">
        <v>1562</v>
      </c>
      <c r="L46" s="11">
        <v>4430</v>
      </c>
      <c r="M46" s="11">
        <v>3065</v>
      </c>
      <c r="N46" s="11">
        <v>2259</v>
      </c>
      <c r="O46" s="11">
        <v>0</v>
      </c>
      <c r="P46" s="11">
        <v>0</v>
      </c>
      <c r="Q46" s="11">
        <v>0</v>
      </c>
      <c r="R46" s="11">
        <v>0</v>
      </c>
      <c r="S46" s="12">
        <v>16203</v>
      </c>
    </row>
    <row r="47" spans="1:19" ht="17.5" thickBot="1" x14ac:dyDescent="0.65">
      <c r="A47" s="10" t="s">
        <v>129</v>
      </c>
      <c r="B47" s="9" t="s">
        <v>132</v>
      </c>
      <c r="C47" s="9" t="s">
        <v>133</v>
      </c>
      <c r="D47" s="9" t="s">
        <v>134</v>
      </c>
      <c r="E47" s="10" t="s">
        <v>694</v>
      </c>
      <c r="F47" s="10" t="s">
        <v>25</v>
      </c>
      <c r="G47" s="11">
        <v>746</v>
      </c>
      <c r="H47" s="11">
        <v>617</v>
      </c>
      <c r="I47" s="11">
        <v>877</v>
      </c>
      <c r="J47" s="11">
        <v>687</v>
      </c>
      <c r="K47" s="11">
        <v>616</v>
      </c>
      <c r="L47" s="11">
        <v>683</v>
      </c>
      <c r="M47" s="11">
        <v>1041</v>
      </c>
      <c r="N47" s="11">
        <v>962</v>
      </c>
      <c r="O47" s="11">
        <v>0</v>
      </c>
      <c r="P47" s="11">
        <v>0</v>
      </c>
      <c r="Q47" s="11">
        <v>0</v>
      </c>
      <c r="R47" s="11">
        <v>0</v>
      </c>
      <c r="S47" s="12">
        <v>6229</v>
      </c>
    </row>
    <row r="48" spans="1:19" ht="17.5" thickBot="1" x14ac:dyDescent="0.65">
      <c r="A48" s="10" t="s">
        <v>129</v>
      </c>
      <c r="B48" s="9" t="s">
        <v>135</v>
      </c>
      <c r="C48" s="9" t="s">
        <v>136</v>
      </c>
      <c r="D48" s="9" t="s">
        <v>137</v>
      </c>
      <c r="E48" s="10" t="s">
        <v>694</v>
      </c>
      <c r="F48" s="10" t="s">
        <v>104</v>
      </c>
      <c r="G48" s="11">
        <v>1798</v>
      </c>
      <c r="H48" s="11">
        <v>1262</v>
      </c>
      <c r="I48" s="11">
        <v>1233</v>
      </c>
      <c r="J48" s="11">
        <v>798</v>
      </c>
      <c r="K48" s="11">
        <v>1053</v>
      </c>
      <c r="L48" s="11">
        <v>1383</v>
      </c>
      <c r="M48" s="11">
        <v>1177</v>
      </c>
      <c r="N48" s="11">
        <v>1210</v>
      </c>
      <c r="O48" s="11">
        <v>0</v>
      </c>
      <c r="P48" s="11">
        <v>0</v>
      </c>
      <c r="Q48" s="11">
        <v>0</v>
      </c>
      <c r="R48" s="11">
        <v>0</v>
      </c>
      <c r="S48" s="12">
        <v>9914</v>
      </c>
    </row>
    <row r="49" spans="1:19" ht="17.5" thickBot="1" x14ac:dyDescent="0.65">
      <c r="A49" s="10" t="s">
        <v>129</v>
      </c>
      <c r="B49" s="9" t="s">
        <v>135</v>
      </c>
      <c r="C49" s="9" t="s">
        <v>138</v>
      </c>
      <c r="D49" s="9" t="s">
        <v>139</v>
      </c>
      <c r="E49" s="10" t="s">
        <v>694</v>
      </c>
      <c r="F49" s="10" t="s">
        <v>104</v>
      </c>
      <c r="G49" s="11">
        <v>564</v>
      </c>
      <c r="H49" s="11">
        <v>477</v>
      </c>
      <c r="I49" s="11">
        <v>468</v>
      </c>
      <c r="J49" s="11">
        <v>533</v>
      </c>
      <c r="K49" s="11">
        <v>249</v>
      </c>
      <c r="L49" s="11">
        <v>239</v>
      </c>
      <c r="M49" s="11">
        <v>204</v>
      </c>
      <c r="N49" s="11">
        <v>343</v>
      </c>
      <c r="O49" s="11">
        <v>0</v>
      </c>
      <c r="P49" s="11">
        <v>0</v>
      </c>
      <c r="Q49" s="11">
        <v>0</v>
      </c>
      <c r="R49" s="11">
        <v>0</v>
      </c>
      <c r="S49" s="12">
        <v>3077</v>
      </c>
    </row>
    <row r="50" spans="1:19" ht="17.5" thickBot="1" x14ac:dyDescent="0.65">
      <c r="A50" s="10" t="s">
        <v>129</v>
      </c>
      <c r="B50" s="9" t="s">
        <v>135</v>
      </c>
      <c r="C50" s="9" t="s">
        <v>140</v>
      </c>
      <c r="D50" s="9" t="s">
        <v>141</v>
      </c>
      <c r="E50" s="10" t="s">
        <v>694</v>
      </c>
      <c r="F50" s="10" t="s">
        <v>104</v>
      </c>
      <c r="G50" s="11">
        <v>935</v>
      </c>
      <c r="H50" s="11">
        <v>1148</v>
      </c>
      <c r="I50" s="11">
        <v>1202</v>
      </c>
      <c r="J50" s="11">
        <v>862</v>
      </c>
      <c r="K50" s="11">
        <v>803</v>
      </c>
      <c r="L50" s="11">
        <v>825</v>
      </c>
      <c r="M50" s="11">
        <v>307</v>
      </c>
      <c r="N50" s="11">
        <v>291</v>
      </c>
      <c r="O50" s="11">
        <v>0</v>
      </c>
      <c r="P50" s="11">
        <v>0</v>
      </c>
      <c r="Q50" s="11">
        <v>0</v>
      </c>
      <c r="R50" s="11">
        <v>0</v>
      </c>
      <c r="S50" s="12">
        <v>6373</v>
      </c>
    </row>
    <row r="51" spans="1:19" ht="17.5" thickBot="1" x14ac:dyDescent="0.65">
      <c r="A51" s="10" t="s">
        <v>129</v>
      </c>
      <c r="B51" s="9" t="s">
        <v>142</v>
      </c>
      <c r="C51" s="9" t="s">
        <v>143</v>
      </c>
      <c r="D51" s="9" t="s">
        <v>144</v>
      </c>
      <c r="E51" s="10" t="s">
        <v>694</v>
      </c>
      <c r="F51" s="10" t="s">
        <v>21</v>
      </c>
      <c r="G51" s="11">
        <v>62</v>
      </c>
      <c r="H51" s="11">
        <v>0</v>
      </c>
      <c r="I51" s="11">
        <v>0</v>
      </c>
      <c r="J51" s="11">
        <v>0</v>
      </c>
      <c r="K51" s="11">
        <v>35</v>
      </c>
      <c r="L51" s="11">
        <v>0</v>
      </c>
      <c r="M51" s="11">
        <v>35</v>
      </c>
      <c r="N51" s="11">
        <v>103</v>
      </c>
      <c r="O51" s="11">
        <v>0</v>
      </c>
      <c r="P51" s="11">
        <v>0</v>
      </c>
      <c r="Q51" s="11">
        <v>0</v>
      </c>
      <c r="R51" s="11">
        <v>0</v>
      </c>
      <c r="S51" s="12">
        <v>235</v>
      </c>
    </row>
    <row r="52" spans="1:19" ht="17.5" thickBot="1" x14ac:dyDescent="0.65">
      <c r="A52" s="10" t="s">
        <v>129</v>
      </c>
      <c r="B52" s="9" t="s">
        <v>142</v>
      </c>
      <c r="C52" s="9" t="s">
        <v>145</v>
      </c>
      <c r="D52" s="9" t="s">
        <v>146</v>
      </c>
      <c r="E52" s="10" t="s">
        <v>694</v>
      </c>
      <c r="F52" s="10" t="s">
        <v>21</v>
      </c>
      <c r="G52" s="11">
        <v>1599</v>
      </c>
      <c r="H52" s="11">
        <v>1397</v>
      </c>
      <c r="I52" s="11">
        <v>1175</v>
      </c>
      <c r="J52" s="11">
        <v>1902</v>
      </c>
      <c r="K52" s="11">
        <v>1586</v>
      </c>
      <c r="L52" s="11">
        <v>1409</v>
      </c>
      <c r="M52" s="11">
        <v>1246</v>
      </c>
      <c r="N52" s="11">
        <v>1595</v>
      </c>
      <c r="O52" s="11">
        <v>0</v>
      </c>
      <c r="P52" s="11">
        <v>0</v>
      </c>
      <c r="Q52" s="11">
        <v>0</v>
      </c>
      <c r="R52" s="11">
        <v>0</v>
      </c>
      <c r="S52" s="12">
        <v>11909</v>
      </c>
    </row>
    <row r="53" spans="1:19" ht="17.5" thickBot="1" x14ac:dyDescent="0.65">
      <c r="A53" s="10" t="s">
        <v>129</v>
      </c>
      <c r="B53" s="9" t="s">
        <v>142</v>
      </c>
      <c r="C53" s="9" t="s">
        <v>147</v>
      </c>
      <c r="D53" s="9" t="s">
        <v>148</v>
      </c>
      <c r="E53" s="10" t="s">
        <v>694</v>
      </c>
      <c r="F53" s="10" t="s">
        <v>21</v>
      </c>
      <c r="G53" s="11">
        <v>1311</v>
      </c>
      <c r="H53" s="11">
        <v>1541</v>
      </c>
      <c r="I53" s="11">
        <v>936</v>
      </c>
      <c r="J53" s="11">
        <v>704</v>
      </c>
      <c r="K53" s="11">
        <v>688</v>
      </c>
      <c r="L53" s="11">
        <v>757</v>
      </c>
      <c r="M53" s="11">
        <v>566</v>
      </c>
      <c r="N53" s="11">
        <v>352</v>
      </c>
      <c r="O53" s="11">
        <v>0</v>
      </c>
      <c r="P53" s="11">
        <v>0</v>
      </c>
      <c r="Q53" s="11">
        <v>0</v>
      </c>
      <c r="R53" s="11">
        <v>0</v>
      </c>
      <c r="S53" s="12">
        <v>6855</v>
      </c>
    </row>
    <row r="54" spans="1:19" ht="17.5" thickBot="1" x14ac:dyDescent="0.65">
      <c r="A54" s="10" t="s">
        <v>129</v>
      </c>
      <c r="B54" s="9" t="s">
        <v>142</v>
      </c>
      <c r="C54" s="9" t="s">
        <v>149</v>
      </c>
      <c r="D54" s="9" t="s">
        <v>150</v>
      </c>
      <c r="E54" s="10" t="s">
        <v>694</v>
      </c>
      <c r="F54" s="10" t="s">
        <v>21</v>
      </c>
      <c r="G54" s="11">
        <v>370</v>
      </c>
      <c r="H54" s="11">
        <v>539</v>
      </c>
      <c r="I54" s="11">
        <v>698</v>
      </c>
      <c r="J54" s="11">
        <v>256</v>
      </c>
      <c r="K54" s="11">
        <v>293</v>
      </c>
      <c r="L54" s="11">
        <v>201</v>
      </c>
      <c r="M54" s="11">
        <v>512</v>
      </c>
      <c r="N54" s="11">
        <v>343</v>
      </c>
      <c r="O54" s="11">
        <v>0</v>
      </c>
      <c r="P54" s="11">
        <v>0</v>
      </c>
      <c r="Q54" s="11">
        <v>0</v>
      </c>
      <c r="R54" s="11">
        <v>0</v>
      </c>
      <c r="S54" s="12">
        <v>3212</v>
      </c>
    </row>
    <row r="55" spans="1:19" ht="17.5" thickBot="1" x14ac:dyDescent="0.65">
      <c r="A55" s="10" t="s">
        <v>129</v>
      </c>
      <c r="B55" s="9" t="s">
        <v>142</v>
      </c>
      <c r="C55" s="9" t="s">
        <v>151</v>
      </c>
      <c r="D55" s="9" t="s">
        <v>152</v>
      </c>
      <c r="E55" s="10" t="s">
        <v>694</v>
      </c>
      <c r="F55" s="10" t="s">
        <v>21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2">
        <v>0</v>
      </c>
    </row>
    <row r="56" spans="1:19" ht="17.5" thickBot="1" x14ac:dyDescent="0.65">
      <c r="A56" s="10" t="s">
        <v>129</v>
      </c>
      <c r="B56" s="9" t="s">
        <v>153</v>
      </c>
      <c r="C56" s="9" t="s">
        <v>154</v>
      </c>
      <c r="D56" s="9" t="s">
        <v>155</v>
      </c>
      <c r="E56" s="10" t="s">
        <v>694</v>
      </c>
      <c r="F56" s="10" t="s">
        <v>104</v>
      </c>
      <c r="G56" s="11">
        <v>2207</v>
      </c>
      <c r="H56" s="11">
        <v>1665</v>
      </c>
      <c r="I56" s="11">
        <v>1454</v>
      </c>
      <c r="J56" s="11">
        <v>1274</v>
      </c>
      <c r="K56" s="11">
        <v>1525</v>
      </c>
      <c r="L56" s="11">
        <v>1094</v>
      </c>
      <c r="M56" s="11">
        <v>1541</v>
      </c>
      <c r="N56" s="11">
        <v>1346</v>
      </c>
      <c r="O56" s="11">
        <v>0</v>
      </c>
      <c r="P56" s="11">
        <v>0</v>
      </c>
      <c r="Q56" s="11">
        <v>0</v>
      </c>
      <c r="R56" s="11">
        <v>0</v>
      </c>
      <c r="S56" s="12">
        <v>12106</v>
      </c>
    </row>
    <row r="57" spans="1:19" ht="17.5" thickBot="1" x14ac:dyDescent="0.65">
      <c r="A57" s="10" t="s">
        <v>129</v>
      </c>
      <c r="B57" s="9" t="s">
        <v>153</v>
      </c>
      <c r="C57" s="9" t="s">
        <v>156</v>
      </c>
      <c r="D57" s="9" t="s">
        <v>720</v>
      </c>
      <c r="E57" s="10" t="s">
        <v>694</v>
      </c>
      <c r="F57" s="10" t="s">
        <v>104</v>
      </c>
      <c r="G57" s="11">
        <v>929</v>
      </c>
      <c r="H57" s="11">
        <v>991</v>
      </c>
      <c r="I57" s="11">
        <v>1574</v>
      </c>
      <c r="J57" s="11">
        <v>852</v>
      </c>
      <c r="K57" s="11">
        <v>724</v>
      </c>
      <c r="L57" s="11">
        <v>1049</v>
      </c>
      <c r="M57" s="11">
        <v>1511</v>
      </c>
      <c r="N57" s="11">
        <v>1391</v>
      </c>
      <c r="O57" s="11">
        <v>0</v>
      </c>
      <c r="P57" s="11">
        <v>0</v>
      </c>
      <c r="Q57" s="11">
        <v>0</v>
      </c>
      <c r="R57" s="11">
        <v>0</v>
      </c>
      <c r="S57" s="12">
        <v>9021</v>
      </c>
    </row>
    <row r="58" spans="1:19" ht="17.5" thickBot="1" x14ac:dyDescent="0.65">
      <c r="A58" s="10" t="s">
        <v>129</v>
      </c>
      <c r="B58" s="9" t="s">
        <v>153</v>
      </c>
      <c r="C58" s="9" t="s">
        <v>157</v>
      </c>
      <c r="D58" s="9" t="s">
        <v>158</v>
      </c>
      <c r="E58" s="10" t="s">
        <v>694</v>
      </c>
      <c r="F58" s="10" t="s">
        <v>104</v>
      </c>
      <c r="G58" s="11">
        <v>468</v>
      </c>
      <c r="H58" s="11">
        <v>826</v>
      </c>
      <c r="I58" s="11">
        <v>555</v>
      </c>
      <c r="J58" s="11">
        <v>216</v>
      </c>
      <c r="K58" s="11">
        <v>376</v>
      </c>
      <c r="L58" s="11">
        <v>323</v>
      </c>
      <c r="M58" s="11">
        <v>230</v>
      </c>
      <c r="N58" s="11">
        <v>408</v>
      </c>
      <c r="O58" s="11">
        <v>0</v>
      </c>
      <c r="P58" s="11">
        <v>0</v>
      </c>
      <c r="Q58" s="11">
        <v>0</v>
      </c>
      <c r="R58" s="11">
        <v>0</v>
      </c>
      <c r="S58" s="12">
        <v>3402</v>
      </c>
    </row>
    <row r="59" spans="1:19" ht="17.5" thickBot="1" x14ac:dyDescent="0.65">
      <c r="A59" s="10" t="s">
        <v>129</v>
      </c>
      <c r="B59" s="9" t="s">
        <v>153</v>
      </c>
      <c r="C59" s="9" t="s">
        <v>159</v>
      </c>
      <c r="D59" s="9" t="s">
        <v>160</v>
      </c>
      <c r="E59" s="10" t="s">
        <v>694</v>
      </c>
      <c r="F59" s="10" t="s">
        <v>104</v>
      </c>
      <c r="G59" s="11">
        <v>993</v>
      </c>
      <c r="H59" s="11">
        <v>744</v>
      </c>
      <c r="I59" s="11">
        <v>639</v>
      </c>
      <c r="J59" s="11">
        <v>608</v>
      </c>
      <c r="K59" s="11">
        <v>768</v>
      </c>
      <c r="L59" s="11">
        <v>485</v>
      </c>
      <c r="M59" s="11">
        <v>886</v>
      </c>
      <c r="N59" s="11">
        <v>570</v>
      </c>
      <c r="O59" s="11">
        <v>0</v>
      </c>
      <c r="P59" s="11">
        <v>0</v>
      </c>
      <c r="Q59" s="11">
        <v>0</v>
      </c>
      <c r="R59" s="11">
        <v>0</v>
      </c>
      <c r="S59" s="12">
        <v>5693</v>
      </c>
    </row>
    <row r="60" spans="1:19" ht="17.5" thickBot="1" x14ac:dyDescent="0.65">
      <c r="A60" s="10" t="s">
        <v>129</v>
      </c>
      <c r="B60" s="9" t="s">
        <v>161</v>
      </c>
      <c r="C60" s="9" t="s">
        <v>162</v>
      </c>
      <c r="D60" s="9" t="s">
        <v>163</v>
      </c>
      <c r="E60" s="10" t="s">
        <v>694</v>
      </c>
      <c r="F60" s="10" t="s">
        <v>28</v>
      </c>
      <c r="G60" s="11">
        <v>455</v>
      </c>
      <c r="H60" s="11">
        <v>342</v>
      </c>
      <c r="I60" s="11">
        <v>473</v>
      </c>
      <c r="J60" s="11">
        <v>716</v>
      </c>
      <c r="K60" s="11">
        <v>100</v>
      </c>
      <c r="L60" s="11">
        <v>107</v>
      </c>
      <c r="M60" s="11">
        <v>275</v>
      </c>
      <c r="N60" s="11">
        <v>259</v>
      </c>
      <c r="O60" s="11">
        <v>0</v>
      </c>
      <c r="P60" s="11">
        <v>0</v>
      </c>
      <c r="Q60" s="11">
        <v>0</v>
      </c>
      <c r="R60" s="11">
        <v>0</v>
      </c>
      <c r="S60" s="12">
        <v>2727</v>
      </c>
    </row>
    <row r="61" spans="1:19" ht="17.5" thickBot="1" x14ac:dyDescent="0.65">
      <c r="A61" s="10" t="s">
        <v>129</v>
      </c>
      <c r="B61" s="9" t="s">
        <v>164</v>
      </c>
      <c r="C61" s="9" t="s">
        <v>165</v>
      </c>
      <c r="D61" s="9" t="s">
        <v>166</v>
      </c>
      <c r="E61" s="10" t="s">
        <v>694</v>
      </c>
      <c r="F61" s="10" t="s">
        <v>104</v>
      </c>
      <c r="G61" s="11">
        <v>684</v>
      </c>
      <c r="H61" s="11">
        <v>306</v>
      </c>
      <c r="I61" s="11">
        <v>406</v>
      </c>
      <c r="J61" s="11">
        <v>225</v>
      </c>
      <c r="K61" s="11">
        <v>459</v>
      </c>
      <c r="L61" s="11">
        <v>203</v>
      </c>
      <c r="M61" s="11">
        <v>115</v>
      </c>
      <c r="N61" s="11">
        <v>244</v>
      </c>
      <c r="O61" s="11">
        <v>0</v>
      </c>
      <c r="P61" s="11">
        <v>0</v>
      </c>
      <c r="Q61" s="11">
        <v>0</v>
      </c>
      <c r="R61" s="11">
        <v>0</v>
      </c>
      <c r="S61" s="12">
        <v>2642</v>
      </c>
    </row>
    <row r="62" spans="1:19" ht="17.5" thickBot="1" x14ac:dyDescent="0.65">
      <c r="A62" s="10" t="s">
        <v>129</v>
      </c>
      <c r="B62" s="9" t="s">
        <v>167</v>
      </c>
      <c r="C62" s="9" t="s">
        <v>168</v>
      </c>
      <c r="D62" s="9" t="s">
        <v>169</v>
      </c>
      <c r="E62" s="10" t="s">
        <v>694</v>
      </c>
      <c r="F62" s="10" t="s">
        <v>25</v>
      </c>
      <c r="G62" s="11">
        <v>2851</v>
      </c>
      <c r="H62" s="11">
        <v>3080</v>
      </c>
      <c r="I62" s="11">
        <v>2964</v>
      </c>
      <c r="J62" s="11">
        <v>2668</v>
      </c>
      <c r="K62" s="11">
        <v>2907</v>
      </c>
      <c r="L62" s="11">
        <v>2264</v>
      </c>
      <c r="M62" s="11">
        <v>2526</v>
      </c>
      <c r="N62" s="11">
        <v>2565</v>
      </c>
      <c r="O62" s="11">
        <v>0</v>
      </c>
      <c r="P62" s="11">
        <v>0</v>
      </c>
      <c r="Q62" s="11">
        <v>0</v>
      </c>
      <c r="R62" s="11">
        <v>0</v>
      </c>
      <c r="S62" s="12">
        <v>21825</v>
      </c>
    </row>
    <row r="63" spans="1:19" ht="17.5" thickBot="1" x14ac:dyDescent="0.65">
      <c r="A63" s="10" t="s">
        <v>129</v>
      </c>
      <c r="B63" s="9" t="s">
        <v>170</v>
      </c>
      <c r="C63" s="9" t="s">
        <v>171</v>
      </c>
      <c r="D63" s="9" t="s">
        <v>172</v>
      </c>
      <c r="E63" s="10" t="s">
        <v>694</v>
      </c>
      <c r="F63" s="10" t="s">
        <v>104</v>
      </c>
      <c r="G63" s="11">
        <v>552</v>
      </c>
      <c r="H63" s="11">
        <v>684</v>
      </c>
      <c r="I63" s="11">
        <v>771</v>
      </c>
      <c r="J63" s="11">
        <v>455</v>
      </c>
      <c r="K63" s="11">
        <v>677</v>
      </c>
      <c r="L63" s="11">
        <v>732</v>
      </c>
      <c r="M63" s="11">
        <v>633</v>
      </c>
      <c r="N63" s="11">
        <v>560</v>
      </c>
      <c r="O63" s="11">
        <v>0</v>
      </c>
      <c r="P63" s="11">
        <v>0</v>
      </c>
      <c r="Q63" s="11">
        <v>0</v>
      </c>
      <c r="R63" s="11">
        <v>0</v>
      </c>
      <c r="S63" s="12">
        <v>5064</v>
      </c>
    </row>
    <row r="64" spans="1:19" ht="17.5" thickBot="1" x14ac:dyDescent="0.65">
      <c r="A64" s="10" t="s">
        <v>129</v>
      </c>
      <c r="B64" s="9" t="s">
        <v>173</v>
      </c>
      <c r="C64" s="9" t="s">
        <v>174</v>
      </c>
      <c r="D64" s="9" t="s">
        <v>175</v>
      </c>
      <c r="E64" s="10" t="s">
        <v>694</v>
      </c>
      <c r="F64" s="10" t="s">
        <v>21</v>
      </c>
      <c r="G64" s="11">
        <v>905</v>
      </c>
      <c r="H64" s="11">
        <v>992</v>
      </c>
      <c r="I64" s="11">
        <v>1038</v>
      </c>
      <c r="J64" s="11">
        <v>1071</v>
      </c>
      <c r="K64" s="11">
        <v>1274</v>
      </c>
      <c r="L64" s="11">
        <v>1152</v>
      </c>
      <c r="M64" s="11">
        <v>1428</v>
      </c>
      <c r="N64" s="11">
        <v>1300</v>
      </c>
      <c r="O64" s="11">
        <v>0</v>
      </c>
      <c r="P64" s="11">
        <v>0</v>
      </c>
      <c r="Q64" s="11">
        <v>0</v>
      </c>
      <c r="R64" s="11">
        <v>0</v>
      </c>
      <c r="S64" s="12">
        <v>9160</v>
      </c>
    </row>
    <row r="65" spans="1:19" ht="17.5" thickBot="1" x14ac:dyDescent="0.65">
      <c r="A65" s="10" t="s">
        <v>129</v>
      </c>
      <c r="B65" s="9" t="s">
        <v>176</v>
      </c>
      <c r="C65" s="9" t="s">
        <v>177</v>
      </c>
      <c r="D65" s="9" t="s">
        <v>178</v>
      </c>
      <c r="E65" s="10" t="s">
        <v>694</v>
      </c>
      <c r="F65" s="10" t="s">
        <v>104</v>
      </c>
      <c r="G65" s="11">
        <v>1115</v>
      </c>
      <c r="H65" s="11">
        <v>1041</v>
      </c>
      <c r="I65" s="11">
        <v>1658</v>
      </c>
      <c r="J65" s="11">
        <v>670</v>
      </c>
      <c r="K65" s="11">
        <v>994</v>
      </c>
      <c r="L65" s="11">
        <v>846</v>
      </c>
      <c r="M65" s="11">
        <v>864</v>
      </c>
      <c r="N65" s="11">
        <v>719</v>
      </c>
      <c r="O65" s="11">
        <v>0</v>
      </c>
      <c r="P65" s="11">
        <v>0</v>
      </c>
      <c r="Q65" s="11">
        <v>0</v>
      </c>
      <c r="R65" s="11">
        <v>0</v>
      </c>
      <c r="S65" s="12">
        <v>7907</v>
      </c>
    </row>
    <row r="66" spans="1:19" ht="17.5" thickBot="1" x14ac:dyDescent="0.65">
      <c r="A66" s="10" t="s">
        <v>179</v>
      </c>
      <c r="B66" s="9" t="s">
        <v>180</v>
      </c>
      <c r="C66" s="9" t="s">
        <v>181</v>
      </c>
      <c r="D66" s="9" t="s">
        <v>182</v>
      </c>
      <c r="E66" s="10" t="s">
        <v>694</v>
      </c>
      <c r="F66" s="10" t="s">
        <v>25</v>
      </c>
      <c r="G66" s="11">
        <v>2427</v>
      </c>
      <c r="H66" s="11">
        <v>2416</v>
      </c>
      <c r="I66" s="11">
        <v>2781</v>
      </c>
      <c r="J66" s="11">
        <v>2344</v>
      </c>
      <c r="K66" s="11">
        <v>1958</v>
      </c>
      <c r="L66" s="11">
        <v>1681</v>
      </c>
      <c r="M66" s="11">
        <v>1454</v>
      </c>
      <c r="N66" s="11">
        <v>1810</v>
      </c>
      <c r="O66" s="11">
        <v>0</v>
      </c>
      <c r="P66" s="11">
        <v>0</v>
      </c>
      <c r="Q66" s="11">
        <v>0</v>
      </c>
      <c r="R66" s="11">
        <v>0</v>
      </c>
      <c r="S66" s="12">
        <v>16871</v>
      </c>
    </row>
    <row r="67" spans="1:19" ht="17.5" thickBot="1" x14ac:dyDescent="0.65">
      <c r="A67" s="10" t="s">
        <v>179</v>
      </c>
      <c r="B67" s="9" t="s">
        <v>180</v>
      </c>
      <c r="C67" s="9" t="s">
        <v>183</v>
      </c>
      <c r="D67" s="9" t="s">
        <v>184</v>
      </c>
      <c r="E67" s="10" t="s">
        <v>694</v>
      </c>
      <c r="F67" s="10" t="s">
        <v>25</v>
      </c>
      <c r="G67" s="11">
        <v>132</v>
      </c>
      <c r="H67" s="11">
        <v>220</v>
      </c>
      <c r="I67" s="11">
        <v>226</v>
      </c>
      <c r="J67" s="11">
        <v>169</v>
      </c>
      <c r="K67" s="11">
        <v>170</v>
      </c>
      <c r="L67" s="11">
        <v>591</v>
      </c>
      <c r="M67" s="11">
        <v>105</v>
      </c>
      <c r="N67" s="11">
        <v>303</v>
      </c>
      <c r="O67" s="11">
        <v>0</v>
      </c>
      <c r="P67" s="11">
        <v>0</v>
      </c>
      <c r="Q67" s="11">
        <v>0</v>
      </c>
      <c r="R67" s="11">
        <v>0</v>
      </c>
      <c r="S67" s="12">
        <v>1916</v>
      </c>
    </row>
    <row r="68" spans="1:19" ht="17.5" thickBot="1" x14ac:dyDescent="0.65">
      <c r="A68" s="10" t="s">
        <v>179</v>
      </c>
      <c r="B68" s="9" t="s">
        <v>180</v>
      </c>
      <c r="C68" s="9" t="s">
        <v>185</v>
      </c>
      <c r="D68" s="9" t="s">
        <v>186</v>
      </c>
      <c r="E68" s="10" t="s">
        <v>694</v>
      </c>
      <c r="F68" s="10" t="s">
        <v>25</v>
      </c>
      <c r="G68" s="11">
        <v>1846</v>
      </c>
      <c r="H68" s="11">
        <v>2284</v>
      </c>
      <c r="I68" s="11">
        <v>2801</v>
      </c>
      <c r="J68" s="11">
        <v>2250</v>
      </c>
      <c r="K68" s="11">
        <v>1873</v>
      </c>
      <c r="L68" s="11">
        <v>2339</v>
      </c>
      <c r="M68" s="11">
        <v>1222</v>
      </c>
      <c r="N68" s="11">
        <v>1424</v>
      </c>
      <c r="O68" s="11">
        <v>0</v>
      </c>
      <c r="P68" s="11">
        <v>0</v>
      </c>
      <c r="Q68" s="11">
        <v>0</v>
      </c>
      <c r="R68" s="11">
        <v>0</v>
      </c>
      <c r="S68" s="12">
        <v>16039</v>
      </c>
    </row>
    <row r="69" spans="1:19" ht="17.5" thickBot="1" x14ac:dyDescent="0.65">
      <c r="A69" s="10" t="s">
        <v>179</v>
      </c>
      <c r="B69" s="9" t="s">
        <v>187</v>
      </c>
      <c r="C69" s="9" t="s">
        <v>188</v>
      </c>
      <c r="D69" s="9" t="s">
        <v>189</v>
      </c>
      <c r="E69" s="10" t="s">
        <v>694</v>
      </c>
      <c r="F69" s="10" t="s">
        <v>25</v>
      </c>
      <c r="G69" s="11">
        <v>1185</v>
      </c>
      <c r="H69" s="11">
        <v>1955</v>
      </c>
      <c r="I69" s="11">
        <v>2326</v>
      </c>
      <c r="J69" s="11">
        <v>639</v>
      </c>
      <c r="K69" s="11">
        <v>1493</v>
      </c>
      <c r="L69" s="11">
        <v>1304</v>
      </c>
      <c r="M69" s="11">
        <v>1088</v>
      </c>
      <c r="N69" s="11">
        <v>967</v>
      </c>
      <c r="O69" s="11">
        <v>0</v>
      </c>
      <c r="P69" s="11">
        <v>0</v>
      </c>
      <c r="Q69" s="11">
        <v>0</v>
      </c>
      <c r="R69" s="11">
        <v>0</v>
      </c>
      <c r="S69" s="12">
        <v>10957</v>
      </c>
    </row>
    <row r="70" spans="1:19" ht="17.5" thickBot="1" x14ac:dyDescent="0.65">
      <c r="A70" s="10" t="s">
        <v>179</v>
      </c>
      <c r="B70" s="9" t="s">
        <v>190</v>
      </c>
      <c r="C70" s="9" t="s">
        <v>191</v>
      </c>
      <c r="D70" s="9" t="s">
        <v>192</v>
      </c>
      <c r="E70" s="10" t="s">
        <v>694</v>
      </c>
      <c r="F70" s="10" t="s">
        <v>28</v>
      </c>
      <c r="G70" s="11">
        <v>187</v>
      </c>
      <c r="H70" s="11">
        <v>96</v>
      </c>
      <c r="I70" s="11">
        <v>270</v>
      </c>
      <c r="J70" s="11">
        <v>343</v>
      </c>
      <c r="K70" s="11">
        <v>140</v>
      </c>
      <c r="L70" s="11">
        <v>392</v>
      </c>
      <c r="M70" s="11">
        <v>9</v>
      </c>
      <c r="N70" s="11">
        <v>117</v>
      </c>
      <c r="O70" s="11">
        <v>0</v>
      </c>
      <c r="P70" s="11">
        <v>0</v>
      </c>
      <c r="Q70" s="11">
        <v>0</v>
      </c>
      <c r="R70" s="11">
        <v>0</v>
      </c>
      <c r="S70" s="12">
        <v>1554</v>
      </c>
    </row>
    <row r="71" spans="1:19" ht="17.5" thickBot="1" x14ac:dyDescent="0.65">
      <c r="A71" s="10" t="s">
        <v>179</v>
      </c>
      <c r="B71" s="9" t="s">
        <v>193</v>
      </c>
      <c r="C71" s="9" t="s">
        <v>194</v>
      </c>
      <c r="D71" s="9" t="s">
        <v>195</v>
      </c>
      <c r="E71" s="10" t="s">
        <v>694</v>
      </c>
      <c r="F71" s="10" t="s">
        <v>104</v>
      </c>
      <c r="G71" s="11">
        <v>500</v>
      </c>
      <c r="H71" s="11">
        <v>468</v>
      </c>
      <c r="I71" s="11">
        <v>517</v>
      </c>
      <c r="J71" s="11">
        <v>239</v>
      </c>
      <c r="K71" s="11">
        <v>531</v>
      </c>
      <c r="L71" s="11">
        <v>251</v>
      </c>
      <c r="M71" s="11">
        <v>307</v>
      </c>
      <c r="N71" s="11">
        <v>377</v>
      </c>
      <c r="O71" s="11">
        <v>0</v>
      </c>
      <c r="P71" s="11">
        <v>0</v>
      </c>
      <c r="Q71" s="11">
        <v>0</v>
      </c>
      <c r="R71" s="11">
        <v>0</v>
      </c>
      <c r="S71" s="12">
        <v>3190</v>
      </c>
    </row>
    <row r="72" spans="1:19" ht="17.5" thickBot="1" x14ac:dyDescent="0.65">
      <c r="A72" s="10" t="s">
        <v>179</v>
      </c>
      <c r="B72" s="9" t="s">
        <v>196</v>
      </c>
      <c r="C72" s="9" t="s">
        <v>197</v>
      </c>
      <c r="D72" s="9" t="s">
        <v>198</v>
      </c>
      <c r="E72" s="10" t="s">
        <v>694</v>
      </c>
      <c r="F72" s="10" t="s">
        <v>104</v>
      </c>
      <c r="G72" s="11">
        <v>1320</v>
      </c>
      <c r="H72" s="11">
        <v>2020</v>
      </c>
      <c r="I72" s="11">
        <v>1324</v>
      </c>
      <c r="J72" s="11">
        <v>606</v>
      </c>
      <c r="K72" s="11">
        <v>898</v>
      </c>
      <c r="L72" s="11">
        <v>1252</v>
      </c>
      <c r="M72" s="11">
        <v>642</v>
      </c>
      <c r="N72" s="11">
        <v>1025</v>
      </c>
      <c r="O72" s="11">
        <v>0</v>
      </c>
      <c r="P72" s="11">
        <v>0</v>
      </c>
      <c r="Q72" s="11">
        <v>0</v>
      </c>
      <c r="R72" s="11">
        <v>0</v>
      </c>
      <c r="S72" s="12">
        <v>9087</v>
      </c>
    </row>
    <row r="73" spans="1:19" ht="17.5" thickBot="1" x14ac:dyDescent="0.65">
      <c r="A73" s="10" t="s">
        <v>179</v>
      </c>
      <c r="B73" s="9" t="s">
        <v>196</v>
      </c>
      <c r="C73" s="9" t="s">
        <v>199</v>
      </c>
      <c r="D73" s="9" t="s">
        <v>200</v>
      </c>
      <c r="E73" s="10" t="s">
        <v>694</v>
      </c>
      <c r="F73" s="10" t="s">
        <v>104</v>
      </c>
      <c r="G73" s="11">
        <v>433</v>
      </c>
      <c r="H73" s="11">
        <v>406</v>
      </c>
      <c r="I73" s="11">
        <v>886</v>
      </c>
      <c r="J73" s="11">
        <v>495</v>
      </c>
      <c r="K73" s="11">
        <v>337</v>
      </c>
      <c r="L73" s="11">
        <v>0</v>
      </c>
      <c r="M73" s="11">
        <v>335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2">
        <v>2892</v>
      </c>
    </row>
    <row r="74" spans="1:19" ht="17.5" thickBot="1" x14ac:dyDescent="0.65">
      <c r="A74" s="10" t="s">
        <v>179</v>
      </c>
      <c r="B74" s="9" t="s">
        <v>201</v>
      </c>
      <c r="C74" s="9" t="s">
        <v>202</v>
      </c>
      <c r="D74" s="9" t="s">
        <v>203</v>
      </c>
      <c r="E74" s="10" t="s">
        <v>694</v>
      </c>
      <c r="F74" s="10" t="s">
        <v>21</v>
      </c>
      <c r="G74" s="11">
        <v>342</v>
      </c>
      <c r="H74" s="11">
        <v>187</v>
      </c>
      <c r="I74" s="11">
        <v>337</v>
      </c>
      <c r="J74" s="11">
        <v>230</v>
      </c>
      <c r="K74" s="11">
        <v>209</v>
      </c>
      <c r="L74" s="11">
        <v>183</v>
      </c>
      <c r="M74" s="11">
        <v>130</v>
      </c>
      <c r="N74" s="11">
        <v>224</v>
      </c>
      <c r="O74" s="11">
        <v>0</v>
      </c>
      <c r="P74" s="11">
        <v>0</v>
      </c>
      <c r="Q74" s="11">
        <v>0</v>
      </c>
      <c r="R74" s="11">
        <v>0</v>
      </c>
      <c r="S74" s="12">
        <v>1842</v>
      </c>
    </row>
    <row r="75" spans="1:19" ht="17.5" thickBot="1" x14ac:dyDescent="0.65">
      <c r="A75" s="10" t="s">
        <v>179</v>
      </c>
      <c r="B75" s="9" t="s">
        <v>201</v>
      </c>
      <c r="C75" s="9" t="s">
        <v>204</v>
      </c>
      <c r="D75" s="9" t="s">
        <v>205</v>
      </c>
      <c r="E75" s="10" t="s">
        <v>694</v>
      </c>
      <c r="F75" s="10" t="s">
        <v>21</v>
      </c>
      <c r="G75" s="11">
        <v>1460</v>
      </c>
      <c r="H75" s="11">
        <v>1218</v>
      </c>
      <c r="I75" s="11">
        <v>869</v>
      </c>
      <c r="J75" s="11">
        <v>905</v>
      </c>
      <c r="K75" s="11">
        <v>1009</v>
      </c>
      <c r="L75" s="11">
        <v>552</v>
      </c>
      <c r="M75" s="11">
        <v>346</v>
      </c>
      <c r="N75" s="11">
        <v>278</v>
      </c>
      <c r="O75" s="11">
        <v>0</v>
      </c>
      <c r="P75" s="11">
        <v>0</v>
      </c>
      <c r="Q75" s="11">
        <v>0</v>
      </c>
      <c r="R75" s="11">
        <v>0</v>
      </c>
      <c r="S75" s="12">
        <v>6637</v>
      </c>
    </row>
    <row r="76" spans="1:19" ht="17.5" thickBot="1" x14ac:dyDescent="0.65">
      <c r="A76" s="10" t="s">
        <v>179</v>
      </c>
      <c r="B76" s="9" t="s">
        <v>201</v>
      </c>
      <c r="C76" s="9" t="s">
        <v>206</v>
      </c>
      <c r="D76" s="9" t="s">
        <v>207</v>
      </c>
      <c r="E76" s="10" t="s">
        <v>694</v>
      </c>
      <c r="F76" s="10" t="s">
        <v>21</v>
      </c>
      <c r="G76" s="11">
        <v>1602</v>
      </c>
      <c r="H76" s="11">
        <v>737</v>
      </c>
      <c r="I76" s="11">
        <v>1544</v>
      </c>
      <c r="J76" s="11">
        <v>995</v>
      </c>
      <c r="K76" s="11">
        <v>1229</v>
      </c>
      <c r="L76" s="11">
        <v>859</v>
      </c>
      <c r="M76" s="11">
        <v>434</v>
      </c>
      <c r="N76" s="11">
        <v>967</v>
      </c>
      <c r="O76" s="11">
        <v>0</v>
      </c>
      <c r="P76" s="11">
        <v>0</v>
      </c>
      <c r="Q76" s="11">
        <v>0</v>
      </c>
      <c r="R76" s="11">
        <v>0</v>
      </c>
      <c r="S76" s="12">
        <v>8367</v>
      </c>
    </row>
    <row r="77" spans="1:19" ht="17.5" thickBot="1" x14ac:dyDescent="0.65">
      <c r="A77" s="10" t="s">
        <v>179</v>
      </c>
      <c r="B77" s="9" t="s">
        <v>201</v>
      </c>
      <c r="C77" s="9" t="s">
        <v>208</v>
      </c>
      <c r="D77" s="9" t="s">
        <v>209</v>
      </c>
      <c r="E77" s="10" t="s">
        <v>694</v>
      </c>
      <c r="F77" s="10" t="s">
        <v>21</v>
      </c>
      <c r="G77" s="11">
        <v>830</v>
      </c>
      <c r="H77" s="11">
        <v>653</v>
      </c>
      <c r="I77" s="11">
        <v>1745</v>
      </c>
      <c r="J77" s="11">
        <v>1058</v>
      </c>
      <c r="K77" s="11">
        <v>1109</v>
      </c>
      <c r="L77" s="11">
        <v>919</v>
      </c>
      <c r="M77" s="11">
        <v>864</v>
      </c>
      <c r="N77" s="11">
        <v>474</v>
      </c>
      <c r="O77" s="11">
        <v>0</v>
      </c>
      <c r="P77" s="11">
        <v>0</v>
      </c>
      <c r="Q77" s="11">
        <v>0</v>
      </c>
      <c r="R77" s="11">
        <v>0</v>
      </c>
      <c r="S77" s="12">
        <v>7652</v>
      </c>
    </row>
    <row r="78" spans="1:19" ht="17.5" thickBot="1" x14ac:dyDescent="0.65">
      <c r="A78" s="10" t="s">
        <v>179</v>
      </c>
      <c r="B78" s="9" t="s">
        <v>201</v>
      </c>
      <c r="C78" s="9" t="s">
        <v>210</v>
      </c>
      <c r="D78" s="9" t="s">
        <v>211</v>
      </c>
      <c r="E78" s="10" t="s">
        <v>694</v>
      </c>
      <c r="F78" s="10" t="s">
        <v>21</v>
      </c>
      <c r="G78" s="11">
        <v>658</v>
      </c>
      <c r="H78" s="11">
        <v>1783</v>
      </c>
      <c r="I78" s="11">
        <v>1050</v>
      </c>
      <c r="J78" s="11">
        <v>471</v>
      </c>
      <c r="K78" s="11">
        <v>1259</v>
      </c>
      <c r="L78" s="11">
        <v>1057</v>
      </c>
      <c r="M78" s="11">
        <v>229</v>
      </c>
      <c r="N78" s="11">
        <v>386</v>
      </c>
      <c r="O78" s="11">
        <v>0</v>
      </c>
      <c r="P78" s="11">
        <v>0</v>
      </c>
      <c r="Q78" s="11">
        <v>0</v>
      </c>
      <c r="R78" s="11">
        <v>0</v>
      </c>
      <c r="S78" s="12">
        <v>6893</v>
      </c>
    </row>
    <row r="79" spans="1:19" ht="17.5" thickBot="1" x14ac:dyDescent="0.65">
      <c r="A79" s="10" t="s">
        <v>179</v>
      </c>
      <c r="B79" s="9" t="s">
        <v>201</v>
      </c>
      <c r="C79" s="9" t="s">
        <v>212</v>
      </c>
      <c r="D79" s="9" t="s">
        <v>213</v>
      </c>
      <c r="E79" s="10" t="s">
        <v>694</v>
      </c>
      <c r="F79" s="10" t="s">
        <v>21</v>
      </c>
      <c r="G79" s="11">
        <v>557</v>
      </c>
      <c r="H79" s="11">
        <v>480</v>
      </c>
      <c r="I79" s="11">
        <v>685</v>
      </c>
      <c r="J79" s="11">
        <v>792</v>
      </c>
      <c r="K79" s="11">
        <v>626</v>
      </c>
      <c r="L79" s="11">
        <v>535</v>
      </c>
      <c r="M79" s="11">
        <v>390</v>
      </c>
      <c r="N79" s="11">
        <v>218</v>
      </c>
      <c r="O79" s="11">
        <v>0</v>
      </c>
      <c r="P79" s="11">
        <v>0</v>
      </c>
      <c r="Q79" s="11">
        <v>0</v>
      </c>
      <c r="R79" s="11">
        <v>0</v>
      </c>
      <c r="S79" s="12">
        <v>4283</v>
      </c>
    </row>
    <row r="80" spans="1:19" ht="17.5" thickBot="1" x14ac:dyDescent="0.65">
      <c r="A80" s="10" t="s">
        <v>179</v>
      </c>
      <c r="B80" s="9" t="s">
        <v>214</v>
      </c>
      <c r="C80" s="9" t="s">
        <v>215</v>
      </c>
      <c r="D80" s="9" t="s">
        <v>216</v>
      </c>
      <c r="E80" s="10" t="s">
        <v>694</v>
      </c>
      <c r="F80" s="10" t="s">
        <v>21</v>
      </c>
      <c r="G80" s="11">
        <v>970</v>
      </c>
      <c r="H80" s="11">
        <v>1103</v>
      </c>
      <c r="I80" s="11">
        <v>1661</v>
      </c>
      <c r="J80" s="11">
        <v>799</v>
      </c>
      <c r="K80" s="11">
        <v>742</v>
      </c>
      <c r="L80" s="11">
        <v>795</v>
      </c>
      <c r="M80" s="11">
        <v>919</v>
      </c>
      <c r="N80" s="11">
        <v>837</v>
      </c>
      <c r="O80" s="11">
        <v>0</v>
      </c>
      <c r="P80" s="11">
        <v>0</v>
      </c>
      <c r="Q80" s="11">
        <v>0</v>
      </c>
      <c r="R80" s="11">
        <v>0</v>
      </c>
      <c r="S80" s="12">
        <v>7826</v>
      </c>
    </row>
    <row r="81" spans="1:19" ht="17.5" thickBot="1" x14ac:dyDescent="0.65">
      <c r="A81" s="10" t="s">
        <v>179</v>
      </c>
      <c r="B81" s="9" t="s">
        <v>217</v>
      </c>
      <c r="C81" s="9" t="s">
        <v>218</v>
      </c>
      <c r="D81" s="9" t="s">
        <v>219</v>
      </c>
      <c r="E81" s="10" t="s">
        <v>694</v>
      </c>
      <c r="F81" s="10" t="s">
        <v>25</v>
      </c>
      <c r="G81" s="11">
        <v>3024</v>
      </c>
      <c r="H81" s="11">
        <v>2835</v>
      </c>
      <c r="I81" s="11">
        <v>3330</v>
      </c>
      <c r="J81" s="11">
        <v>2396</v>
      </c>
      <c r="K81" s="11">
        <v>3282</v>
      </c>
      <c r="L81" s="11">
        <v>3131</v>
      </c>
      <c r="M81" s="11">
        <v>2761</v>
      </c>
      <c r="N81" s="11">
        <v>3044</v>
      </c>
      <c r="O81" s="11">
        <v>0</v>
      </c>
      <c r="P81" s="11">
        <v>0</v>
      </c>
      <c r="Q81" s="11">
        <v>0</v>
      </c>
      <c r="R81" s="11">
        <v>0</v>
      </c>
      <c r="S81" s="12">
        <v>23803</v>
      </c>
    </row>
    <row r="82" spans="1:19" ht="17.5" thickBot="1" x14ac:dyDescent="0.65">
      <c r="A82" s="10" t="s">
        <v>179</v>
      </c>
      <c r="B82" s="9" t="s">
        <v>217</v>
      </c>
      <c r="C82" s="9" t="s">
        <v>220</v>
      </c>
      <c r="D82" s="9" t="s">
        <v>221</v>
      </c>
      <c r="E82" s="10" t="s">
        <v>694</v>
      </c>
      <c r="F82" s="10" t="s">
        <v>25</v>
      </c>
      <c r="G82" s="11">
        <v>1228</v>
      </c>
      <c r="H82" s="11">
        <v>1090</v>
      </c>
      <c r="I82" s="11">
        <v>2032</v>
      </c>
      <c r="J82" s="11">
        <v>1951</v>
      </c>
      <c r="K82" s="11">
        <v>1851</v>
      </c>
      <c r="L82" s="11">
        <v>1553</v>
      </c>
      <c r="M82" s="11">
        <v>1515</v>
      </c>
      <c r="N82" s="11">
        <v>1521</v>
      </c>
      <c r="O82" s="11">
        <v>0</v>
      </c>
      <c r="P82" s="11">
        <v>0</v>
      </c>
      <c r="Q82" s="11">
        <v>0</v>
      </c>
      <c r="R82" s="11">
        <v>0</v>
      </c>
      <c r="S82" s="12">
        <v>12741</v>
      </c>
    </row>
    <row r="83" spans="1:19" ht="17.5" thickBot="1" x14ac:dyDescent="0.65">
      <c r="A83" s="10" t="s">
        <v>179</v>
      </c>
      <c r="B83" s="9" t="s">
        <v>217</v>
      </c>
      <c r="C83" s="9" t="s">
        <v>222</v>
      </c>
      <c r="D83" s="9" t="s">
        <v>223</v>
      </c>
      <c r="E83" s="10" t="s">
        <v>694</v>
      </c>
      <c r="F83" s="10" t="s">
        <v>25</v>
      </c>
      <c r="G83" s="11">
        <v>509</v>
      </c>
      <c r="H83" s="11">
        <v>729</v>
      </c>
      <c r="I83" s="11">
        <v>785</v>
      </c>
      <c r="J83" s="11">
        <v>721</v>
      </c>
      <c r="K83" s="11">
        <v>614</v>
      </c>
      <c r="L83" s="11">
        <v>1139</v>
      </c>
      <c r="M83" s="11">
        <v>742</v>
      </c>
      <c r="N83" s="11">
        <v>1168</v>
      </c>
      <c r="O83" s="11">
        <v>0</v>
      </c>
      <c r="P83" s="11">
        <v>0</v>
      </c>
      <c r="Q83" s="11">
        <v>0</v>
      </c>
      <c r="R83" s="11">
        <v>0</v>
      </c>
      <c r="S83" s="12">
        <v>6407</v>
      </c>
    </row>
    <row r="84" spans="1:19" ht="17.5" thickBot="1" x14ac:dyDescent="0.65">
      <c r="A84" s="10" t="s">
        <v>179</v>
      </c>
      <c r="B84" s="9" t="s">
        <v>224</v>
      </c>
      <c r="C84" s="15" t="s">
        <v>225</v>
      </c>
      <c r="D84" s="15" t="s">
        <v>226</v>
      </c>
      <c r="E84" s="10" t="s">
        <v>694</v>
      </c>
      <c r="F84" s="16" t="s">
        <v>21</v>
      </c>
      <c r="G84" s="11">
        <v>670</v>
      </c>
      <c r="H84" s="11">
        <v>845</v>
      </c>
      <c r="I84" s="11">
        <v>1009</v>
      </c>
      <c r="J84" s="11">
        <v>283</v>
      </c>
      <c r="K84" s="11">
        <v>848</v>
      </c>
      <c r="L84" s="11">
        <v>553</v>
      </c>
      <c r="M84" s="11">
        <v>281</v>
      </c>
      <c r="N84" s="11">
        <v>657</v>
      </c>
      <c r="O84" s="11">
        <v>0</v>
      </c>
      <c r="P84" s="11">
        <v>0</v>
      </c>
      <c r="Q84" s="11">
        <v>0</v>
      </c>
      <c r="R84" s="11">
        <v>0</v>
      </c>
      <c r="S84" s="12">
        <v>5146</v>
      </c>
    </row>
    <row r="85" spans="1:19" ht="17.5" thickBot="1" x14ac:dyDescent="0.65">
      <c r="A85" s="10" t="s">
        <v>179</v>
      </c>
      <c r="B85" s="9" t="s">
        <v>227</v>
      </c>
      <c r="C85" s="9" t="s">
        <v>228</v>
      </c>
      <c r="D85" s="9" t="s">
        <v>229</v>
      </c>
      <c r="E85" s="10" t="s">
        <v>694</v>
      </c>
      <c r="F85" s="10" t="s">
        <v>104</v>
      </c>
      <c r="G85" s="11">
        <v>0</v>
      </c>
      <c r="H85" s="11">
        <v>24</v>
      </c>
      <c r="I85" s="11">
        <v>1076</v>
      </c>
      <c r="J85" s="11">
        <v>435</v>
      </c>
      <c r="K85" s="11">
        <v>311</v>
      </c>
      <c r="L85" s="11">
        <v>317</v>
      </c>
      <c r="M85" s="11">
        <v>674</v>
      </c>
      <c r="N85" s="11">
        <v>271</v>
      </c>
      <c r="O85" s="11">
        <v>0</v>
      </c>
      <c r="P85" s="11">
        <v>0</v>
      </c>
      <c r="Q85" s="11">
        <v>0</v>
      </c>
      <c r="R85" s="11">
        <v>0</v>
      </c>
      <c r="S85" s="12">
        <v>3108</v>
      </c>
    </row>
    <row r="86" spans="1:19" ht="17.5" thickBot="1" x14ac:dyDescent="0.65">
      <c r="A86" s="10" t="s">
        <v>179</v>
      </c>
      <c r="B86" s="9" t="s">
        <v>230</v>
      </c>
      <c r="C86" s="9" t="s">
        <v>231</v>
      </c>
      <c r="D86" s="9" t="s">
        <v>232</v>
      </c>
      <c r="E86" s="10" t="s">
        <v>694</v>
      </c>
      <c r="F86" s="10" t="s">
        <v>104</v>
      </c>
      <c r="G86" s="11">
        <v>965</v>
      </c>
      <c r="H86" s="11">
        <v>703</v>
      </c>
      <c r="I86" s="11">
        <v>411</v>
      </c>
      <c r="J86" s="11">
        <v>884</v>
      </c>
      <c r="K86" s="11">
        <v>626</v>
      </c>
      <c r="L86" s="11">
        <v>575</v>
      </c>
      <c r="M86" s="11">
        <v>821</v>
      </c>
      <c r="N86" s="11">
        <v>587</v>
      </c>
      <c r="O86" s="11">
        <v>0</v>
      </c>
      <c r="P86" s="11">
        <v>0</v>
      </c>
      <c r="Q86" s="11">
        <v>0</v>
      </c>
      <c r="R86" s="11">
        <v>0</v>
      </c>
      <c r="S86" s="12">
        <v>5572</v>
      </c>
    </row>
    <row r="87" spans="1:19" ht="17.5" thickBot="1" x14ac:dyDescent="0.65">
      <c r="A87" s="10" t="s">
        <v>179</v>
      </c>
      <c r="B87" s="9" t="s">
        <v>233</v>
      </c>
      <c r="C87" s="9" t="s">
        <v>234</v>
      </c>
      <c r="D87" s="9" t="s">
        <v>235</v>
      </c>
      <c r="E87" s="10" t="s">
        <v>694</v>
      </c>
      <c r="F87" s="10" t="s">
        <v>21</v>
      </c>
      <c r="G87" s="11">
        <v>461</v>
      </c>
      <c r="H87" s="11">
        <v>400</v>
      </c>
      <c r="I87" s="11">
        <v>523</v>
      </c>
      <c r="J87" s="11">
        <v>568</v>
      </c>
      <c r="K87" s="11">
        <v>415</v>
      </c>
      <c r="L87" s="11">
        <v>317</v>
      </c>
      <c r="M87" s="11">
        <v>278</v>
      </c>
      <c r="N87" s="11">
        <v>334</v>
      </c>
      <c r="O87" s="11">
        <v>0</v>
      </c>
      <c r="P87" s="11">
        <v>0</v>
      </c>
      <c r="Q87" s="11">
        <v>0</v>
      </c>
      <c r="R87" s="11">
        <v>0</v>
      </c>
      <c r="S87" s="12">
        <v>3296</v>
      </c>
    </row>
    <row r="88" spans="1:19" ht="17.5" thickBot="1" x14ac:dyDescent="0.65">
      <c r="A88" s="10" t="s">
        <v>179</v>
      </c>
      <c r="B88" s="9" t="s">
        <v>236</v>
      </c>
      <c r="C88" s="9" t="s">
        <v>237</v>
      </c>
      <c r="D88" s="9" t="s">
        <v>238</v>
      </c>
      <c r="E88" s="10" t="s">
        <v>694</v>
      </c>
      <c r="F88" s="10" t="s">
        <v>21</v>
      </c>
      <c r="G88" s="11">
        <v>736</v>
      </c>
      <c r="H88" s="11">
        <v>1044</v>
      </c>
      <c r="I88" s="11">
        <v>990</v>
      </c>
      <c r="J88" s="11">
        <v>1235</v>
      </c>
      <c r="K88" s="11">
        <v>1108</v>
      </c>
      <c r="L88" s="11">
        <v>2783</v>
      </c>
      <c r="M88" s="11">
        <v>1496</v>
      </c>
      <c r="N88" s="11">
        <v>1043</v>
      </c>
      <c r="O88" s="11">
        <v>0</v>
      </c>
      <c r="P88" s="11">
        <v>0</v>
      </c>
      <c r="Q88" s="11">
        <v>0</v>
      </c>
      <c r="R88" s="11">
        <v>0</v>
      </c>
      <c r="S88" s="12">
        <v>10435</v>
      </c>
    </row>
    <row r="89" spans="1:19" ht="17.5" thickBot="1" x14ac:dyDescent="0.65">
      <c r="A89" s="10" t="s">
        <v>179</v>
      </c>
      <c r="B89" s="9" t="s">
        <v>239</v>
      </c>
      <c r="C89" s="15" t="s">
        <v>240</v>
      </c>
      <c r="D89" s="15" t="s">
        <v>241</v>
      </c>
      <c r="E89" s="10" t="s">
        <v>694</v>
      </c>
      <c r="F89" s="16" t="s">
        <v>104</v>
      </c>
      <c r="G89" s="11">
        <v>892</v>
      </c>
      <c r="H89" s="11">
        <v>1133</v>
      </c>
      <c r="I89" s="11">
        <v>1159</v>
      </c>
      <c r="J89" s="11">
        <v>515</v>
      </c>
      <c r="K89" s="11">
        <v>664</v>
      </c>
      <c r="L89" s="11">
        <v>671</v>
      </c>
      <c r="M89" s="11">
        <v>342</v>
      </c>
      <c r="N89" s="11">
        <v>298</v>
      </c>
      <c r="O89" s="11">
        <v>0</v>
      </c>
      <c r="P89" s="11">
        <v>0</v>
      </c>
      <c r="Q89" s="11">
        <v>0</v>
      </c>
      <c r="R89" s="11">
        <v>0</v>
      </c>
      <c r="S89" s="12">
        <v>5674</v>
      </c>
    </row>
    <row r="90" spans="1:19" ht="17.5" thickBot="1" x14ac:dyDescent="0.65">
      <c r="A90" s="10" t="s">
        <v>179</v>
      </c>
      <c r="B90" s="9" t="s">
        <v>242</v>
      </c>
      <c r="C90" s="9" t="s">
        <v>243</v>
      </c>
      <c r="D90" s="9" t="s">
        <v>244</v>
      </c>
      <c r="E90" s="10" t="s">
        <v>694</v>
      </c>
      <c r="F90" s="10" t="s">
        <v>21</v>
      </c>
      <c r="G90" s="11">
        <v>647</v>
      </c>
      <c r="H90" s="11">
        <v>921</v>
      </c>
      <c r="I90" s="11">
        <v>1192</v>
      </c>
      <c r="J90" s="11">
        <v>674</v>
      </c>
      <c r="K90" s="11">
        <v>967</v>
      </c>
      <c r="L90" s="11">
        <v>519</v>
      </c>
      <c r="M90" s="11">
        <v>703</v>
      </c>
      <c r="N90" s="11">
        <v>1265</v>
      </c>
      <c r="O90" s="11">
        <v>0</v>
      </c>
      <c r="P90" s="11">
        <v>0</v>
      </c>
      <c r="Q90" s="11">
        <v>0</v>
      </c>
      <c r="R90" s="11">
        <v>0</v>
      </c>
      <c r="S90" s="12">
        <v>6888</v>
      </c>
    </row>
    <row r="91" spans="1:19" ht="17.5" thickBot="1" x14ac:dyDescent="0.65">
      <c r="A91" s="10" t="s">
        <v>179</v>
      </c>
      <c r="B91" s="9" t="s">
        <v>245</v>
      </c>
      <c r="C91" s="9" t="s">
        <v>246</v>
      </c>
      <c r="D91" s="9" t="s">
        <v>247</v>
      </c>
      <c r="E91" s="10" t="s">
        <v>694</v>
      </c>
      <c r="F91" s="10" t="s">
        <v>28</v>
      </c>
      <c r="G91" s="11">
        <v>539</v>
      </c>
      <c r="H91" s="11">
        <v>743</v>
      </c>
      <c r="I91" s="11">
        <v>640</v>
      </c>
      <c r="J91" s="11">
        <v>384</v>
      </c>
      <c r="K91" s="11">
        <v>266</v>
      </c>
      <c r="L91" s="11">
        <v>511</v>
      </c>
      <c r="M91" s="11">
        <v>472</v>
      </c>
      <c r="N91" s="11">
        <v>596</v>
      </c>
      <c r="O91" s="11">
        <v>0</v>
      </c>
      <c r="P91" s="11">
        <v>0</v>
      </c>
      <c r="Q91" s="11">
        <v>0</v>
      </c>
      <c r="R91" s="11">
        <v>0</v>
      </c>
      <c r="S91" s="12">
        <v>4151</v>
      </c>
    </row>
    <row r="92" spans="1:19" ht="17.5" thickBot="1" x14ac:dyDescent="0.65">
      <c r="A92" s="10" t="s">
        <v>179</v>
      </c>
      <c r="B92" s="17" t="s">
        <v>248</v>
      </c>
      <c r="C92" s="9" t="s">
        <v>249</v>
      </c>
      <c r="D92" s="9" t="s">
        <v>250</v>
      </c>
      <c r="E92" s="10" t="s">
        <v>694</v>
      </c>
      <c r="F92" s="10" t="s">
        <v>21</v>
      </c>
      <c r="G92" s="11">
        <v>1330</v>
      </c>
      <c r="H92" s="11">
        <v>1096</v>
      </c>
      <c r="I92" s="11">
        <v>1320</v>
      </c>
      <c r="J92" s="11">
        <v>1105</v>
      </c>
      <c r="K92" s="11">
        <v>1204</v>
      </c>
      <c r="L92" s="11">
        <v>759</v>
      </c>
      <c r="M92" s="11">
        <v>841</v>
      </c>
      <c r="N92" s="11">
        <v>455</v>
      </c>
      <c r="O92" s="11">
        <v>0</v>
      </c>
      <c r="P92" s="11">
        <v>0</v>
      </c>
      <c r="Q92" s="11">
        <v>0</v>
      </c>
      <c r="R92" s="11">
        <v>0</v>
      </c>
      <c r="S92" s="12">
        <v>8110</v>
      </c>
    </row>
    <row r="93" spans="1:19" ht="17.5" thickBot="1" x14ac:dyDescent="0.65">
      <c r="A93" s="10" t="s">
        <v>179</v>
      </c>
      <c r="B93" s="17" t="s">
        <v>248</v>
      </c>
      <c r="C93" s="9" t="s">
        <v>251</v>
      </c>
      <c r="D93" s="9" t="s">
        <v>252</v>
      </c>
      <c r="E93" s="10" t="s">
        <v>694</v>
      </c>
      <c r="F93" s="10" t="s">
        <v>21</v>
      </c>
      <c r="G93" s="11">
        <v>873</v>
      </c>
      <c r="H93" s="11">
        <v>671</v>
      </c>
      <c r="I93" s="11">
        <v>512</v>
      </c>
      <c r="J93" s="11">
        <v>295</v>
      </c>
      <c r="K93" s="11">
        <v>390</v>
      </c>
      <c r="L93" s="11">
        <v>318</v>
      </c>
      <c r="M93" s="11">
        <v>460</v>
      </c>
      <c r="N93" s="11">
        <v>624</v>
      </c>
      <c r="O93" s="11">
        <v>0</v>
      </c>
      <c r="P93" s="11">
        <v>0</v>
      </c>
      <c r="Q93" s="11">
        <v>0</v>
      </c>
      <c r="R93" s="11">
        <v>0</v>
      </c>
      <c r="S93" s="12">
        <v>4143</v>
      </c>
    </row>
    <row r="94" spans="1:19" ht="17.5" thickBot="1" x14ac:dyDescent="0.65">
      <c r="A94" s="10" t="s">
        <v>179</v>
      </c>
      <c r="B94" s="9" t="s">
        <v>253</v>
      </c>
      <c r="C94" s="9" t="s">
        <v>254</v>
      </c>
      <c r="D94" s="9" t="s">
        <v>255</v>
      </c>
      <c r="E94" s="10" t="s">
        <v>694</v>
      </c>
      <c r="F94" s="10" t="s">
        <v>21</v>
      </c>
      <c r="G94" s="11">
        <v>635</v>
      </c>
      <c r="H94" s="11">
        <v>515</v>
      </c>
      <c r="I94" s="11">
        <v>1177</v>
      </c>
      <c r="J94" s="11">
        <v>993</v>
      </c>
      <c r="K94" s="11">
        <v>889</v>
      </c>
      <c r="L94" s="11">
        <v>910</v>
      </c>
      <c r="M94" s="11">
        <v>747</v>
      </c>
      <c r="N94" s="11">
        <v>942</v>
      </c>
      <c r="O94" s="11">
        <v>0</v>
      </c>
      <c r="P94" s="11">
        <v>0</v>
      </c>
      <c r="Q94" s="11">
        <v>0</v>
      </c>
      <c r="R94" s="11">
        <v>0</v>
      </c>
      <c r="S94" s="12">
        <v>6808</v>
      </c>
    </row>
    <row r="95" spans="1:19" ht="17.5" thickBot="1" x14ac:dyDescent="0.65">
      <c r="A95" s="10" t="s">
        <v>179</v>
      </c>
      <c r="B95" s="9" t="s">
        <v>256</v>
      </c>
      <c r="C95" s="9" t="s">
        <v>257</v>
      </c>
      <c r="D95" s="9" t="s">
        <v>258</v>
      </c>
      <c r="E95" s="10" t="s">
        <v>694</v>
      </c>
      <c r="F95" s="10" t="s">
        <v>21</v>
      </c>
      <c r="G95" s="11">
        <v>33</v>
      </c>
      <c r="H95" s="11">
        <v>99</v>
      </c>
      <c r="I95" s="11">
        <v>445</v>
      </c>
      <c r="J95" s="11">
        <v>486</v>
      </c>
      <c r="K95" s="11">
        <v>346</v>
      </c>
      <c r="L95" s="11">
        <v>195</v>
      </c>
      <c r="M95" s="11">
        <v>555</v>
      </c>
      <c r="N95" s="11">
        <v>402</v>
      </c>
      <c r="O95" s="11">
        <v>0</v>
      </c>
      <c r="P95" s="11">
        <v>0</v>
      </c>
      <c r="Q95" s="11">
        <v>0</v>
      </c>
      <c r="R95" s="11">
        <v>0</v>
      </c>
      <c r="S95" s="12">
        <v>2561</v>
      </c>
    </row>
    <row r="96" spans="1:19" ht="17.5" thickBot="1" x14ac:dyDescent="0.65">
      <c r="A96" s="10" t="s">
        <v>179</v>
      </c>
      <c r="B96" s="9" t="s">
        <v>256</v>
      </c>
      <c r="C96" s="9" t="s">
        <v>259</v>
      </c>
      <c r="D96" s="9" t="s">
        <v>260</v>
      </c>
      <c r="E96" s="10" t="s">
        <v>694</v>
      </c>
      <c r="F96" s="10" t="s">
        <v>21</v>
      </c>
      <c r="G96" s="11">
        <v>1652</v>
      </c>
      <c r="H96" s="11">
        <v>2334</v>
      </c>
      <c r="I96" s="11">
        <v>2737</v>
      </c>
      <c r="J96" s="11">
        <v>3046</v>
      </c>
      <c r="K96" s="11">
        <v>2238</v>
      </c>
      <c r="L96" s="11">
        <v>3116</v>
      </c>
      <c r="M96" s="11">
        <v>2293</v>
      </c>
      <c r="N96" s="11">
        <v>1927</v>
      </c>
      <c r="O96" s="11">
        <v>0</v>
      </c>
      <c r="P96" s="11">
        <v>0</v>
      </c>
      <c r="Q96" s="11">
        <v>0</v>
      </c>
      <c r="R96" s="11">
        <v>0</v>
      </c>
      <c r="S96" s="12">
        <v>19343</v>
      </c>
    </row>
    <row r="97" spans="1:19" ht="17.5" thickBot="1" x14ac:dyDescent="0.65">
      <c r="A97" s="10" t="s">
        <v>179</v>
      </c>
      <c r="B97" s="9" t="s">
        <v>256</v>
      </c>
      <c r="C97" s="9" t="s">
        <v>261</v>
      </c>
      <c r="D97" s="9" t="s">
        <v>262</v>
      </c>
      <c r="E97" s="10" t="s">
        <v>694</v>
      </c>
      <c r="F97" s="10" t="s">
        <v>21</v>
      </c>
      <c r="G97" s="11">
        <v>1441</v>
      </c>
      <c r="H97" s="11">
        <v>1534</v>
      </c>
      <c r="I97" s="11">
        <v>1120</v>
      </c>
      <c r="J97" s="11">
        <v>489</v>
      </c>
      <c r="K97" s="11">
        <v>1001</v>
      </c>
      <c r="L97" s="11">
        <v>0</v>
      </c>
      <c r="M97" s="11">
        <v>0</v>
      </c>
      <c r="N97" s="11">
        <v>37</v>
      </c>
      <c r="O97" s="11">
        <v>0</v>
      </c>
      <c r="P97" s="11">
        <v>0</v>
      </c>
      <c r="Q97" s="11">
        <v>0</v>
      </c>
      <c r="R97" s="11">
        <v>0</v>
      </c>
      <c r="S97" s="12">
        <v>5622</v>
      </c>
    </row>
    <row r="98" spans="1:19" ht="17.5" thickBot="1" x14ac:dyDescent="0.65">
      <c r="A98" s="10" t="s">
        <v>179</v>
      </c>
      <c r="B98" s="9" t="s">
        <v>256</v>
      </c>
      <c r="C98" s="9" t="s">
        <v>263</v>
      </c>
      <c r="D98" s="9" t="s">
        <v>264</v>
      </c>
      <c r="E98" s="10" t="s">
        <v>694</v>
      </c>
      <c r="F98" s="10" t="s">
        <v>21</v>
      </c>
      <c r="G98" s="11">
        <v>843</v>
      </c>
      <c r="H98" s="11">
        <v>732</v>
      </c>
      <c r="I98" s="11">
        <v>413</v>
      </c>
      <c r="J98" s="11">
        <v>335</v>
      </c>
      <c r="K98" s="11">
        <v>447</v>
      </c>
      <c r="L98" s="11">
        <v>275</v>
      </c>
      <c r="M98" s="11">
        <v>415</v>
      </c>
      <c r="N98" s="11">
        <v>448</v>
      </c>
      <c r="O98" s="11">
        <v>0</v>
      </c>
      <c r="P98" s="11">
        <v>0</v>
      </c>
      <c r="Q98" s="11">
        <v>0</v>
      </c>
      <c r="R98" s="11">
        <v>0</v>
      </c>
      <c r="S98" s="12">
        <v>3908</v>
      </c>
    </row>
    <row r="99" spans="1:19" ht="17.5" thickBot="1" x14ac:dyDescent="0.65">
      <c r="A99" s="10" t="s">
        <v>179</v>
      </c>
      <c r="B99" s="9" t="s">
        <v>265</v>
      </c>
      <c r="C99" s="9" t="s">
        <v>266</v>
      </c>
      <c r="D99" s="9" t="s">
        <v>267</v>
      </c>
      <c r="E99" s="10" t="s">
        <v>694</v>
      </c>
      <c r="F99" s="10" t="s">
        <v>104</v>
      </c>
      <c r="G99" s="11">
        <v>591</v>
      </c>
      <c r="H99" s="11">
        <v>669</v>
      </c>
      <c r="I99" s="11">
        <v>1302</v>
      </c>
      <c r="J99" s="11">
        <v>1086</v>
      </c>
      <c r="K99" s="11">
        <v>1108</v>
      </c>
      <c r="L99" s="11">
        <v>1789</v>
      </c>
      <c r="M99" s="11">
        <v>1929</v>
      </c>
      <c r="N99" s="11">
        <v>1362</v>
      </c>
      <c r="O99" s="11">
        <v>0</v>
      </c>
      <c r="P99" s="11">
        <v>0</v>
      </c>
      <c r="Q99" s="11">
        <v>0</v>
      </c>
      <c r="R99" s="11">
        <v>0</v>
      </c>
      <c r="S99" s="12">
        <v>9836</v>
      </c>
    </row>
    <row r="100" spans="1:19" ht="17.5" thickBot="1" x14ac:dyDescent="0.65">
      <c r="A100" s="10" t="s">
        <v>179</v>
      </c>
      <c r="B100" s="9" t="s">
        <v>265</v>
      </c>
      <c r="C100" s="9" t="s">
        <v>268</v>
      </c>
      <c r="D100" s="9" t="s">
        <v>269</v>
      </c>
      <c r="E100" s="10" t="s">
        <v>694</v>
      </c>
      <c r="F100" s="10" t="s">
        <v>104</v>
      </c>
      <c r="G100" s="11">
        <v>186</v>
      </c>
      <c r="H100" s="11">
        <v>229</v>
      </c>
      <c r="I100" s="11">
        <v>73</v>
      </c>
      <c r="J100" s="11">
        <v>166</v>
      </c>
      <c r="K100" s="11">
        <v>271</v>
      </c>
      <c r="L100" s="11">
        <v>240</v>
      </c>
      <c r="M100" s="11">
        <v>576</v>
      </c>
      <c r="N100" s="11">
        <v>322</v>
      </c>
      <c r="O100" s="11">
        <v>0</v>
      </c>
      <c r="P100" s="11">
        <v>0</v>
      </c>
      <c r="Q100" s="11">
        <v>0</v>
      </c>
      <c r="R100" s="11">
        <v>0</v>
      </c>
      <c r="S100" s="12">
        <v>2063</v>
      </c>
    </row>
    <row r="101" spans="1:19" ht="17.5" thickBot="1" x14ac:dyDescent="0.65">
      <c r="A101" s="10" t="s">
        <v>179</v>
      </c>
      <c r="B101" s="9" t="s">
        <v>270</v>
      </c>
      <c r="C101" s="9" t="s">
        <v>271</v>
      </c>
      <c r="D101" s="9" t="s">
        <v>272</v>
      </c>
      <c r="E101" s="10" t="s">
        <v>694</v>
      </c>
      <c r="F101" s="10" t="s">
        <v>21</v>
      </c>
      <c r="G101" s="11">
        <v>1452</v>
      </c>
      <c r="H101" s="11">
        <v>2239</v>
      </c>
      <c r="I101" s="11">
        <v>2617</v>
      </c>
      <c r="J101" s="11">
        <v>1345</v>
      </c>
      <c r="K101" s="11">
        <v>1236</v>
      </c>
      <c r="L101" s="11">
        <v>1207</v>
      </c>
      <c r="M101" s="11">
        <v>1058</v>
      </c>
      <c r="N101" s="11">
        <v>1124</v>
      </c>
      <c r="O101" s="11">
        <v>0</v>
      </c>
      <c r="P101" s="11">
        <v>0</v>
      </c>
      <c r="Q101" s="11">
        <v>0</v>
      </c>
      <c r="R101" s="11">
        <v>0</v>
      </c>
      <c r="S101" s="12">
        <v>12278</v>
      </c>
    </row>
    <row r="102" spans="1:19" ht="17.5" thickBot="1" x14ac:dyDescent="0.65">
      <c r="A102" s="10" t="s">
        <v>179</v>
      </c>
      <c r="B102" s="9" t="s">
        <v>270</v>
      </c>
      <c r="C102" s="9" t="s">
        <v>273</v>
      </c>
      <c r="D102" s="9" t="s">
        <v>274</v>
      </c>
      <c r="E102" s="10" t="s">
        <v>694</v>
      </c>
      <c r="F102" s="10" t="s">
        <v>21</v>
      </c>
      <c r="G102" s="11">
        <v>466</v>
      </c>
      <c r="H102" s="11">
        <v>682</v>
      </c>
      <c r="I102" s="11">
        <v>1160</v>
      </c>
      <c r="J102" s="11">
        <v>640</v>
      </c>
      <c r="K102" s="11">
        <v>1254</v>
      </c>
      <c r="L102" s="11">
        <v>1123</v>
      </c>
      <c r="M102" s="11">
        <v>643</v>
      </c>
      <c r="N102" s="11">
        <v>659</v>
      </c>
      <c r="O102" s="11">
        <v>0</v>
      </c>
      <c r="P102" s="11">
        <v>0</v>
      </c>
      <c r="Q102" s="11">
        <v>0</v>
      </c>
      <c r="R102" s="11">
        <v>0</v>
      </c>
      <c r="S102" s="12">
        <v>6627</v>
      </c>
    </row>
    <row r="103" spans="1:19" ht="17.5" thickBot="1" x14ac:dyDescent="0.65">
      <c r="A103" s="10" t="s">
        <v>179</v>
      </c>
      <c r="B103" s="17" t="s">
        <v>275</v>
      </c>
      <c r="C103" s="9" t="s">
        <v>276</v>
      </c>
      <c r="D103" s="9" t="s">
        <v>277</v>
      </c>
      <c r="E103" s="10" t="s">
        <v>694</v>
      </c>
      <c r="F103" s="10" t="s">
        <v>25</v>
      </c>
      <c r="G103" s="11">
        <v>3970</v>
      </c>
      <c r="H103" s="11">
        <v>2822</v>
      </c>
      <c r="I103" s="11">
        <v>2272</v>
      </c>
      <c r="J103" s="11">
        <v>2666</v>
      </c>
      <c r="K103" s="11">
        <v>2221</v>
      </c>
      <c r="L103" s="11">
        <v>2799</v>
      </c>
      <c r="M103" s="11">
        <v>3143</v>
      </c>
      <c r="N103" s="11">
        <v>2518</v>
      </c>
      <c r="O103" s="11">
        <v>0</v>
      </c>
      <c r="P103" s="11">
        <v>0</v>
      </c>
      <c r="Q103" s="11">
        <v>0</v>
      </c>
      <c r="R103" s="11">
        <v>0</v>
      </c>
      <c r="S103" s="12">
        <v>22411</v>
      </c>
    </row>
    <row r="104" spans="1:19" ht="17.5" thickBot="1" x14ac:dyDescent="0.65">
      <c r="A104" s="10" t="s">
        <v>179</v>
      </c>
      <c r="B104" s="17" t="s">
        <v>275</v>
      </c>
      <c r="C104" s="9" t="s">
        <v>278</v>
      </c>
      <c r="D104" s="9" t="s">
        <v>279</v>
      </c>
      <c r="E104" s="10" t="s">
        <v>694</v>
      </c>
      <c r="F104" s="10" t="s">
        <v>25</v>
      </c>
      <c r="G104" s="11">
        <v>2497</v>
      </c>
      <c r="H104" s="11">
        <v>3582</v>
      </c>
      <c r="I104" s="11">
        <v>4246</v>
      </c>
      <c r="J104" s="11">
        <v>3245</v>
      </c>
      <c r="K104" s="11">
        <v>4176</v>
      </c>
      <c r="L104" s="11">
        <v>3637</v>
      </c>
      <c r="M104" s="11">
        <v>2782</v>
      </c>
      <c r="N104" s="11">
        <v>2831</v>
      </c>
      <c r="O104" s="11">
        <v>0</v>
      </c>
      <c r="P104" s="11">
        <v>0</v>
      </c>
      <c r="Q104" s="11">
        <v>0</v>
      </c>
      <c r="R104" s="11">
        <v>0</v>
      </c>
      <c r="S104" s="12">
        <v>26996</v>
      </c>
    </row>
    <row r="105" spans="1:19" ht="17.5" thickBot="1" x14ac:dyDescent="0.65">
      <c r="A105" s="10" t="s">
        <v>179</v>
      </c>
      <c r="B105" s="17" t="s">
        <v>275</v>
      </c>
      <c r="C105" s="9" t="s">
        <v>280</v>
      </c>
      <c r="D105" s="9" t="s">
        <v>281</v>
      </c>
      <c r="E105" s="10" t="s">
        <v>694</v>
      </c>
      <c r="F105" s="10" t="s">
        <v>25</v>
      </c>
      <c r="G105" s="11">
        <v>1197</v>
      </c>
      <c r="H105" s="11">
        <v>2181</v>
      </c>
      <c r="I105" s="11">
        <v>2538</v>
      </c>
      <c r="J105" s="11">
        <v>1496</v>
      </c>
      <c r="K105" s="11">
        <v>2077</v>
      </c>
      <c r="L105" s="11">
        <v>837</v>
      </c>
      <c r="M105" s="11">
        <v>1384</v>
      </c>
      <c r="N105" s="11">
        <v>1391</v>
      </c>
      <c r="O105" s="11">
        <v>0</v>
      </c>
      <c r="P105" s="11">
        <v>0</v>
      </c>
      <c r="Q105" s="11">
        <v>0</v>
      </c>
      <c r="R105" s="11">
        <v>0</v>
      </c>
      <c r="S105" s="12">
        <v>13101</v>
      </c>
    </row>
    <row r="106" spans="1:19" ht="17.5" thickBot="1" x14ac:dyDescent="0.65">
      <c r="A106" s="10" t="s">
        <v>179</v>
      </c>
      <c r="B106" s="17" t="s">
        <v>275</v>
      </c>
      <c r="C106" s="9" t="s">
        <v>282</v>
      </c>
      <c r="D106" s="9" t="s">
        <v>283</v>
      </c>
      <c r="E106" s="10" t="s">
        <v>694</v>
      </c>
      <c r="F106" s="10" t="s">
        <v>25</v>
      </c>
      <c r="G106" s="11">
        <v>697</v>
      </c>
      <c r="H106" s="11">
        <v>742</v>
      </c>
      <c r="I106" s="11">
        <v>312</v>
      </c>
      <c r="J106" s="11">
        <v>240</v>
      </c>
      <c r="K106" s="11">
        <v>302</v>
      </c>
      <c r="L106" s="11">
        <v>809</v>
      </c>
      <c r="M106" s="11">
        <v>736</v>
      </c>
      <c r="N106" s="11">
        <v>255</v>
      </c>
      <c r="O106" s="11">
        <v>0</v>
      </c>
      <c r="P106" s="11">
        <v>0</v>
      </c>
      <c r="Q106" s="11">
        <v>0</v>
      </c>
      <c r="R106" s="11">
        <v>0</v>
      </c>
      <c r="S106" s="12">
        <v>4093</v>
      </c>
    </row>
    <row r="107" spans="1:19" ht="17.5" thickBot="1" x14ac:dyDescent="0.65">
      <c r="A107" s="10" t="s">
        <v>179</v>
      </c>
      <c r="B107" s="9" t="s">
        <v>284</v>
      </c>
      <c r="C107" s="9" t="s">
        <v>285</v>
      </c>
      <c r="D107" s="9" t="s">
        <v>286</v>
      </c>
      <c r="E107" s="10" t="s">
        <v>694</v>
      </c>
      <c r="F107" s="10" t="s">
        <v>21</v>
      </c>
      <c r="G107" s="11">
        <v>334</v>
      </c>
      <c r="H107" s="11">
        <v>650</v>
      </c>
      <c r="I107" s="11">
        <v>1127</v>
      </c>
      <c r="J107" s="11">
        <v>1400</v>
      </c>
      <c r="K107" s="11">
        <v>1695</v>
      </c>
      <c r="L107" s="11">
        <v>2030</v>
      </c>
      <c r="M107" s="11">
        <v>1238</v>
      </c>
      <c r="N107" s="11">
        <v>1713</v>
      </c>
      <c r="O107" s="11">
        <v>0</v>
      </c>
      <c r="P107" s="11">
        <v>0</v>
      </c>
      <c r="Q107" s="11">
        <v>0</v>
      </c>
      <c r="R107" s="11">
        <v>0</v>
      </c>
      <c r="S107" s="12">
        <v>10187</v>
      </c>
    </row>
    <row r="108" spans="1:19" ht="17.5" thickBot="1" x14ac:dyDescent="0.65">
      <c r="A108" s="10" t="s">
        <v>179</v>
      </c>
      <c r="B108" s="9" t="s">
        <v>284</v>
      </c>
      <c r="C108" s="9" t="s">
        <v>287</v>
      </c>
      <c r="D108" s="9" t="s">
        <v>288</v>
      </c>
      <c r="E108" s="10" t="s">
        <v>694</v>
      </c>
      <c r="F108" s="10" t="s">
        <v>21</v>
      </c>
      <c r="G108" s="11">
        <v>558</v>
      </c>
      <c r="H108" s="11">
        <v>608</v>
      </c>
      <c r="I108" s="11">
        <v>1332</v>
      </c>
      <c r="J108" s="11">
        <v>1036</v>
      </c>
      <c r="K108" s="11">
        <v>1953</v>
      </c>
      <c r="L108" s="11">
        <v>962</v>
      </c>
      <c r="M108" s="11">
        <v>658</v>
      </c>
      <c r="N108" s="11">
        <v>352</v>
      </c>
      <c r="O108" s="11">
        <v>0</v>
      </c>
      <c r="P108" s="11">
        <v>0</v>
      </c>
      <c r="Q108" s="11">
        <v>0</v>
      </c>
      <c r="R108" s="11">
        <v>0</v>
      </c>
      <c r="S108" s="12">
        <v>7459</v>
      </c>
    </row>
    <row r="109" spans="1:19" ht="17.5" thickBot="1" x14ac:dyDescent="0.65">
      <c r="A109" s="10" t="s">
        <v>179</v>
      </c>
      <c r="B109" s="9" t="s">
        <v>284</v>
      </c>
      <c r="C109" s="9" t="s">
        <v>289</v>
      </c>
      <c r="D109" s="9" t="s">
        <v>290</v>
      </c>
      <c r="E109" s="10" t="s">
        <v>694</v>
      </c>
      <c r="F109" s="10" t="s">
        <v>21</v>
      </c>
      <c r="G109" s="11">
        <v>799</v>
      </c>
      <c r="H109" s="11">
        <v>993</v>
      </c>
      <c r="I109" s="11">
        <v>822</v>
      </c>
      <c r="J109" s="11">
        <v>649</v>
      </c>
      <c r="K109" s="11">
        <v>596</v>
      </c>
      <c r="L109" s="11">
        <v>814</v>
      </c>
      <c r="M109" s="11">
        <v>925</v>
      </c>
      <c r="N109" s="11">
        <v>1078</v>
      </c>
      <c r="O109" s="11">
        <v>0</v>
      </c>
      <c r="P109" s="11">
        <v>0</v>
      </c>
      <c r="Q109" s="11">
        <v>0</v>
      </c>
      <c r="R109" s="11">
        <v>0</v>
      </c>
      <c r="S109" s="12">
        <v>6676</v>
      </c>
    </row>
    <row r="110" spans="1:19" ht="17.5" thickBot="1" x14ac:dyDescent="0.65">
      <c r="A110" s="10" t="s">
        <v>179</v>
      </c>
      <c r="B110" s="9" t="s">
        <v>284</v>
      </c>
      <c r="C110" s="9" t="s">
        <v>291</v>
      </c>
      <c r="D110" s="9" t="s">
        <v>292</v>
      </c>
      <c r="E110" s="10" t="s">
        <v>694</v>
      </c>
      <c r="F110" s="10" t="s">
        <v>21</v>
      </c>
      <c r="G110" s="11">
        <v>752</v>
      </c>
      <c r="H110" s="11">
        <v>710</v>
      </c>
      <c r="I110" s="11">
        <v>438</v>
      </c>
      <c r="J110" s="11">
        <v>622</v>
      </c>
      <c r="K110" s="11">
        <v>460</v>
      </c>
      <c r="L110" s="11">
        <v>1232</v>
      </c>
      <c r="M110" s="11">
        <v>317</v>
      </c>
      <c r="N110" s="11">
        <v>93</v>
      </c>
      <c r="O110" s="11">
        <v>0</v>
      </c>
      <c r="P110" s="11">
        <v>0</v>
      </c>
      <c r="Q110" s="11">
        <v>0</v>
      </c>
      <c r="R110" s="11">
        <v>0</v>
      </c>
      <c r="S110" s="12">
        <v>4624</v>
      </c>
    </row>
    <row r="111" spans="1:19" ht="17.5" thickBot="1" x14ac:dyDescent="0.65">
      <c r="A111" s="10" t="s">
        <v>179</v>
      </c>
      <c r="B111" s="9" t="s">
        <v>293</v>
      </c>
      <c r="C111" s="9" t="s">
        <v>294</v>
      </c>
      <c r="D111" s="9" t="s">
        <v>295</v>
      </c>
      <c r="E111" s="10" t="s">
        <v>694</v>
      </c>
      <c r="F111" s="10" t="s">
        <v>21</v>
      </c>
      <c r="G111" s="11">
        <v>1433</v>
      </c>
      <c r="H111" s="11">
        <v>1146</v>
      </c>
      <c r="I111" s="11">
        <v>1663</v>
      </c>
      <c r="J111" s="11">
        <v>974</v>
      </c>
      <c r="K111" s="11">
        <v>1117</v>
      </c>
      <c r="L111" s="11">
        <v>1296</v>
      </c>
      <c r="M111" s="11">
        <v>925</v>
      </c>
      <c r="N111" s="11">
        <v>1009</v>
      </c>
      <c r="O111" s="11">
        <v>0</v>
      </c>
      <c r="P111" s="11">
        <v>0</v>
      </c>
      <c r="Q111" s="11">
        <v>0</v>
      </c>
      <c r="R111" s="11">
        <v>0</v>
      </c>
      <c r="S111" s="12">
        <v>9563</v>
      </c>
    </row>
    <row r="112" spans="1:19" ht="17.5" thickBot="1" x14ac:dyDescent="0.65">
      <c r="A112" s="10" t="s">
        <v>179</v>
      </c>
      <c r="B112" s="9" t="s">
        <v>296</v>
      </c>
      <c r="C112" s="9" t="s">
        <v>297</v>
      </c>
      <c r="D112" s="9" t="s">
        <v>298</v>
      </c>
      <c r="E112" s="10" t="s">
        <v>694</v>
      </c>
      <c r="F112" s="10" t="s">
        <v>25</v>
      </c>
      <c r="G112" s="11">
        <v>722</v>
      </c>
      <c r="H112" s="11">
        <v>1476</v>
      </c>
      <c r="I112" s="11">
        <v>1998</v>
      </c>
      <c r="J112" s="11">
        <v>1508</v>
      </c>
      <c r="K112" s="11">
        <v>1597</v>
      </c>
      <c r="L112" s="11">
        <v>1968</v>
      </c>
      <c r="M112" s="11">
        <v>1712</v>
      </c>
      <c r="N112" s="11">
        <v>886</v>
      </c>
      <c r="O112" s="11">
        <v>0</v>
      </c>
      <c r="P112" s="11">
        <v>0</v>
      </c>
      <c r="Q112" s="11">
        <v>0</v>
      </c>
      <c r="R112" s="11">
        <v>0</v>
      </c>
      <c r="S112" s="12">
        <v>11867</v>
      </c>
    </row>
    <row r="113" spans="1:19" ht="17.5" thickBot="1" x14ac:dyDescent="0.65">
      <c r="A113" s="10" t="s">
        <v>179</v>
      </c>
      <c r="B113" s="9" t="s">
        <v>296</v>
      </c>
      <c r="C113" s="9" t="s">
        <v>299</v>
      </c>
      <c r="D113" s="9" t="s">
        <v>300</v>
      </c>
      <c r="E113" s="10" t="s">
        <v>694</v>
      </c>
      <c r="F113" s="10" t="s">
        <v>25</v>
      </c>
      <c r="G113" s="11">
        <v>2480</v>
      </c>
      <c r="H113" s="11">
        <v>2734</v>
      </c>
      <c r="I113" s="11">
        <v>3841</v>
      </c>
      <c r="J113" s="11">
        <v>2366</v>
      </c>
      <c r="K113" s="11">
        <v>1825</v>
      </c>
      <c r="L113" s="11">
        <v>2804</v>
      </c>
      <c r="M113" s="11">
        <v>2749</v>
      </c>
      <c r="N113" s="11">
        <v>2631</v>
      </c>
      <c r="O113" s="11">
        <v>0</v>
      </c>
      <c r="P113" s="11">
        <v>0</v>
      </c>
      <c r="Q113" s="11">
        <v>0</v>
      </c>
      <c r="R113" s="11">
        <v>0</v>
      </c>
      <c r="S113" s="12">
        <v>21430</v>
      </c>
    </row>
    <row r="114" spans="1:19" ht="17.5" thickBot="1" x14ac:dyDescent="0.65">
      <c r="A114" s="10" t="s">
        <v>179</v>
      </c>
      <c r="B114" s="9" t="s">
        <v>296</v>
      </c>
      <c r="C114" s="9" t="s">
        <v>301</v>
      </c>
      <c r="D114" s="9" t="s">
        <v>302</v>
      </c>
      <c r="E114" s="10" t="s">
        <v>694</v>
      </c>
      <c r="F114" s="10" t="s">
        <v>25</v>
      </c>
      <c r="G114" s="11">
        <v>2988</v>
      </c>
      <c r="H114" s="11">
        <v>3544</v>
      </c>
      <c r="I114" s="11">
        <v>2381</v>
      </c>
      <c r="J114" s="11">
        <v>2305</v>
      </c>
      <c r="K114" s="11">
        <v>2422</v>
      </c>
      <c r="L114" s="11">
        <v>2409</v>
      </c>
      <c r="M114" s="11">
        <v>2183</v>
      </c>
      <c r="N114" s="11">
        <v>2506</v>
      </c>
      <c r="O114" s="11">
        <v>0</v>
      </c>
      <c r="P114" s="11">
        <v>0</v>
      </c>
      <c r="Q114" s="11">
        <v>0</v>
      </c>
      <c r="R114" s="11">
        <v>0</v>
      </c>
      <c r="S114" s="12">
        <v>20738</v>
      </c>
    </row>
    <row r="115" spans="1:19" ht="17.5" thickBot="1" x14ac:dyDescent="0.65">
      <c r="A115" s="10" t="s">
        <v>179</v>
      </c>
      <c r="B115" s="9" t="s">
        <v>296</v>
      </c>
      <c r="C115" s="9" t="s">
        <v>303</v>
      </c>
      <c r="D115" s="9" t="s">
        <v>304</v>
      </c>
      <c r="E115" s="10" t="s">
        <v>694</v>
      </c>
      <c r="F115" s="10" t="s">
        <v>25</v>
      </c>
      <c r="G115" s="11">
        <v>768</v>
      </c>
      <c r="H115" s="11">
        <v>1076</v>
      </c>
      <c r="I115" s="11">
        <v>2747</v>
      </c>
      <c r="J115" s="11">
        <v>1983</v>
      </c>
      <c r="K115" s="11">
        <v>2014</v>
      </c>
      <c r="L115" s="11">
        <v>1611</v>
      </c>
      <c r="M115" s="11">
        <v>1479</v>
      </c>
      <c r="N115" s="11">
        <v>1074</v>
      </c>
      <c r="O115" s="11">
        <v>0</v>
      </c>
      <c r="P115" s="11">
        <v>0</v>
      </c>
      <c r="Q115" s="11">
        <v>0</v>
      </c>
      <c r="R115" s="11">
        <v>0</v>
      </c>
      <c r="S115" s="12">
        <v>12752</v>
      </c>
    </row>
    <row r="116" spans="1:19" ht="17.5" thickBot="1" x14ac:dyDescent="0.65">
      <c r="A116" s="10" t="s">
        <v>179</v>
      </c>
      <c r="B116" s="9" t="s">
        <v>296</v>
      </c>
      <c r="C116" s="9" t="s">
        <v>305</v>
      </c>
      <c r="D116" s="9" t="s">
        <v>306</v>
      </c>
      <c r="E116" s="10" t="s">
        <v>694</v>
      </c>
      <c r="F116" s="10" t="s">
        <v>25</v>
      </c>
      <c r="G116" s="11">
        <v>1965</v>
      </c>
      <c r="H116" s="11">
        <v>1569</v>
      </c>
      <c r="I116" s="11">
        <v>2082</v>
      </c>
      <c r="J116" s="11">
        <v>2033</v>
      </c>
      <c r="K116" s="11">
        <v>2287</v>
      </c>
      <c r="L116" s="11">
        <v>2530</v>
      </c>
      <c r="M116" s="11">
        <v>2908</v>
      </c>
      <c r="N116" s="11">
        <v>2739</v>
      </c>
      <c r="O116" s="11">
        <v>0</v>
      </c>
      <c r="P116" s="11">
        <v>0</v>
      </c>
      <c r="Q116" s="11">
        <v>0</v>
      </c>
      <c r="R116" s="11">
        <v>0</v>
      </c>
      <c r="S116" s="12">
        <v>18113</v>
      </c>
    </row>
    <row r="117" spans="1:19" ht="17.5" thickBot="1" x14ac:dyDescent="0.65">
      <c r="A117" s="10" t="s">
        <v>179</v>
      </c>
      <c r="B117" s="9" t="s">
        <v>307</v>
      </c>
      <c r="C117" s="9" t="s">
        <v>308</v>
      </c>
      <c r="D117" s="9" t="s">
        <v>309</v>
      </c>
      <c r="E117" s="10" t="s">
        <v>694</v>
      </c>
      <c r="F117" s="10" t="s">
        <v>21</v>
      </c>
      <c r="G117" s="11">
        <v>1124</v>
      </c>
      <c r="H117" s="11">
        <v>1082</v>
      </c>
      <c r="I117" s="11">
        <v>1550</v>
      </c>
      <c r="J117" s="11">
        <v>1379</v>
      </c>
      <c r="K117" s="11">
        <v>1209</v>
      </c>
      <c r="L117" s="11">
        <v>1337</v>
      </c>
      <c r="M117" s="11">
        <v>1066</v>
      </c>
      <c r="N117" s="11">
        <v>1166</v>
      </c>
      <c r="O117" s="11">
        <v>0</v>
      </c>
      <c r="P117" s="11">
        <v>0</v>
      </c>
      <c r="Q117" s="11">
        <v>0</v>
      </c>
      <c r="R117" s="11">
        <v>0</v>
      </c>
      <c r="S117" s="12">
        <v>9913</v>
      </c>
    </row>
    <row r="118" spans="1:19" ht="17.5" thickBot="1" x14ac:dyDescent="0.65">
      <c r="A118" s="10" t="s">
        <v>179</v>
      </c>
      <c r="B118" s="9" t="s">
        <v>310</v>
      </c>
      <c r="C118" s="9" t="s">
        <v>311</v>
      </c>
      <c r="D118" s="9" t="s">
        <v>738</v>
      </c>
      <c r="E118" s="10" t="s">
        <v>694</v>
      </c>
      <c r="F118" s="10" t="s">
        <v>28</v>
      </c>
      <c r="G118" s="11">
        <v>497</v>
      </c>
      <c r="H118" s="11">
        <v>1120</v>
      </c>
      <c r="I118" s="11">
        <v>964</v>
      </c>
      <c r="J118" s="11">
        <v>871</v>
      </c>
      <c r="K118" s="11">
        <v>361</v>
      </c>
      <c r="L118" s="11">
        <v>565</v>
      </c>
      <c r="M118" s="11">
        <v>578</v>
      </c>
      <c r="N118" s="11">
        <v>384</v>
      </c>
      <c r="O118" s="11">
        <v>0</v>
      </c>
      <c r="P118" s="11">
        <v>0</v>
      </c>
      <c r="Q118" s="11">
        <v>0</v>
      </c>
      <c r="R118" s="11">
        <v>0</v>
      </c>
      <c r="S118" s="12">
        <v>5340</v>
      </c>
    </row>
    <row r="119" spans="1:19" ht="17.5" thickBot="1" x14ac:dyDescent="0.65">
      <c r="A119" s="10" t="s">
        <v>179</v>
      </c>
      <c r="B119" s="9" t="s">
        <v>312</v>
      </c>
      <c r="C119" s="9" t="s">
        <v>313</v>
      </c>
      <c r="D119" s="9" t="s">
        <v>314</v>
      </c>
      <c r="E119" s="10" t="s">
        <v>694</v>
      </c>
      <c r="F119" s="10" t="s">
        <v>25</v>
      </c>
      <c r="G119" s="11">
        <v>3175</v>
      </c>
      <c r="H119" s="11">
        <v>3791</v>
      </c>
      <c r="I119" s="11">
        <v>5051</v>
      </c>
      <c r="J119" s="11">
        <v>4383</v>
      </c>
      <c r="K119" s="11">
        <v>3806</v>
      </c>
      <c r="L119" s="11">
        <v>3278</v>
      </c>
      <c r="M119" s="11">
        <v>2683</v>
      </c>
      <c r="N119" s="11">
        <v>2358</v>
      </c>
      <c r="O119" s="11">
        <v>0</v>
      </c>
      <c r="P119" s="11">
        <v>0</v>
      </c>
      <c r="Q119" s="11">
        <v>0</v>
      </c>
      <c r="R119" s="11">
        <v>0</v>
      </c>
      <c r="S119" s="12">
        <v>28525</v>
      </c>
    </row>
    <row r="120" spans="1:19" ht="17.5" thickBot="1" x14ac:dyDescent="0.65">
      <c r="A120" s="10" t="s">
        <v>179</v>
      </c>
      <c r="B120" s="9" t="s">
        <v>315</v>
      </c>
      <c r="C120" s="9" t="s">
        <v>316</v>
      </c>
      <c r="D120" s="9" t="s">
        <v>317</v>
      </c>
      <c r="E120" s="10" t="s">
        <v>694</v>
      </c>
      <c r="F120" s="10" t="s">
        <v>21</v>
      </c>
      <c r="G120" s="11">
        <v>1028</v>
      </c>
      <c r="H120" s="11">
        <v>701</v>
      </c>
      <c r="I120" s="11">
        <v>1005</v>
      </c>
      <c r="J120" s="11">
        <v>539</v>
      </c>
      <c r="K120" s="11">
        <v>240</v>
      </c>
      <c r="L120" s="11">
        <v>584</v>
      </c>
      <c r="M120" s="11">
        <v>269</v>
      </c>
      <c r="N120" s="11">
        <v>352</v>
      </c>
      <c r="O120" s="11">
        <v>0</v>
      </c>
      <c r="P120" s="11">
        <v>0</v>
      </c>
      <c r="Q120" s="11">
        <v>0</v>
      </c>
      <c r="R120" s="11">
        <v>0</v>
      </c>
      <c r="S120" s="12">
        <v>4718</v>
      </c>
    </row>
    <row r="121" spans="1:19" ht="17.5" thickBot="1" x14ac:dyDescent="0.65">
      <c r="A121" s="10" t="s">
        <v>179</v>
      </c>
      <c r="B121" s="9" t="s">
        <v>318</v>
      </c>
      <c r="C121" s="9" t="s">
        <v>319</v>
      </c>
      <c r="D121" s="9" t="s">
        <v>779</v>
      </c>
      <c r="E121" s="10" t="s">
        <v>694</v>
      </c>
      <c r="F121" s="10" t="s">
        <v>104</v>
      </c>
      <c r="G121" s="11">
        <v>956</v>
      </c>
      <c r="H121" s="11">
        <v>779</v>
      </c>
      <c r="I121" s="11">
        <v>820</v>
      </c>
      <c r="J121" s="11">
        <v>1308</v>
      </c>
      <c r="K121" s="11">
        <v>852</v>
      </c>
      <c r="L121" s="11">
        <v>544</v>
      </c>
      <c r="M121" s="11">
        <v>498</v>
      </c>
      <c r="N121" s="11">
        <v>809</v>
      </c>
      <c r="O121" s="11">
        <v>0</v>
      </c>
      <c r="P121" s="11">
        <v>0</v>
      </c>
      <c r="Q121" s="11">
        <v>0</v>
      </c>
      <c r="R121" s="11">
        <v>0</v>
      </c>
      <c r="S121" s="12">
        <v>6566</v>
      </c>
    </row>
    <row r="122" spans="1:19" ht="17.5" thickBot="1" x14ac:dyDescent="0.65">
      <c r="A122" s="10" t="s">
        <v>179</v>
      </c>
      <c r="B122" s="9" t="s">
        <v>320</v>
      </c>
      <c r="C122" s="9" t="s">
        <v>321</v>
      </c>
      <c r="D122" s="9" t="s">
        <v>780</v>
      </c>
      <c r="E122" s="10" t="s">
        <v>694</v>
      </c>
      <c r="F122" s="10" t="s">
        <v>21</v>
      </c>
      <c r="G122" s="11">
        <v>179</v>
      </c>
      <c r="H122" s="11">
        <v>173</v>
      </c>
      <c r="I122" s="11">
        <v>330</v>
      </c>
      <c r="J122" s="11">
        <v>237</v>
      </c>
      <c r="K122" s="11">
        <v>179</v>
      </c>
      <c r="L122" s="11">
        <v>108</v>
      </c>
      <c r="M122" s="11">
        <v>412</v>
      </c>
      <c r="N122" s="11">
        <v>66</v>
      </c>
      <c r="O122" s="11">
        <v>0</v>
      </c>
      <c r="P122" s="11">
        <v>0</v>
      </c>
      <c r="Q122" s="11">
        <v>0</v>
      </c>
      <c r="R122" s="11">
        <v>0</v>
      </c>
      <c r="S122" s="12">
        <v>1684</v>
      </c>
    </row>
    <row r="123" spans="1:19" ht="17.5" thickBot="1" x14ac:dyDescent="0.65">
      <c r="A123" s="10" t="s">
        <v>179</v>
      </c>
      <c r="B123" s="9" t="s">
        <v>322</v>
      </c>
      <c r="C123" s="9" t="s">
        <v>323</v>
      </c>
      <c r="D123" s="9" t="s">
        <v>781</v>
      </c>
      <c r="E123" s="10" t="s">
        <v>694</v>
      </c>
      <c r="F123" s="10" t="s">
        <v>28</v>
      </c>
      <c r="G123" s="11">
        <v>711</v>
      </c>
      <c r="H123" s="11">
        <v>924</v>
      </c>
      <c r="I123" s="11">
        <v>257</v>
      </c>
      <c r="J123" s="11">
        <v>97</v>
      </c>
      <c r="K123" s="11">
        <v>148</v>
      </c>
      <c r="L123" s="11">
        <v>156</v>
      </c>
      <c r="M123" s="11">
        <v>200</v>
      </c>
      <c r="N123" s="11">
        <v>155</v>
      </c>
      <c r="O123" s="11">
        <v>0</v>
      </c>
      <c r="P123" s="11">
        <v>0</v>
      </c>
      <c r="Q123" s="11">
        <v>0</v>
      </c>
      <c r="R123" s="11">
        <v>0</v>
      </c>
      <c r="S123" s="12">
        <v>2648</v>
      </c>
    </row>
    <row r="124" spans="1:19" ht="17.5" thickBot="1" x14ac:dyDescent="0.65">
      <c r="A124" s="10" t="s">
        <v>179</v>
      </c>
      <c r="B124" s="9" t="s">
        <v>322</v>
      </c>
      <c r="C124" s="9" t="s">
        <v>324</v>
      </c>
      <c r="D124" s="9" t="s">
        <v>782</v>
      </c>
      <c r="E124" s="10" t="s">
        <v>694</v>
      </c>
      <c r="F124" s="10" t="s">
        <v>28</v>
      </c>
      <c r="G124" s="11">
        <v>81</v>
      </c>
      <c r="H124" s="11">
        <v>216</v>
      </c>
      <c r="I124" s="11">
        <v>152</v>
      </c>
      <c r="J124" s="11">
        <v>121</v>
      </c>
      <c r="K124" s="11">
        <v>54</v>
      </c>
      <c r="L124" s="11">
        <v>58</v>
      </c>
      <c r="M124" s="11">
        <v>80</v>
      </c>
      <c r="N124" s="11">
        <v>39</v>
      </c>
      <c r="O124" s="11">
        <v>0</v>
      </c>
      <c r="P124" s="11">
        <v>0</v>
      </c>
      <c r="Q124" s="11">
        <v>0</v>
      </c>
      <c r="R124" s="11">
        <v>0</v>
      </c>
      <c r="S124" s="12">
        <v>801</v>
      </c>
    </row>
    <row r="125" spans="1:19" ht="17.5" thickBot="1" x14ac:dyDescent="0.65">
      <c r="A125" s="10" t="s">
        <v>179</v>
      </c>
      <c r="B125" s="9" t="s">
        <v>325</v>
      </c>
      <c r="C125" s="9" t="s">
        <v>326</v>
      </c>
      <c r="D125" s="9" t="s">
        <v>783</v>
      </c>
      <c r="E125" s="10" t="s">
        <v>694</v>
      </c>
      <c r="F125" s="10" t="s">
        <v>21</v>
      </c>
      <c r="G125" s="11">
        <v>1092</v>
      </c>
      <c r="H125" s="11">
        <v>957</v>
      </c>
      <c r="I125" s="11">
        <v>1651</v>
      </c>
      <c r="J125" s="11">
        <v>877</v>
      </c>
      <c r="K125" s="11">
        <v>734</v>
      </c>
      <c r="L125" s="11">
        <v>366</v>
      </c>
      <c r="M125" s="11">
        <v>1142</v>
      </c>
      <c r="N125" s="11">
        <v>1457</v>
      </c>
      <c r="O125" s="11">
        <v>0</v>
      </c>
      <c r="P125" s="11">
        <v>0</v>
      </c>
      <c r="Q125" s="11">
        <v>0</v>
      </c>
      <c r="R125" s="11">
        <v>0</v>
      </c>
      <c r="S125" s="12">
        <v>8276</v>
      </c>
    </row>
    <row r="126" spans="1:19" ht="17.5" thickBot="1" x14ac:dyDescent="0.65">
      <c r="A126" s="10" t="s">
        <v>179</v>
      </c>
      <c r="B126" s="8" t="s">
        <v>327</v>
      </c>
      <c r="C126" s="9" t="s">
        <v>328</v>
      </c>
      <c r="D126" s="9" t="s">
        <v>784</v>
      </c>
      <c r="E126" s="10" t="s">
        <v>694</v>
      </c>
      <c r="F126" s="10" t="s">
        <v>21</v>
      </c>
      <c r="G126" s="11">
        <v>757</v>
      </c>
      <c r="H126" s="11">
        <v>721</v>
      </c>
      <c r="I126" s="11">
        <v>1615</v>
      </c>
      <c r="J126" s="11">
        <v>1307</v>
      </c>
      <c r="K126" s="11">
        <v>1223</v>
      </c>
      <c r="L126" s="11">
        <v>1227</v>
      </c>
      <c r="M126" s="11">
        <v>1124</v>
      </c>
      <c r="N126" s="11">
        <v>811</v>
      </c>
      <c r="O126" s="11">
        <v>0</v>
      </c>
      <c r="P126" s="11">
        <v>0</v>
      </c>
      <c r="Q126" s="11">
        <v>0</v>
      </c>
      <c r="R126" s="11">
        <v>0</v>
      </c>
      <c r="S126" s="12">
        <v>8785</v>
      </c>
    </row>
    <row r="127" spans="1:19" ht="17.5" thickBot="1" x14ac:dyDescent="0.65">
      <c r="A127" s="10" t="s">
        <v>179</v>
      </c>
      <c r="B127" s="8" t="s">
        <v>329</v>
      </c>
      <c r="C127" s="9" t="s">
        <v>330</v>
      </c>
      <c r="D127" s="9" t="s">
        <v>730</v>
      </c>
      <c r="E127" s="10" t="s">
        <v>694</v>
      </c>
      <c r="F127" s="10" t="s">
        <v>28</v>
      </c>
      <c r="G127" s="11">
        <v>195</v>
      </c>
      <c r="H127" s="11">
        <v>294</v>
      </c>
      <c r="I127" s="11">
        <v>296</v>
      </c>
      <c r="J127" s="11">
        <v>520</v>
      </c>
      <c r="K127" s="11">
        <v>406</v>
      </c>
      <c r="L127" s="11">
        <v>365</v>
      </c>
      <c r="M127" s="11">
        <v>526</v>
      </c>
      <c r="N127" s="11">
        <v>94</v>
      </c>
      <c r="O127" s="11">
        <v>0</v>
      </c>
      <c r="P127" s="11">
        <v>0</v>
      </c>
      <c r="Q127" s="11">
        <v>0</v>
      </c>
      <c r="R127" s="11">
        <v>0</v>
      </c>
      <c r="S127" s="12">
        <v>2696</v>
      </c>
    </row>
    <row r="128" spans="1:19" ht="17.5" thickBot="1" x14ac:dyDescent="0.65">
      <c r="A128" s="10" t="s">
        <v>179</v>
      </c>
      <c r="B128" s="9" t="s">
        <v>331</v>
      </c>
      <c r="C128" s="9" t="s">
        <v>332</v>
      </c>
      <c r="D128" s="9" t="s">
        <v>725</v>
      </c>
      <c r="E128" s="10" t="s">
        <v>695</v>
      </c>
      <c r="F128" s="10" t="s">
        <v>28</v>
      </c>
      <c r="G128" s="11">
        <v>395</v>
      </c>
      <c r="H128" s="11">
        <v>153</v>
      </c>
      <c r="I128" s="11">
        <v>407</v>
      </c>
      <c r="J128" s="11">
        <v>71</v>
      </c>
      <c r="K128" s="11">
        <v>83</v>
      </c>
      <c r="L128" s="11">
        <v>53</v>
      </c>
      <c r="M128" s="11">
        <v>188</v>
      </c>
      <c r="N128" s="11">
        <v>731</v>
      </c>
      <c r="O128" s="11">
        <v>0</v>
      </c>
      <c r="P128" s="11">
        <v>0</v>
      </c>
      <c r="Q128" s="11">
        <v>0</v>
      </c>
      <c r="R128" s="11">
        <v>0</v>
      </c>
      <c r="S128" s="12">
        <v>2081</v>
      </c>
    </row>
    <row r="129" spans="1:19" ht="17.5" thickBot="1" x14ac:dyDescent="0.65">
      <c r="A129" s="10" t="s">
        <v>179</v>
      </c>
      <c r="B129" s="9" t="s">
        <v>331</v>
      </c>
      <c r="C129" s="9" t="s">
        <v>333</v>
      </c>
      <c r="D129" s="9" t="s">
        <v>733</v>
      </c>
      <c r="E129" s="10" t="s">
        <v>694</v>
      </c>
      <c r="F129" s="10" t="s">
        <v>28</v>
      </c>
      <c r="G129" s="11">
        <v>1727</v>
      </c>
      <c r="H129" s="11">
        <v>1355</v>
      </c>
      <c r="I129" s="11">
        <v>1212</v>
      </c>
      <c r="J129" s="11">
        <v>641</v>
      </c>
      <c r="K129" s="11">
        <v>790</v>
      </c>
      <c r="L129" s="11">
        <v>741</v>
      </c>
      <c r="M129" s="11">
        <v>1010</v>
      </c>
      <c r="N129" s="11">
        <v>662</v>
      </c>
      <c r="O129" s="11">
        <v>0</v>
      </c>
      <c r="P129" s="11">
        <v>0</v>
      </c>
      <c r="Q129" s="11">
        <v>0</v>
      </c>
      <c r="R129" s="11">
        <v>0</v>
      </c>
      <c r="S129" s="12">
        <v>8138</v>
      </c>
    </row>
    <row r="130" spans="1:19" ht="17.5" thickBot="1" x14ac:dyDescent="0.65">
      <c r="A130" s="10" t="s">
        <v>179</v>
      </c>
      <c r="B130" s="9" t="s">
        <v>334</v>
      </c>
      <c r="C130" s="9" t="s">
        <v>335</v>
      </c>
      <c r="D130" s="9" t="s">
        <v>785</v>
      </c>
      <c r="E130" s="10" t="s">
        <v>694</v>
      </c>
      <c r="F130" s="10" t="s">
        <v>25</v>
      </c>
      <c r="G130" s="11">
        <v>931</v>
      </c>
      <c r="H130" s="11">
        <v>1490</v>
      </c>
      <c r="I130" s="11">
        <v>1602</v>
      </c>
      <c r="J130" s="11">
        <v>1465</v>
      </c>
      <c r="K130" s="11">
        <v>940</v>
      </c>
      <c r="L130" s="11">
        <v>1405</v>
      </c>
      <c r="M130" s="11">
        <v>574</v>
      </c>
      <c r="N130" s="11">
        <v>455</v>
      </c>
      <c r="O130" s="11">
        <v>0</v>
      </c>
      <c r="P130" s="11">
        <v>0</v>
      </c>
      <c r="Q130" s="11">
        <v>0</v>
      </c>
      <c r="R130" s="11">
        <v>0</v>
      </c>
      <c r="S130" s="12">
        <v>8862</v>
      </c>
    </row>
    <row r="131" spans="1:19" ht="17.5" thickBot="1" x14ac:dyDescent="0.65">
      <c r="A131" s="10" t="s">
        <v>179</v>
      </c>
      <c r="B131" s="9" t="s">
        <v>336</v>
      </c>
      <c r="C131" s="9" t="s">
        <v>337</v>
      </c>
      <c r="D131" s="9" t="s">
        <v>726</v>
      </c>
      <c r="E131" s="10" t="s">
        <v>695</v>
      </c>
      <c r="F131" s="10" t="s">
        <v>28</v>
      </c>
      <c r="G131" s="11">
        <v>1404</v>
      </c>
      <c r="H131" s="11">
        <v>901</v>
      </c>
      <c r="I131" s="11">
        <v>1021</v>
      </c>
      <c r="J131" s="11">
        <v>1028</v>
      </c>
      <c r="K131" s="11">
        <v>1377</v>
      </c>
      <c r="L131" s="11">
        <v>812</v>
      </c>
      <c r="M131" s="11">
        <v>1189</v>
      </c>
      <c r="N131" s="11">
        <v>1080</v>
      </c>
      <c r="O131" s="11">
        <v>0</v>
      </c>
      <c r="P131" s="11">
        <v>0</v>
      </c>
      <c r="Q131" s="11">
        <v>0</v>
      </c>
      <c r="R131" s="11">
        <v>0</v>
      </c>
      <c r="S131" s="12">
        <v>8812</v>
      </c>
    </row>
    <row r="132" spans="1:19" ht="17.5" thickBot="1" x14ac:dyDescent="0.65">
      <c r="A132" s="10" t="s">
        <v>179</v>
      </c>
      <c r="B132" s="9" t="s">
        <v>336</v>
      </c>
      <c r="C132" s="9" t="s">
        <v>338</v>
      </c>
      <c r="D132" s="9" t="s">
        <v>727</v>
      </c>
      <c r="E132" s="10" t="s">
        <v>695</v>
      </c>
      <c r="F132" s="10" t="s">
        <v>28</v>
      </c>
      <c r="G132" s="11">
        <v>1066</v>
      </c>
      <c r="H132" s="11">
        <v>844</v>
      </c>
      <c r="I132" s="11">
        <v>721</v>
      </c>
      <c r="J132" s="11">
        <v>646</v>
      </c>
      <c r="K132" s="11">
        <v>556</v>
      </c>
      <c r="L132" s="11">
        <v>520</v>
      </c>
      <c r="M132" s="11">
        <v>745</v>
      </c>
      <c r="N132" s="11">
        <v>780</v>
      </c>
      <c r="O132" s="11">
        <v>0</v>
      </c>
      <c r="P132" s="11">
        <v>0</v>
      </c>
      <c r="Q132" s="11">
        <v>0</v>
      </c>
      <c r="R132" s="11">
        <v>0</v>
      </c>
      <c r="S132" s="12">
        <v>5878</v>
      </c>
    </row>
    <row r="133" spans="1:19" ht="17.5" thickBot="1" x14ac:dyDescent="0.65">
      <c r="A133" s="10" t="s">
        <v>179</v>
      </c>
      <c r="B133" s="9" t="s">
        <v>336</v>
      </c>
      <c r="C133" s="9" t="s">
        <v>339</v>
      </c>
      <c r="D133" s="9" t="s">
        <v>340</v>
      </c>
      <c r="E133" s="10" t="s">
        <v>694</v>
      </c>
      <c r="F133" s="10" t="s">
        <v>28</v>
      </c>
      <c r="G133" s="11">
        <v>219</v>
      </c>
      <c r="H133" s="11">
        <v>136</v>
      </c>
      <c r="I133" s="11">
        <v>497</v>
      </c>
      <c r="J133" s="11">
        <v>234</v>
      </c>
      <c r="K133" s="11">
        <v>386</v>
      </c>
      <c r="L133" s="11">
        <v>55</v>
      </c>
      <c r="M133" s="11">
        <v>59</v>
      </c>
      <c r="N133" s="11">
        <v>39</v>
      </c>
      <c r="O133" s="11">
        <v>0</v>
      </c>
      <c r="P133" s="11">
        <v>0</v>
      </c>
      <c r="Q133" s="11">
        <v>0</v>
      </c>
      <c r="R133" s="11">
        <v>0</v>
      </c>
      <c r="S133" s="12">
        <v>1625</v>
      </c>
    </row>
    <row r="134" spans="1:19" ht="17.5" thickBot="1" x14ac:dyDescent="0.65">
      <c r="A134" s="10" t="s">
        <v>179</v>
      </c>
      <c r="B134" s="9" t="s">
        <v>341</v>
      </c>
      <c r="C134" s="9" t="s">
        <v>342</v>
      </c>
      <c r="D134" s="9" t="s">
        <v>343</v>
      </c>
      <c r="E134" s="10" t="s">
        <v>694</v>
      </c>
      <c r="F134" s="10" t="s">
        <v>104</v>
      </c>
      <c r="G134" s="11">
        <v>1031</v>
      </c>
      <c r="H134" s="11">
        <v>1242</v>
      </c>
      <c r="I134" s="11">
        <v>1455</v>
      </c>
      <c r="J134" s="11">
        <v>824</v>
      </c>
      <c r="K134" s="11">
        <v>585</v>
      </c>
      <c r="L134" s="11">
        <v>745</v>
      </c>
      <c r="M134" s="11">
        <v>646</v>
      </c>
      <c r="N134" s="11">
        <v>415</v>
      </c>
      <c r="O134" s="11">
        <v>0</v>
      </c>
      <c r="P134" s="11">
        <v>0</v>
      </c>
      <c r="Q134" s="11">
        <v>0</v>
      </c>
      <c r="R134" s="11">
        <v>0</v>
      </c>
      <c r="S134" s="12">
        <v>6943</v>
      </c>
    </row>
    <row r="135" spans="1:19" ht="17.5" thickBot="1" x14ac:dyDescent="0.65">
      <c r="A135" s="10" t="s">
        <v>179</v>
      </c>
      <c r="B135" s="9" t="s">
        <v>344</v>
      </c>
      <c r="C135" s="9" t="s">
        <v>345</v>
      </c>
      <c r="D135" s="9" t="s">
        <v>728</v>
      </c>
      <c r="E135" s="10" t="s">
        <v>695</v>
      </c>
      <c r="F135" s="10" t="s">
        <v>28</v>
      </c>
      <c r="G135" s="11">
        <v>717</v>
      </c>
      <c r="H135" s="11">
        <v>1343</v>
      </c>
      <c r="I135" s="11">
        <v>2538</v>
      </c>
      <c r="J135" s="11">
        <v>1238</v>
      </c>
      <c r="K135" s="11">
        <v>2176</v>
      </c>
      <c r="L135" s="11">
        <v>639</v>
      </c>
      <c r="M135" s="11">
        <v>798</v>
      </c>
      <c r="N135" s="11">
        <v>664</v>
      </c>
      <c r="O135" s="11">
        <v>0</v>
      </c>
      <c r="P135" s="11">
        <v>0</v>
      </c>
      <c r="Q135" s="11">
        <v>0</v>
      </c>
      <c r="R135" s="11">
        <v>0</v>
      </c>
      <c r="S135" s="12">
        <v>10113</v>
      </c>
    </row>
    <row r="136" spans="1:19" ht="17.5" thickBot="1" x14ac:dyDescent="0.65">
      <c r="A136" s="10" t="s">
        <v>179</v>
      </c>
      <c r="B136" s="9" t="s">
        <v>346</v>
      </c>
      <c r="C136" s="9" t="s">
        <v>347</v>
      </c>
      <c r="D136" s="9" t="s">
        <v>786</v>
      </c>
      <c r="E136" s="10" t="s">
        <v>694</v>
      </c>
      <c r="F136" s="10" t="s">
        <v>104</v>
      </c>
      <c r="G136" s="11">
        <v>140</v>
      </c>
      <c r="H136" s="11">
        <v>98</v>
      </c>
      <c r="I136" s="11">
        <v>138</v>
      </c>
      <c r="J136" s="11">
        <v>89</v>
      </c>
      <c r="K136" s="11">
        <v>105</v>
      </c>
      <c r="L136" s="11">
        <v>69</v>
      </c>
      <c r="M136" s="11">
        <v>66</v>
      </c>
      <c r="N136" s="11">
        <v>25</v>
      </c>
      <c r="O136" s="11">
        <v>0</v>
      </c>
      <c r="P136" s="11">
        <v>0</v>
      </c>
      <c r="Q136" s="11">
        <v>0</v>
      </c>
      <c r="R136" s="11">
        <v>0</v>
      </c>
      <c r="S136" s="12">
        <v>730</v>
      </c>
    </row>
    <row r="137" spans="1:19" ht="17.5" thickBot="1" x14ac:dyDescent="0.65">
      <c r="A137" s="10" t="s">
        <v>348</v>
      </c>
      <c r="B137" s="9" t="s">
        <v>349</v>
      </c>
      <c r="C137" s="9" t="s">
        <v>350</v>
      </c>
      <c r="D137" s="9" t="s">
        <v>351</v>
      </c>
      <c r="E137" s="10" t="s">
        <v>694</v>
      </c>
      <c r="F137" s="10" t="s">
        <v>104</v>
      </c>
      <c r="G137" s="11">
        <v>797</v>
      </c>
      <c r="H137" s="11">
        <v>1954</v>
      </c>
      <c r="I137" s="11">
        <v>1692</v>
      </c>
      <c r="J137" s="11">
        <v>1028</v>
      </c>
      <c r="K137" s="11">
        <v>1206</v>
      </c>
      <c r="L137" s="11">
        <v>1138</v>
      </c>
      <c r="M137" s="11">
        <v>1070</v>
      </c>
      <c r="N137" s="11">
        <v>1164</v>
      </c>
      <c r="O137" s="11">
        <v>0</v>
      </c>
      <c r="P137" s="11">
        <v>0</v>
      </c>
      <c r="Q137" s="11">
        <v>0</v>
      </c>
      <c r="R137" s="11">
        <v>0</v>
      </c>
      <c r="S137" s="12">
        <v>10049</v>
      </c>
    </row>
    <row r="138" spans="1:19" ht="17.5" thickBot="1" x14ac:dyDescent="0.65">
      <c r="A138" s="10" t="s">
        <v>348</v>
      </c>
      <c r="B138" s="9" t="s">
        <v>349</v>
      </c>
      <c r="C138" s="9" t="s">
        <v>352</v>
      </c>
      <c r="D138" s="9" t="s">
        <v>353</v>
      </c>
      <c r="E138" s="10" t="s">
        <v>694</v>
      </c>
      <c r="F138" s="10" t="s">
        <v>104</v>
      </c>
      <c r="G138" s="11">
        <v>313</v>
      </c>
      <c r="H138" s="11">
        <v>78</v>
      </c>
      <c r="I138" s="11">
        <v>107</v>
      </c>
      <c r="J138" s="11">
        <v>0</v>
      </c>
      <c r="K138" s="11">
        <v>84</v>
      </c>
      <c r="L138" s="11">
        <v>27</v>
      </c>
      <c r="M138" s="11">
        <v>6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2">
        <v>615</v>
      </c>
    </row>
    <row r="139" spans="1:19" ht="17.5" thickBot="1" x14ac:dyDescent="0.65">
      <c r="A139" s="10" t="s">
        <v>348</v>
      </c>
      <c r="B139" s="9" t="s">
        <v>354</v>
      </c>
      <c r="C139" s="9" t="s">
        <v>355</v>
      </c>
      <c r="D139" s="9" t="s">
        <v>356</v>
      </c>
      <c r="E139" s="10" t="s">
        <v>694</v>
      </c>
      <c r="F139" s="10" t="s">
        <v>21</v>
      </c>
      <c r="G139" s="11">
        <v>1509</v>
      </c>
      <c r="H139" s="11">
        <v>1479</v>
      </c>
      <c r="I139" s="11">
        <v>1189</v>
      </c>
      <c r="J139" s="11">
        <v>1487</v>
      </c>
      <c r="K139" s="11">
        <v>2090</v>
      </c>
      <c r="L139" s="11">
        <v>1781</v>
      </c>
      <c r="M139" s="11">
        <v>1506</v>
      </c>
      <c r="N139" s="11">
        <v>2007</v>
      </c>
      <c r="O139" s="11">
        <v>0</v>
      </c>
      <c r="P139" s="11">
        <v>0</v>
      </c>
      <c r="Q139" s="11">
        <v>0</v>
      </c>
      <c r="R139" s="11">
        <v>0</v>
      </c>
      <c r="S139" s="12">
        <v>13048</v>
      </c>
    </row>
    <row r="140" spans="1:19" ht="17.5" thickBot="1" x14ac:dyDescent="0.65">
      <c r="A140" s="10" t="s">
        <v>348</v>
      </c>
      <c r="B140" s="9" t="s">
        <v>357</v>
      </c>
      <c r="C140" s="9" t="s">
        <v>358</v>
      </c>
      <c r="D140" s="9" t="s">
        <v>359</v>
      </c>
      <c r="E140" s="10" t="s">
        <v>694</v>
      </c>
      <c r="F140" s="10" t="s">
        <v>25</v>
      </c>
      <c r="G140" s="11">
        <v>4096</v>
      </c>
      <c r="H140" s="11">
        <v>3636</v>
      </c>
      <c r="I140" s="11">
        <v>2484</v>
      </c>
      <c r="J140" s="11">
        <v>2471</v>
      </c>
      <c r="K140" s="11">
        <v>3301</v>
      </c>
      <c r="L140" s="11">
        <v>3478</v>
      </c>
      <c r="M140" s="11">
        <v>3431</v>
      </c>
      <c r="N140" s="11">
        <v>2175</v>
      </c>
      <c r="O140" s="11">
        <v>0</v>
      </c>
      <c r="P140" s="11">
        <v>0</v>
      </c>
      <c r="Q140" s="11">
        <v>0</v>
      </c>
      <c r="R140" s="11">
        <v>0</v>
      </c>
      <c r="S140" s="12">
        <v>25072</v>
      </c>
    </row>
    <row r="141" spans="1:19" ht="17.5" thickBot="1" x14ac:dyDescent="0.65">
      <c r="A141" s="10" t="s">
        <v>348</v>
      </c>
      <c r="B141" s="9" t="s">
        <v>357</v>
      </c>
      <c r="C141" s="9" t="s">
        <v>360</v>
      </c>
      <c r="D141" s="9" t="s">
        <v>361</v>
      </c>
      <c r="E141" s="10" t="s">
        <v>694</v>
      </c>
      <c r="F141" s="10" t="s">
        <v>25</v>
      </c>
      <c r="G141" s="11">
        <v>424</v>
      </c>
      <c r="H141" s="11">
        <v>546</v>
      </c>
      <c r="I141" s="11">
        <v>1199</v>
      </c>
      <c r="J141" s="11">
        <v>905</v>
      </c>
      <c r="K141" s="11">
        <v>1620</v>
      </c>
      <c r="L141" s="11">
        <v>505</v>
      </c>
      <c r="M141" s="11">
        <v>1027</v>
      </c>
      <c r="N141" s="11">
        <v>1525</v>
      </c>
      <c r="O141" s="11">
        <v>0</v>
      </c>
      <c r="P141" s="11">
        <v>0</v>
      </c>
      <c r="Q141" s="11">
        <v>0</v>
      </c>
      <c r="R141" s="11">
        <v>0</v>
      </c>
      <c r="S141" s="12">
        <v>7751</v>
      </c>
    </row>
    <row r="142" spans="1:19" ht="17.5" thickBot="1" x14ac:dyDescent="0.65">
      <c r="A142" s="10" t="s">
        <v>348</v>
      </c>
      <c r="B142" s="9" t="s">
        <v>357</v>
      </c>
      <c r="C142" s="9" t="s">
        <v>362</v>
      </c>
      <c r="D142" s="9" t="s">
        <v>363</v>
      </c>
      <c r="E142" s="10" t="s">
        <v>694</v>
      </c>
      <c r="F142" s="10" t="s">
        <v>25</v>
      </c>
      <c r="G142" s="11">
        <v>1190</v>
      </c>
      <c r="H142" s="11">
        <v>2164</v>
      </c>
      <c r="I142" s="11">
        <v>2631</v>
      </c>
      <c r="J142" s="11">
        <v>1488</v>
      </c>
      <c r="K142" s="11">
        <v>2576</v>
      </c>
      <c r="L142" s="11">
        <v>1811</v>
      </c>
      <c r="M142" s="11">
        <v>936</v>
      </c>
      <c r="N142" s="11">
        <v>461</v>
      </c>
      <c r="O142" s="11">
        <v>0</v>
      </c>
      <c r="P142" s="11">
        <v>0</v>
      </c>
      <c r="Q142" s="11">
        <v>0</v>
      </c>
      <c r="R142" s="11">
        <v>0</v>
      </c>
      <c r="S142" s="12">
        <v>13257</v>
      </c>
    </row>
    <row r="143" spans="1:19" ht="17.5" thickBot="1" x14ac:dyDescent="0.65">
      <c r="A143" s="10" t="s">
        <v>348</v>
      </c>
      <c r="B143" s="9" t="s">
        <v>357</v>
      </c>
      <c r="C143" s="9" t="s">
        <v>364</v>
      </c>
      <c r="D143" s="9" t="s">
        <v>365</v>
      </c>
      <c r="E143" s="10" t="s">
        <v>694</v>
      </c>
      <c r="F143" s="10" t="s">
        <v>25</v>
      </c>
      <c r="G143" s="11">
        <v>976</v>
      </c>
      <c r="H143" s="11">
        <v>1667</v>
      </c>
      <c r="I143" s="11">
        <v>7229</v>
      </c>
      <c r="J143" s="11">
        <v>2483</v>
      </c>
      <c r="K143" s="11">
        <v>1856</v>
      </c>
      <c r="L143" s="11">
        <v>1331</v>
      </c>
      <c r="M143" s="11">
        <v>549</v>
      </c>
      <c r="N143" s="11">
        <v>1356</v>
      </c>
      <c r="O143" s="11">
        <v>0</v>
      </c>
      <c r="P143" s="11">
        <v>0</v>
      </c>
      <c r="Q143" s="11">
        <v>0</v>
      </c>
      <c r="R143" s="11">
        <v>0</v>
      </c>
      <c r="S143" s="12">
        <v>17447</v>
      </c>
    </row>
    <row r="144" spans="1:19" ht="17.5" thickBot="1" x14ac:dyDescent="0.65">
      <c r="A144" s="10" t="s">
        <v>348</v>
      </c>
      <c r="B144" s="9" t="s">
        <v>357</v>
      </c>
      <c r="C144" s="9" t="s">
        <v>366</v>
      </c>
      <c r="D144" s="9" t="s">
        <v>367</v>
      </c>
      <c r="E144" s="10" t="s">
        <v>694</v>
      </c>
      <c r="F144" s="10" t="s">
        <v>25</v>
      </c>
      <c r="G144" s="11">
        <v>906</v>
      </c>
      <c r="H144" s="11">
        <v>1190</v>
      </c>
      <c r="I144" s="11">
        <v>219</v>
      </c>
      <c r="J144" s="11">
        <v>1182</v>
      </c>
      <c r="K144" s="11">
        <v>2566</v>
      </c>
      <c r="L144" s="11">
        <v>1950</v>
      </c>
      <c r="M144" s="11">
        <v>1763</v>
      </c>
      <c r="N144" s="11">
        <v>2067</v>
      </c>
      <c r="O144" s="11">
        <v>0</v>
      </c>
      <c r="P144" s="11">
        <v>0</v>
      </c>
      <c r="Q144" s="11">
        <v>0</v>
      </c>
      <c r="R144" s="11">
        <v>0</v>
      </c>
      <c r="S144" s="12">
        <v>11843</v>
      </c>
    </row>
    <row r="145" spans="1:19" ht="17.5" thickBot="1" x14ac:dyDescent="0.65">
      <c r="A145" s="10" t="s">
        <v>348</v>
      </c>
      <c r="B145" s="9" t="s">
        <v>357</v>
      </c>
      <c r="C145" s="9" t="s">
        <v>368</v>
      </c>
      <c r="D145" s="9" t="s">
        <v>369</v>
      </c>
      <c r="E145" s="10" t="s">
        <v>694</v>
      </c>
      <c r="F145" s="10" t="s">
        <v>25</v>
      </c>
      <c r="G145" s="11">
        <v>2205</v>
      </c>
      <c r="H145" s="11">
        <v>1041</v>
      </c>
      <c r="I145" s="11">
        <v>1170</v>
      </c>
      <c r="J145" s="11">
        <v>2465</v>
      </c>
      <c r="K145" s="11">
        <v>1647</v>
      </c>
      <c r="L145" s="11">
        <v>648</v>
      </c>
      <c r="M145" s="11">
        <v>787</v>
      </c>
      <c r="N145" s="11">
        <v>984</v>
      </c>
      <c r="O145" s="11">
        <v>0</v>
      </c>
      <c r="P145" s="11">
        <v>0</v>
      </c>
      <c r="Q145" s="11">
        <v>0</v>
      </c>
      <c r="R145" s="11">
        <v>0</v>
      </c>
      <c r="S145" s="12">
        <v>10947</v>
      </c>
    </row>
    <row r="146" spans="1:19" ht="17.5" thickBot="1" x14ac:dyDescent="0.65">
      <c r="A146" s="10" t="s">
        <v>348</v>
      </c>
      <c r="B146" s="9" t="s">
        <v>357</v>
      </c>
      <c r="C146" s="9" t="s">
        <v>370</v>
      </c>
      <c r="D146" s="9" t="s">
        <v>371</v>
      </c>
      <c r="E146" s="10" t="s">
        <v>694</v>
      </c>
      <c r="F146" s="10" t="s">
        <v>25</v>
      </c>
      <c r="G146" s="11">
        <v>655</v>
      </c>
      <c r="H146" s="11">
        <v>1481</v>
      </c>
      <c r="I146" s="11">
        <v>2119</v>
      </c>
      <c r="J146" s="11">
        <v>2212</v>
      </c>
      <c r="K146" s="11">
        <v>1129</v>
      </c>
      <c r="L146" s="11">
        <v>806</v>
      </c>
      <c r="M146" s="11">
        <v>1769</v>
      </c>
      <c r="N146" s="11">
        <v>1256</v>
      </c>
      <c r="O146" s="11">
        <v>0</v>
      </c>
      <c r="P146" s="11">
        <v>0</v>
      </c>
      <c r="Q146" s="11">
        <v>0</v>
      </c>
      <c r="R146" s="11">
        <v>0</v>
      </c>
      <c r="S146" s="12">
        <v>11427</v>
      </c>
    </row>
    <row r="147" spans="1:19" ht="17.5" thickBot="1" x14ac:dyDescent="0.65">
      <c r="A147" s="10" t="s">
        <v>348</v>
      </c>
      <c r="B147" s="9" t="s">
        <v>357</v>
      </c>
      <c r="C147" s="9" t="s">
        <v>372</v>
      </c>
      <c r="D147" s="9" t="s">
        <v>761</v>
      </c>
      <c r="E147" s="10" t="s">
        <v>694</v>
      </c>
      <c r="F147" s="10" t="s">
        <v>25</v>
      </c>
      <c r="G147" s="11">
        <v>3903</v>
      </c>
      <c r="H147" s="11">
        <v>3650</v>
      </c>
      <c r="I147" s="11">
        <v>3817</v>
      </c>
      <c r="J147" s="11">
        <v>3741</v>
      </c>
      <c r="K147" s="11">
        <v>3497</v>
      </c>
      <c r="L147" s="11">
        <v>3104</v>
      </c>
      <c r="M147" s="11">
        <v>2583</v>
      </c>
      <c r="N147" s="11">
        <v>2866</v>
      </c>
      <c r="O147" s="11">
        <v>0</v>
      </c>
      <c r="P147" s="11">
        <v>0</v>
      </c>
      <c r="Q147" s="11">
        <v>0</v>
      </c>
      <c r="R147" s="11">
        <v>0</v>
      </c>
      <c r="S147" s="12">
        <v>27161</v>
      </c>
    </row>
    <row r="148" spans="1:19" ht="17.5" thickBot="1" x14ac:dyDescent="0.65">
      <c r="A148" s="10" t="s">
        <v>348</v>
      </c>
      <c r="B148" s="9" t="s">
        <v>357</v>
      </c>
      <c r="C148" s="9" t="s">
        <v>373</v>
      </c>
      <c r="D148" s="9" t="s">
        <v>374</v>
      </c>
      <c r="E148" s="10" t="s">
        <v>694</v>
      </c>
      <c r="F148" s="10" t="s">
        <v>25</v>
      </c>
      <c r="G148" s="11">
        <v>1524</v>
      </c>
      <c r="H148" s="11">
        <v>1737</v>
      </c>
      <c r="I148" s="11">
        <v>1869</v>
      </c>
      <c r="J148" s="11">
        <v>1586</v>
      </c>
      <c r="K148" s="11">
        <v>661</v>
      </c>
      <c r="L148" s="11">
        <v>1155</v>
      </c>
      <c r="M148" s="11">
        <v>787</v>
      </c>
      <c r="N148" s="11">
        <v>458</v>
      </c>
      <c r="O148" s="11">
        <v>0</v>
      </c>
      <c r="P148" s="11">
        <v>0</v>
      </c>
      <c r="Q148" s="11">
        <v>0</v>
      </c>
      <c r="R148" s="11">
        <v>0</v>
      </c>
      <c r="S148" s="12">
        <v>9777</v>
      </c>
    </row>
    <row r="149" spans="1:19" ht="17.5" thickBot="1" x14ac:dyDescent="0.65">
      <c r="A149" s="10" t="s">
        <v>348</v>
      </c>
      <c r="B149" s="9" t="s">
        <v>375</v>
      </c>
      <c r="C149" s="9" t="s">
        <v>376</v>
      </c>
      <c r="D149" s="9" t="s">
        <v>377</v>
      </c>
      <c r="E149" s="10" t="s">
        <v>694</v>
      </c>
      <c r="F149" s="10" t="s">
        <v>21</v>
      </c>
      <c r="G149" s="11">
        <v>1200</v>
      </c>
      <c r="H149" s="11">
        <v>1262</v>
      </c>
      <c r="I149" s="11">
        <v>1282</v>
      </c>
      <c r="J149" s="11">
        <v>758</v>
      </c>
      <c r="K149" s="11">
        <v>1145</v>
      </c>
      <c r="L149" s="11">
        <v>1316</v>
      </c>
      <c r="M149" s="11">
        <v>1424</v>
      </c>
      <c r="N149" s="11">
        <v>1003</v>
      </c>
      <c r="O149" s="11">
        <v>0</v>
      </c>
      <c r="P149" s="11">
        <v>0</v>
      </c>
      <c r="Q149" s="11">
        <v>0</v>
      </c>
      <c r="R149" s="11">
        <v>0</v>
      </c>
      <c r="S149" s="12">
        <v>9390</v>
      </c>
    </row>
    <row r="150" spans="1:19" ht="17.5" thickBot="1" x14ac:dyDescent="0.65">
      <c r="A150" s="10" t="s">
        <v>348</v>
      </c>
      <c r="B150" s="9" t="s">
        <v>375</v>
      </c>
      <c r="C150" s="9" t="s">
        <v>378</v>
      </c>
      <c r="D150" s="9" t="s">
        <v>379</v>
      </c>
      <c r="E150" s="10" t="s">
        <v>694</v>
      </c>
      <c r="F150" s="10" t="s">
        <v>21</v>
      </c>
      <c r="G150" s="11">
        <v>1238</v>
      </c>
      <c r="H150" s="11">
        <v>1187</v>
      </c>
      <c r="I150" s="11">
        <v>1217</v>
      </c>
      <c r="J150" s="11">
        <v>728</v>
      </c>
      <c r="K150" s="11">
        <v>1100</v>
      </c>
      <c r="L150" s="11">
        <v>1410</v>
      </c>
      <c r="M150" s="11">
        <v>997</v>
      </c>
      <c r="N150" s="11">
        <v>1669</v>
      </c>
      <c r="O150" s="11">
        <v>0</v>
      </c>
      <c r="P150" s="11">
        <v>0</v>
      </c>
      <c r="Q150" s="11">
        <v>0</v>
      </c>
      <c r="R150" s="11">
        <v>0</v>
      </c>
      <c r="S150" s="12">
        <v>9546</v>
      </c>
    </row>
    <row r="151" spans="1:19" ht="17.5" thickBot="1" x14ac:dyDescent="0.65">
      <c r="A151" s="10" t="s">
        <v>348</v>
      </c>
      <c r="B151" s="9" t="s">
        <v>380</v>
      </c>
      <c r="C151" s="9" t="s">
        <v>381</v>
      </c>
      <c r="D151" s="9" t="s">
        <v>740</v>
      </c>
      <c r="E151" s="10" t="s">
        <v>695</v>
      </c>
      <c r="F151" s="10" t="s">
        <v>28</v>
      </c>
      <c r="G151" s="11">
        <v>0</v>
      </c>
      <c r="H151" s="11">
        <v>0</v>
      </c>
      <c r="I151" s="11">
        <v>0</v>
      </c>
      <c r="J151" s="11">
        <v>0</v>
      </c>
      <c r="K151" s="11">
        <v>0</v>
      </c>
      <c r="L151" s="11">
        <v>2</v>
      </c>
      <c r="M151" s="11">
        <v>0</v>
      </c>
      <c r="N151" s="11">
        <v>0</v>
      </c>
      <c r="O151" s="11">
        <v>0</v>
      </c>
      <c r="P151" s="11">
        <v>0</v>
      </c>
      <c r="Q151" s="11">
        <v>0</v>
      </c>
      <c r="R151" s="11">
        <v>0</v>
      </c>
      <c r="S151" s="12">
        <v>2</v>
      </c>
    </row>
    <row r="152" spans="1:19" ht="17.5" thickBot="1" x14ac:dyDescent="0.65">
      <c r="A152" s="10" t="s">
        <v>348</v>
      </c>
      <c r="B152" s="9" t="s">
        <v>382</v>
      </c>
      <c r="C152" s="9" t="s">
        <v>383</v>
      </c>
      <c r="D152" s="9" t="s">
        <v>384</v>
      </c>
      <c r="E152" s="10" t="s">
        <v>694</v>
      </c>
      <c r="F152" s="10" t="s">
        <v>104</v>
      </c>
      <c r="G152" s="11">
        <v>57</v>
      </c>
      <c r="H152" s="11">
        <v>96</v>
      </c>
      <c r="I152" s="11">
        <v>135</v>
      </c>
      <c r="J152" s="11">
        <v>95</v>
      </c>
      <c r="K152" s="11">
        <v>251</v>
      </c>
      <c r="L152" s="11">
        <v>220</v>
      </c>
      <c r="M152" s="11">
        <v>294</v>
      </c>
      <c r="N152" s="11">
        <v>180</v>
      </c>
      <c r="O152" s="11">
        <v>0</v>
      </c>
      <c r="P152" s="11">
        <v>0</v>
      </c>
      <c r="Q152" s="11">
        <v>0</v>
      </c>
      <c r="R152" s="11">
        <v>0</v>
      </c>
      <c r="S152" s="12">
        <v>1328</v>
      </c>
    </row>
    <row r="153" spans="1:19" ht="17.5" thickBot="1" x14ac:dyDescent="0.65">
      <c r="A153" s="10" t="s">
        <v>348</v>
      </c>
      <c r="B153" s="9" t="s">
        <v>382</v>
      </c>
      <c r="C153" s="9" t="s">
        <v>385</v>
      </c>
      <c r="D153" s="9" t="s">
        <v>386</v>
      </c>
      <c r="E153" s="10" t="s">
        <v>694</v>
      </c>
      <c r="F153" s="10" t="s">
        <v>104</v>
      </c>
      <c r="G153" s="11">
        <v>1178</v>
      </c>
      <c r="H153" s="11">
        <v>842</v>
      </c>
      <c r="I153" s="11">
        <v>828</v>
      </c>
      <c r="J153" s="11">
        <v>768</v>
      </c>
      <c r="K153" s="11">
        <v>788</v>
      </c>
      <c r="L153" s="11">
        <v>359</v>
      </c>
      <c r="M153" s="11">
        <v>744</v>
      </c>
      <c r="N153" s="11">
        <v>646</v>
      </c>
      <c r="O153" s="11">
        <v>0</v>
      </c>
      <c r="P153" s="11">
        <v>0</v>
      </c>
      <c r="Q153" s="11">
        <v>0</v>
      </c>
      <c r="R153" s="11">
        <v>0</v>
      </c>
      <c r="S153" s="12">
        <v>6153</v>
      </c>
    </row>
    <row r="154" spans="1:19" ht="17.5" thickBot="1" x14ac:dyDescent="0.65">
      <c r="A154" s="10" t="s">
        <v>348</v>
      </c>
      <c r="B154" s="9" t="s">
        <v>387</v>
      </c>
      <c r="C154" s="9" t="s">
        <v>388</v>
      </c>
      <c r="D154" s="9" t="s">
        <v>389</v>
      </c>
      <c r="E154" s="10" t="s">
        <v>694</v>
      </c>
      <c r="F154" s="10" t="s">
        <v>21</v>
      </c>
      <c r="G154" s="11">
        <v>1062</v>
      </c>
      <c r="H154" s="11">
        <v>701</v>
      </c>
      <c r="I154" s="11">
        <v>1276</v>
      </c>
      <c r="J154" s="11">
        <v>1308</v>
      </c>
      <c r="K154" s="11">
        <v>1926</v>
      </c>
      <c r="L154" s="11">
        <v>2141</v>
      </c>
      <c r="M154" s="11">
        <v>1353</v>
      </c>
      <c r="N154" s="11">
        <v>946</v>
      </c>
      <c r="O154" s="11">
        <v>0</v>
      </c>
      <c r="P154" s="11">
        <v>0</v>
      </c>
      <c r="Q154" s="11">
        <v>0</v>
      </c>
      <c r="R154" s="11">
        <v>0</v>
      </c>
      <c r="S154" s="12">
        <v>10713</v>
      </c>
    </row>
    <row r="155" spans="1:19" ht="17.5" thickBot="1" x14ac:dyDescent="0.65">
      <c r="A155" s="10" t="s">
        <v>348</v>
      </c>
      <c r="B155" s="8" t="s">
        <v>390</v>
      </c>
      <c r="C155" s="9" t="s">
        <v>391</v>
      </c>
      <c r="D155" s="9" t="s">
        <v>392</v>
      </c>
      <c r="E155" s="10" t="s">
        <v>694</v>
      </c>
      <c r="F155" s="10" t="s">
        <v>28</v>
      </c>
      <c r="G155" s="11">
        <v>909</v>
      </c>
      <c r="H155" s="11">
        <v>1253</v>
      </c>
      <c r="I155" s="11">
        <v>999</v>
      </c>
      <c r="J155" s="11">
        <v>776</v>
      </c>
      <c r="K155" s="11">
        <v>1537</v>
      </c>
      <c r="L155" s="11">
        <v>1487</v>
      </c>
      <c r="M155" s="11">
        <v>1304</v>
      </c>
      <c r="N155" s="11">
        <v>325</v>
      </c>
      <c r="O155" s="11">
        <v>0</v>
      </c>
      <c r="P155" s="11">
        <v>0</v>
      </c>
      <c r="Q155" s="11">
        <v>0</v>
      </c>
      <c r="R155" s="11">
        <v>0</v>
      </c>
      <c r="S155" s="12">
        <v>8590</v>
      </c>
    </row>
    <row r="156" spans="1:19" ht="17.5" thickBot="1" x14ac:dyDescent="0.65">
      <c r="A156" s="10" t="s">
        <v>348</v>
      </c>
      <c r="B156" s="8" t="s">
        <v>390</v>
      </c>
      <c r="C156" s="9" t="s">
        <v>393</v>
      </c>
      <c r="D156" s="9" t="s">
        <v>741</v>
      </c>
      <c r="E156" s="10" t="s">
        <v>695</v>
      </c>
      <c r="F156" s="10" t="s">
        <v>28</v>
      </c>
      <c r="G156" s="11">
        <v>589</v>
      </c>
      <c r="H156" s="11">
        <v>548</v>
      </c>
      <c r="I156" s="11">
        <v>1517</v>
      </c>
      <c r="J156" s="11">
        <v>499</v>
      </c>
      <c r="K156" s="11">
        <v>332</v>
      </c>
      <c r="L156" s="11">
        <v>177</v>
      </c>
      <c r="M156" s="11">
        <v>212</v>
      </c>
      <c r="N156" s="11">
        <v>325</v>
      </c>
      <c r="O156" s="11">
        <v>0</v>
      </c>
      <c r="P156" s="11">
        <v>0</v>
      </c>
      <c r="Q156" s="11">
        <v>0</v>
      </c>
      <c r="R156" s="11">
        <v>0</v>
      </c>
      <c r="S156" s="12">
        <v>4199</v>
      </c>
    </row>
    <row r="157" spans="1:19" ht="17.5" thickBot="1" x14ac:dyDescent="0.65">
      <c r="A157" s="10" t="s">
        <v>348</v>
      </c>
      <c r="B157" s="8" t="s">
        <v>390</v>
      </c>
      <c r="C157" s="9" t="s">
        <v>394</v>
      </c>
      <c r="D157" s="9" t="s">
        <v>395</v>
      </c>
      <c r="E157" s="10" t="s">
        <v>694</v>
      </c>
      <c r="F157" s="10" t="s">
        <v>28</v>
      </c>
      <c r="G157" s="11">
        <v>308</v>
      </c>
      <c r="H157" s="11">
        <v>255</v>
      </c>
      <c r="I157" s="11">
        <v>319</v>
      </c>
      <c r="J157" s="11">
        <v>926</v>
      </c>
      <c r="K157" s="11">
        <v>996</v>
      </c>
      <c r="L157" s="11">
        <v>1016</v>
      </c>
      <c r="M157" s="11">
        <v>201</v>
      </c>
      <c r="N157" s="11">
        <v>159</v>
      </c>
      <c r="O157" s="11">
        <v>0</v>
      </c>
      <c r="P157" s="11">
        <v>0</v>
      </c>
      <c r="Q157" s="11">
        <v>0</v>
      </c>
      <c r="R157" s="11">
        <v>0</v>
      </c>
      <c r="S157" s="12">
        <v>4180</v>
      </c>
    </row>
    <row r="158" spans="1:19" ht="17.5" thickBot="1" x14ac:dyDescent="0.65">
      <c r="A158" s="10" t="s">
        <v>348</v>
      </c>
      <c r="B158" s="9" t="s">
        <v>396</v>
      </c>
      <c r="C158" s="9" t="s">
        <v>397</v>
      </c>
      <c r="D158" s="9" t="s">
        <v>398</v>
      </c>
      <c r="E158" s="10" t="s">
        <v>694</v>
      </c>
      <c r="F158" s="10" t="s">
        <v>21</v>
      </c>
      <c r="G158" s="11">
        <v>920</v>
      </c>
      <c r="H158" s="11">
        <v>831</v>
      </c>
      <c r="I158" s="11">
        <v>1190</v>
      </c>
      <c r="J158" s="11">
        <v>1587</v>
      </c>
      <c r="K158" s="11">
        <v>1346</v>
      </c>
      <c r="L158" s="11">
        <v>1048</v>
      </c>
      <c r="M158" s="11">
        <v>895</v>
      </c>
      <c r="N158" s="11">
        <v>1449</v>
      </c>
      <c r="O158" s="11">
        <v>0</v>
      </c>
      <c r="P158" s="11">
        <v>0</v>
      </c>
      <c r="Q158" s="11">
        <v>0</v>
      </c>
      <c r="R158" s="11">
        <v>0</v>
      </c>
      <c r="S158" s="12">
        <v>9266</v>
      </c>
    </row>
    <row r="159" spans="1:19" ht="17.5" thickBot="1" x14ac:dyDescent="0.65">
      <c r="A159" s="10" t="s">
        <v>348</v>
      </c>
      <c r="B159" s="9" t="s">
        <v>399</v>
      </c>
      <c r="C159" s="9" t="s">
        <v>400</v>
      </c>
      <c r="D159" s="9" t="s">
        <v>401</v>
      </c>
      <c r="E159" s="10" t="s">
        <v>694</v>
      </c>
      <c r="F159" s="10" t="s">
        <v>25</v>
      </c>
      <c r="G159" s="11">
        <v>954</v>
      </c>
      <c r="H159" s="11">
        <v>1098</v>
      </c>
      <c r="I159" s="11">
        <v>1501</v>
      </c>
      <c r="J159" s="11">
        <v>801</v>
      </c>
      <c r="K159" s="11">
        <v>755</v>
      </c>
      <c r="L159" s="11">
        <v>481</v>
      </c>
      <c r="M159" s="11">
        <v>691</v>
      </c>
      <c r="N159" s="11">
        <v>696</v>
      </c>
      <c r="O159" s="11">
        <v>0</v>
      </c>
      <c r="P159" s="11">
        <v>0</v>
      </c>
      <c r="Q159" s="11">
        <v>0</v>
      </c>
      <c r="R159" s="11">
        <v>0</v>
      </c>
      <c r="S159" s="12">
        <v>6977</v>
      </c>
    </row>
    <row r="160" spans="1:19" ht="17.5" thickBot="1" x14ac:dyDescent="0.65">
      <c r="A160" s="10" t="s">
        <v>348</v>
      </c>
      <c r="B160" s="9" t="s">
        <v>399</v>
      </c>
      <c r="C160" s="9" t="s">
        <v>402</v>
      </c>
      <c r="D160" s="9" t="s">
        <v>403</v>
      </c>
      <c r="E160" s="10" t="s">
        <v>694</v>
      </c>
      <c r="F160" s="10" t="s">
        <v>25</v>
      </c>
      <c r="G160" s="11">
        <v>316</v>
      </c>
      <c r="H160" s="11">
        <v>286</v>
      </c>
      <c r="I160" s="11">
        <v>0</v>
      </c>
      <c r="J160" s="11">
        <v>0</v>
      </c>
      <c r="K160" s="11">
        <v>0</v>
      </c>
      <c r="L160" s="11">
        <v>0</v>
      </c>
      <c r="M160" s="11">
        <v>0</v>
      </c>
      <c r="N160" s="11">
        <v>0</v>
      </c>
      <c r="O160" s="11">
        <v>0</v>
      </c>
      <c r="P160" s="11">
        <v>0</v>
      </c>
      <c r="Q160" s="11">
        <v>0</v>
      </c>
      <c r="R160" s="11">
        <v>0</v>
      </c>
      <c r="S160" s="12">
        <v>602</v>
      </c>
    </row>
    <row r="161" spans="1:19" ht="17.5" thickBot="1" x14ac:dyDescent="0.65">
      <c r="A161" s="10" t="s">
        <v>348</v>
      </c>
      <c r="B161" s="9" t="s">
        <v>399</v>
      </c>
      <c r="C161" s="9" t="s">
        <v>404</v>
      </c>
      <c r="D161" s="9" t="s">
        <v>405</v>
      </c>
      <c r="E161" s="10" t="s">
        <v>694</v>
      </c>
      <c r="F161" s="10" t="s">
        <v>25</v>
      </c>
      <c r="G161" s="11">
        <v>686</v>
      </c>
      <c r="H161" s="11">
        <v>1010</v>
      </c>
      <c r="I161" s="11">
        <v>880</v>
      </c>
      <c r="J161" s="11">
        <v>1609</v>
      </c>
      <c r="K161" s="11">
        <v>778</v>
      </c>
      <c r="L161" s="11">
        <v>625</v>
      </c>
      <c r="M161" s="11">
        <v>690</v>
      </c>
      <c r="N161" s="11">
        <v>701</v>
      </c>
      <c r="O161" s="11">
        <v>0</v>
      </c>
      <c r="P161" s="11">
        <v>0</v>
      </c>
      <c r="Q161" s="11">
        <v>0</v>
      </c>
      <c r="R161" s="11">
        <v>0</v>
      </c>
      <c r="S161" s="12">
        <v>6979</v>
      </c>
    </row>
    <row r="162" spans="1:19" ht="17.5" thickBot="1" x14ac:dyDescent="0.65">
      <c r="A162" s="10" t="s">
        <v>348</v>
      </c>
      <c r="B162" s="9" t="s">
        <v>399</v>
      </c>
      <c r="C162" s="9" t="s">
        <v>406</v>
      </c>
      <c r="D162" s="9" t="s">
        <v>407</v>
      </c>
      <c r="E162" s="10" t="s">
        <v>694</v>
      </c>
      <c r="F162" s="10" t="s">
        <v>25</v>
      </c>
      <c r="G162" s="11">
        <v>677</v>
      </c>
      <c r="H162" s="11">
        <v>734</v>
      </c>
      <c r="I162" s="11">
        <v>881</v>
      </c>
      <c r="J162" s="11">
        <v>412</v>
      </c>
      <c r="K162" s="11">
        <v>601</v>
      </c>
      <c r="L162" s="11">
        <v>298</v>
      </c>
      <c r="M162" s="11">
        <v>528</v>
      </c>
      <c r="N162" s="11">
        <v>286</v>
      </c>
      <c r="O162" s="11">
        <v>0</v>
      </c>
      <c r="P162" s="11">
        <v>0</v>
      </c>
      <c r="Q162" s="11">
        <v>0</v>
      </c>
      <c r="R162" s="11">
        <v>0</v>
      </c>
      <c r="S162" s="12">
        <v>4417</v>
      </c>
    </row>
    <row r="163" spans="1:19" ht="17.5" thickBot="1" x14ac:dyDescent="0.65">
      <c r="A163" s="10" t="s">
        <v>348</v>
      </c>
      <c r="B163" s="9" t="s">
        <v>399</v>
      </c>
      <c r="C163" s="9" t="s">
        <v>408</v>
      </c>
      <c r="D163" s="9" t="s">
        <v>754</v>
      </c>
      <c r="E163" s="10" t="s">
        <v>694</v>
      </c>
      <c r="F163" s="10" t="s">
        <v>25</v>
      </c>
      <c r="G163" s="11">
        <v>204</v>
      </c>
      <c r="H163" s="11">
        <v>302</v>
      </c>
      <c r="I163" s="11">
        <v>344</v>
      </c>
      <c r="J163" s="11">
        <v>123</v>
      </c>
      <c r="K163" s="11">
        <v>172</v>
      </c>
      <c r="L163" s="11">
        <v>542</v>
      </c>
      <c r="M163" s="11">
        <v>514</v>
      </c>
      <c r="N163" s="11">
        <v>303</v>
      </c>
      <c r="O163" s="11">
        <v>0</v>
      </c>
      <c r="P163" s="11">
        <v>0</v>
      </c>
      <c r="Q163" s="11">
        <v>0</v>
      </c>
      <c r="R163" s="11">
        <v>0</v>
      </c>
      <c r="S163" s="12">
        <v>2504</v>
      </c>
    </row>
    <row r="164" spans="1:19" ht="17.5" thickBot="1" x14ac:dyDescent="0.65">
      <c r="A164" s="10" t="s">
        <v>348</v>
      </c>
      <c r="B164" s="9" t="s">
        <v>399</v>
      </c>
      <c r="C164" s="9" t="s">
        <v>409</v>
      </c>
      <c r="D164" s="9" t="s">
        <v>765</v>
      </c>
      <c r="E164" s="10" t="s">
        <v>695</v>
      </c>
      <c r="F164" s="10" t="s">
        <v>25</v>
      </c>
      <c r="G164" s="11">
        <v>805</v>
      </c>
      <c r="H164" s="11">
        <v>1280</v>
      </c>
      <c r="I164" s="11">
        <v>1169</v>
      </c>
      <c r="J164" s="11">
        <v>236</v>
      </c>
      <c r="K164" s="11">
        <v>669</v>
      </c>
      <c r="L164" s="11">
        <v>162</v>
      </c>
      <c r="M164" s="11">
        <v>1011</v>
      </c>
      <c r="N164" s="11">
        <v>544</v>
      </c>
      <c r="O164" s="11">
        <v>0</v>
      </c>
      <c r="P164" s="11">
        <v>0</v>
      </c>
      <c r="Q164" s="11">
        <v>0</v>
      </c>
      <c r="R164" s="11">
        <v>0</v>
      </c>
      <c r="S164" s="12">
        <v>5876</v>
      </c>
    </row>
    <row r="165" spans="1:19" ht="17.5" thickBot="1" x14ac:dyDescent="0.65">
      <c r="A165" s="10" t="s">
        <v>348</v>
      </c>
      <c r="B165" s="9" t="s">
        <v>410</v>
      </c>
      <c r="C165" s="9" t="s">
        <v>411</v>
      </c>
      <c r="D165" s="9" t="s">
        <v>766</v>
      </c>
      <c r="E165" s="10" t="s">
        <v>695</v>
      </c>
      <c r="F165" s="10" t="s">
        <v>104</v>
      </c>
      <c r="G165" s="11">
        <v>652</v>
      </c>
      <c r="H165" s="11">
        <v>906</v>
      </c>
      <c r="I165" s="11">
        <v>1160</v>
      </c>
      <c r="J165" s="11">
        <v>530</v>
      </c>
      <c r="K165" s="11">
        <v>955</v>
      </c>
      <c r="L165" s="11">
        <v>1711</v>
      </c>
      <c r="M165" s="11">
        <v>155</v>
      </c>
      <c r="N165" s="11">
        <v>781</v>
      </c>
      <c r="O165" s="11">
        <v>0</v>
      </c>
      <c r="P165" s="11">
        <v>0</v>
      </c>
      <c r="Q165" s="11">
        <v>0</v>
      </c>
      <c r="R165" s="11">
        <v>0</v>
      </c>
      <c r="S165" s="12">
        <v>6850</v>
      </c>
    </row>
    <row r="166" spans="1:19" ht="17.5" thickBot="1" x14ac:dyDescent="0.65">
      <c r="A166" s="10" t="s">
        <v>348</v>
      </c>
      <c r="B166" s="9" t="s">
        <v>412</v>
      </c>
      <c r="C166" s="9" t="s">
        <v>413</v>
      </c>
      <c r="D166" s="9" t="s">
        <v>414</v>
      </c>
      <c r="E166" s="10" t="s">
        <v>694</v>
      </c>
      <c r="F166" s="10" t="s">
        <v>25</v>
      </c>
      <c r="G166" s="11">
        <v>307</v>
      </c>
      <c r="H166" s="11">
        <v>941</v>
      </c>
      <c r="I166" s="11">
        <v>1659</v>
      </c>
      <c r="J166" s="11">
        <v>658</v>
      </c>
      <c r="K166" s="11">
        <v>535</v>
      </c>
      <c r="L166" s="11">
        <v>369</v>
      </c>
      <c r="M166" s="11">
        <v>286</v>
      </c>
      <c r="N166" s="11">
        <v>497</v>
      </c>
      <c r="O166" s="11">
        <v>0</v>
      </c>
      <c r="P166" s="11">
        <v>0</v>
      </c>
      <c r="Q166" s="11">
        <v>0</v>
      </c>
      <c r="R166" s="11">
        <v>0</v>
      </c>
      <c r="S166" s="12">
        <v>5252</v>
      </c>
    </row>
    <row r="167" spans="1:19" ht="17.5" thickBot="1" x14ac:dyDescent="0.65">
      <c r="A167" s="10" t="s">
        <v>348</v>
      </c>
      <c r="B167" s="9" t="s">
        <v>412</v>
      </c>
      <c r="C167" s="9" t="s">
        <v>415</v>
      </c>
      <c r="D167" s="9" t="s">
        <v>416</v>
      </c>
      <c r="E167" s="10" t="s">
        <v>694</v>
      </c>
      <c r="F167" s="10" t="s">
        <v>25</v>
      </c>
      <c r="G167" s="11">
        <v>268</v>
      </c>
      <c r="H167" s="11">
        <v>252</v>
      </c>
      <c r="I167" s="11">
        <v>730</v>
      </c>
      <c r="J167" s="11">
        <v>556</v>
      </c>
      <c r="K167" s="11">
        <v>348</v>
      </c>
      <c r="L167" s="11">
        <v>917</v>
      </c>
      <c r="M167" s="11">
        <v>439</v>
      </c>
      <c r="N167" s="11">
        <v>846</v>
      </c>
      <c r="O167" s="11">
        <v>0</v>
      </c>
      <c r="P167" s="11">
        <v>0</v>
      </c>
      <c r="Q167" s="11">
        <v>0</v>
      </c>
      <c r="R167" s="11">
        <v>0</v>
      </c>
      <c r="S167" s="12">
        <v>4356</v>
      </c>
    </row>
    <row r="168" spans="1:19" ht="17.5" thickBot="1" x14ac:dyDescent="0.65">
      <c r="A168" s="10" t="s">
        <v>348</v>
      </c>
      <c r="B168" s="9" t="s">
        <v>412</v>
      </c>
      <c r="C168" s="9" t="s">
        <v>417</v>
      </c>
      <c r="D168" s="9" t="s">
        <v>418</v>
      </c>
      <c r="E168" s="10" t="s">
        <v>694</v>
      </c>
      <c r="F168" s="10" t="s">
        <v>25</v>
      </c>
      <c r="G168" s="11">
        <v>638</v>
      </c>
      <c r="H168" s="11">
        <v>598</v>
      </c>
      <c r="I168" s="11">
        <v>1038</v>
      </c>
      <c r="J168" s="11">
        <v>853</v>
      </c>
      <c r="K168" s="11">
        <v>1010</v>
      </c>
      <c r="L168" s="11">
        <v>762</v>
      </c>
      <c r="M168" s="11">
        <v>232</v>
      </c>
      <c r="N168" s="11">
        <v>362</v>
      </c>
      <c r="O168" s="11">
        <v>0</v>
      </c>
      <c r="P168" s="11">
        <v>0</v>
      </c>
      <c r="Q168" s="11">
        <v>0</v>
      </c>
      <c r="R168" s="11">
        <v>0</v>
      </c>
      <c r="S168" s="12">
        <v>5493</v>
      </c>
    </row>
    <row r="169" spans="1:19" ht="17.5" thickBot="1" x14ac:dyDescent="0.65">
      <c r="A169" s="10" t="s">
        <v>348</v>
      </c>
      <c r="B169" s="9" t="s">
        <v>412</v>
      </c>
      <c r="C169" s="9" t="s">
        <v>419</v>
      </c>
      <c r="D169" s="9" t="s">
        <v>420</v>
      </c>
      <c r="E169" s="10" t="s">
        <v>694</v>
      </c>
      <c r="F169" s="10" t="s">
        <v>25</v>
      </c>
      <c r="G169" s="11">
        <v>765</v>
      </c>
      <c r="H169" s="11">
        <v>1060</v>
      </c>
      <c r="I169" s="11">
        <v>1362</v>
      </c>
      <c r="J169" s="11">
        <v>1042</v>
      </c>
      <c r="K169" s="11">
        <v>1539</v>
      </c>
      <c r="L169" s="11">
        <v>1139</v>
      </c>
      <c r="M169" s="11">
        <v>844</v>
      </c>
      <c r="N169" s="11">
        <v>1354</v>
      </c>
      <c r="O169" s="11">
        <v>0</v>
      </c>
      <c r="P169" s="11">
        <v>0</v>
      </c>
      <c r="Q169" s="11">
        <v>0</v>
      </c>
      <c r="R169" s="11">
        <v>0</v>
      </c>
      <c r="S169" s="12">
        <v>9105</v>
      </c>
    </row>
    <row r="170" spans="1:19" ht="17.5" thickBot="1" x14ac:dyDescent="0.65">
      <c r="A170" s="10" t="s">
        <v>348</v>
      </c>
      <c r="B170" s="9" t="s">
        <v>412</v>
      </c>
      <c r="C170" s="9" t="s">
        <v>421</v>
      </c>
      <c r="D170" s="9" t="s">
        <v>422</v>
      </c>
      <c r="E170" s="10" t="s">
        <v>694</v>
      </c>
      <c r="F170" s="10" t="s">
        <v>25</v>
      </c>
      <c r="G170" s="11">
        <v>419</v>
      </c>
      <c r="H170" s="11">
        <v>1041</v>
      </c>
      <c r="I170" s="11">
        <v>1540</v>
      </c>
      <c r="J170" s="11">
        <v>872</v>
      </c>
      <c r="K170" s="11">
        <v>707</v>
      </c>
      <c r="L170" s="11">
        <v>165</v>
      </c>
      <c r="M170" s="11">
        <v>560</v>
      </c>
      <c r="N170" s="11">
        <v>509</v>
      </c>
      <c r="O170" s="11">
        <v>0</v>
      </c>
      <c r="P170" s="11">
        <v>0</v>
      </c>
      <c r="Q170" s="11">
        <v>0</v>
      </c>
      <c r="R170" s="11">
        <v>0</v>
      </c>
      <c r="S170" s="12">
        <v>5813</v>
      </c>
    </row>
    <row r="171" spans="1:19" ht="17.5" thickBot="1" x14ac:dyDescent="0.65">
      <c r="A171" s="10" t="s">
        <v>348</v>
      </c>
      <c r="B171" s="9" t="s">
        <v>412</v>
      </c>
      <c r="C171" s="9" t="s">
        <v>423</v>
      </c>
      <c r="D171" s="9" t="s">
        <v>424</v>
      </c>
      <c r="E171" s="10" t="s">
        <v>694</v>
      </c>
      <c r="F171" s="10" t="s">
        <v>25</v>
      </c>
      <c r="G171" s="11">
        <v>0</v>
      </c>
      <c r="H171" s="11">
        <v>0</v>
      </c>
      <c r="I171" s="11">
        <v>55</v>
      </c>
      <c r="J171" s="11">
        <v>525</v>
      </c>
      <c r="K171" s="11">
        <v>697</v>
      </c>
      <c r="L171" s="11">
        <v>1316</v>
      </c>
      <c r="M171" s="11">
        <v>2358</v>
      </c>
      <c r="N171" s="11">
        <v>3787</v>
      </c>
      <c r="O171" s="11">
        <v>0</v>
      </c>
      <c r="P171" s="11">
        <v>0</v>
      </c>
      <c r="Q171" s="11">
        <v>0</v>
      </c>
      <c r="R171" s="11">
        <v>0</v>
      </c>
      <c r="S171" s="12">
        <v>8738</v>
      </c>
    </row>
    <row r="172" spans="1:19" ht="17.5" thickBot="1" x14ac:dyDescent="0.65">
      <c r="A172" s="10" t="s">
        <v>348</v>
      </c>
      <c r="B172" s="9" t="s">
        <v>425</v>
      </c>
      <c r="C172" s="9" t="s">
        <v>426</v>
      </c>
      <c r="D172" s="9" t="s">
        <v>427</v>
      </c>
      <c r="E172" s="10" t="s">
        <v>695</v>
      </c>
      <c r="F172" s="10" t="s">
        <v>104</v>
      </c>
      <c r="G172" s="11">
        <v>2257</v>
      </c>
      <c r="H172" s="11">
        <v>5499</v>
      </c>
      <c r="I172" s="11">
        <v>5488</v>
      </c>
      <c r="J172" s="11">
        <v>1107</v>
      </c>
      <c r="K172" s="11">
        <v>1632</v>
      </c>
      <c r="L172" s="11">
        <v>1747</v>
      </c>
      <c r="M172" s="11">
        <v>2891</v>
      </c>
      <c r="N172" s="11">
        <v>3310</v>
      </c>
      <c r="O172" s="11">
        <v>0</v>
      </c>
      <c r="P172" s="11">
        <v>0</v>
      </c>
      <c r="Q172" s="11">
        <v>0</v>
      </c>
      <c r="R172" s="11">
        <v>0</v>
      </c>
      <c r="S172" s="12">
        <v>23931</v>
      </c>
    </row>
    <row r="173" spans="1:19" ht="17.5" thickBot="1" x14ac:dyDescent="0.65">
      <c r="A173" s="10" t="s">
        <v>348</v>
      </c>
      <c r="B173" s="9" t="s">
        <v>425</v>
      </c>
      <c r="C173" s="9" t="s">
        <v>428</v>
      </c>
      <c r="D173" s="9" t="s">
        <v>429</v>
      </c>
      <c r="E173" s="10" t="s">
        <v>695</v>
      </c>
      <c r="F173" s="10" t="s">
        <v>104</v>
      </c>
      <c r="G173" s="11">
        <v>2787</v>
      </c>
      <c r="H173" s="11">
        <v>2865</v>
      </c>
      <c r="I173" s="11">
        <v>4961</v>
      </c>
      <c r="J173" s="11">
        <v>2906</v>
      </c>
      <c r="K173" s="11">
        <v>3373</v>
      </c>
      <c r="L173" s="11">
        <v>3237</v>
      </c>
      <c r="M173" s="11">
        <v>3231</v>
      </c>
      <c r="N173" s="11">
        <v>3494</v>
      </c>
      <c r="O173" s="11">
        <v>0</v>
      </c>
      <c r="P173" s="11">
        <v>0</v>
      </c>
      <c r="Q173" s="11">
        <v>0</v>
      </c>
      <c r="R173" s="11">
        <v>0</v>
      </c>
      <c r="S173" s="12">
        <v>26854</v>
      </c>
    </row>
    <row r="174" spans="1:19" ht="17.5" thickBot="1" x14ac:dyDescent="0.65">
      <c r="A174" s="10" t="s">
        <v>348</v>
      </c>
      <c r="B174" s="9" t="s">
        <v>425</v>
      </c>
      <c r="C174" s="9" t="s">
        <v>430</v>
      </c>
      <c r="D174" s="9" t="s">
        <v>431</v>
      </c>
      <c r="E174" s="10" t="s">
        <v>695</v>
      </c>
      <c r="F174" s="10" t="s">
        <v>104</v>
      </c>
      <c r="G174" s="11">
        <v>1862</v>
      </c>
      <c r="H174" s="11">
        <v>2145</v>
      </c>
      <c r="I174" s="11">
        <v>2246</v>
      </c>
      <c r="J174" s="11">
        <v>1767</v>
      </c>
      <c r="K174" s="11">
        <v>1758</v>
      </c>
      <c r="L174" s="11">
        <v>1743</v>
      </c>
      <c r="M174" s="11">
        <v>1698</v>
      </c>
      <c r="N174" s="11">
        <v>1704</v>
      </c>
      <c r="O174" s="11">
        <v>0</v>
      </c>
      <c r="P174" s="11">
        <v>0</v>
      </c>
      <c r="Q174" s="11">
        <v>0</v>
      </c>
      <c r="R174" s="11">
        <v>0</v>
      </c>
      <c r="S174" s="12">
        <v>14923</v>
      </c>
    </row>
    <row r="175" spans="1:19" ht="17.5" thickBot="1" x14ac:dyDescent="0.65">
      <c r="A175" s="10" t="s">
        <v>348</v>
      </c>
      <c r="B175" s="9" t="s">
        <v>425</v>
      </c>
      <c r="C175" s="9" t="s">
        <v>432</v>
      </c>
      <c r="D175" s="9" t="s">
        <v>433</v>
      </c>
      <c r="E175" s="10" t="s">
        <v>695</v>
      </c>
      <c r="F175" s="10" t="s">
        <v>104</v>
      </c>
      <c r="G175" s="11">
        <v>306</v>
      </c>
      <c r="H175" s="11">
        <v>766</v>
      </c>
      <c r="I175" s="11">
        <v>753</v>
      </c>
      <c r="J175" s="11">
        <v>707</v>
      </c>
      <c r="K175" s="11">
        <v>226</v>
      </c>
      <c r="L175" s="11">
        <v>2130</v>
      </c>
      <c r="M175" s="11">
        <v>1885</v>
      </c>
      <c r="N175" s="11">
        <v>249</v>
      </c>
      <c r="O175" s="11">
        <v>0</v>
      </c>
      <c r="P175" s="11">
        <v>0</v>
      </c>
      <c r="Q175" s="11">
        <v>0</v>
      </c>
      <c r="R175" s="11">
        <v>0</v>
      </c>
      <c r="S175" s="12">
        <v>7022</v>
      </c>
    </row>
    <row r="176" spans="1:19" ht="17.5" thickBot="1" x14ac:dyDescent="0.65">
      <c r="A176" s="10" t="s">
        <v>348</v>
      </c>
      <c r="B176" s="9" t="s">
        <v>425</v>
      </c>
      <c r="C176" s="9" t="s">
        <v>434</v>
      </c>
      <c r="D176" s="9" t="s">
        <v>435</v>
      </c>
      <c r="E176" s="10" t="s">
        <v>695</v>
      </c>
      <c r="F176" s="10" t="s">
        <v>104</v>
      </c>
      <c r="G176" s="11">
        <v>246</v>
      </c>
      <c r="H176" s="11">
        <v>1432</v>
      </c>
      <c r="I176" s="11">
        <v>774</v>
      </c>
      <c r="J176" s="11">
        <v>549</v>
      </c>
      <c r="K176" s="11">
        <v>399</v>
      </c>
      <c r="L176" s="11">
        <v>410</v>
      </c>
      <c r="M176" s="11">
        <v>426</v>
      </c>
      <c r="N176" s="11">
        <v>360</v>
      </c>
      <c r="O176" s="11">
        <v>0</v>
      </c>
      <c r="P176" s="11">
        <v>0</v>
      </c>
      <c r="Q176" s="11">
        <v>0</v>
      </c>
      <c r="R176" s="11">
        <v>0</v>
      </c>
      <c r="S176" s="12">
        <v>4596</v>
      </c>
    </row>
    <row r="177" spans="1:19" ht="17.5" thickBot="1" x14ac:dyDescent="0.65">
      <c r="A177" s="10" t="s">
        <v>348</v>
      </c>
      <c r="B177" s="9" t="s">
        <v>425</v>
      </c>
      <c r="C177" s="9" t="s">
        <v>436</v>
      </c>
      <c r="D177" s="9" t="s">
        <v>757</v>
      </c>
      <c r="E177" s="10" t="s">
        <v>695</v>
      </c>
      <c r="F177" s="10" t="s">
        <v>104</v>
      </c>
      <c r="G177" s="11">
        <v>517</v>
      </c>
      <c r="H177" s="11">
        <v>623</v>
      </c>
      <c r="I177" s="11">
        <v>1389</v>
      </c>
      <c r="J177" s="11">
        <v>374</v>
      </c>
      <c r="K177" s="11">
        <v>531</v>
      </c>
      <c r="L177" s="11">
        <v>174</v>
      </c>
      <c r="M177" s="11">
        <v>388</v>
      </c>
      <c r="N177" s="11">
        <v>234</v>
      </c>
      <c r="O177" s="11">
        <v>0</v>
      </c>
      <c r="P177" s="11">
        <v>0</v>
      </c>
      <c r="Q177" s="11">
        <v>0</v>
      </c>
      <c r="R177" s="11">
        <v>0</v>
      </c>
      <c r="S177" s="12">
        <v>4230</v>
      </c>
    </row>
    <row r="178" spans="1:19" ht="17.5" thickBot="1" x14ac:dyDescent="0.65">
      <c r="A178" s="10" t="s">
        <v>348</v>
      </c>
      <c r="B178" s="9" t="s">
        <v>425</v>
      </c>
      <c r="C178" s="9" t="s">
        <v>437</v>
      </c>
      <c r="D178" s="9" t="s">
        <v>771</v>
      </c>
      <c r="E178" s="10" t="s">
        <v>695</v>
      </c>
      <c r="F178" s="10" t="s">
        <v>104</v>
      </c>
      <c r="G178" s="11">
        <v>1043</v>
      </c>
      <c r="H178" s="11">
        <v>2760</v>
      </c>
      <c r="I178" s="11">
        <v>2800</v>
      </c>
      <c r="J178" s="11">
        <v>1437</v>
      </c>
      <c r="K178" s="11">
        <v>1486</v>
      </c>
      <c r="L178" s="11">
        <v>1483</v>
      </c>
      <c r="M178" s="11">
        <v>970</v>
      </c>
      <c r="N178" s="11">
        <v>2662</v>
      </c>
      <c r="O178" s="11">
        <v>0</v>
      </c>
      <c r="P178" s="11">
        <v>0</v>
      </c>
      <c r="Q178" s="11">
        <v>0</v>
      </c>
      <c r="R178" s="11">
        <v>0</v>
      </c>
      <c r="S178" s="12">
        <v>14641</v>
      </c>
    </row>
    <row r="179" spans="1:19" ht="17.5" thickBot="1" x14ac:dyDescent="0.65">
      <c r="A179" s="10" t="s">
        <v>348</v>
      </c>
      <c r="B179" s="9" t="s">
        <v>438</v>
      </c>
      <c r="C179" s="9" t="s">
        <v>439</v>
      </c>
      <c r="D179" s="9" t="s">
        <v>440</v>
      </c>
      <c r="E179" s="10" t="s">
        <v>694</v>
      </c>
      <c r="F179" s="10" t="s">
        <v>21</v>
      </c>
      <c r="G179" s="11">
        <v>683</v>
      </c>
      <c r="H179" s="11">
        <v>959</v>
      </c>
      <c r="I179" s="11">
        <v>1187</v>
      </c>
      <c r="J179" s="11">
        <v>597</v>
      </c>
      <c r="K179" s="11">
        <v>474</v>
      </c>
      <c r="L179" s="11">
        <v>503</v>
      </c>
      <c r="M179" s="11">
        <v>695</v>
      </c>
      <c r="N179" s="11">
        <v>183</v>
      </c>
      <c r="O179" s="11">
        <v>0</v>
      </c>
      <c r="P179" s="11">
        <v>0</v>
      </c>
      <c r="Q179" s="11">
        <v>0</v>
      </c>
      <c r="R179" s="11">
        <v>0</v>
      </c>
      <c r="S179" s="12">
        <v>5281</v>
      </c>
    </row>
    <row r="180" spans="1:19" ht="17.5" thickBot="1" x14ac:dyDescent="0.65">
      <c r="A180" s="10" t="s">
        <v>348</v>
      </c>
      <c r="B180" s="9" t="s">
        <v>438</v>
      </c>
      <c r="C180" s="9" t="s">
        <v>441</v>
      </c>
      <c r="D180" s="9" t="s">
        <v>744</v>
      </c>
      <c r="E180" s="10" t="s">
        <v>694</v>
      </c>
      <c r="F180" s="10" t="s">
        <v>21</v>
      </c>
      <c r="G180" s="11">
        <v>608</v>
      </c>
      <c r="H180" s="11">
        <v>520</v>
      </c>
      <c r="I180" s="11">
        <v>1064</v>
      </c>
      <c r="J180" s="11">
        <v>1081</v>
      </c>
      <c r="K180" s="11">
        <v>700</v>
      </c>
      <c r="L180" s="11">
        <v>759</v>
      </c>
      <c r="M180" s="11">
        <v>1035</v>
      </c>
      <c r="N180" s="11">
        <v>1913</v>
      </c>
      <c r="O180" s="11">
        <v>0</v>
      </c>
      <c r="P180" s="11">
        <v>0</v>
      </c>
      <c r="Q180" s="11">
        <v>0</v>
      </c>
      <c r="R180" s="11">
        <v>0</v>
      </c>
      <c r="S180" s="12">
        <v>7680</v>
      </c>
    </row>
    <row r="181" spans="1:19" ht="17.5" thickBot="1" x14ac:dyDescent="0.65">
      <c r="A181" s="10" t="s">
        <v>348</v>
      </c>
      <c r="B181" s="9" t="s">
        <v>442</v>
      </c>
      <c r="C181" s="9" t="s">
        <v>443</v>
      </c>
      <c r="D181" s="9" t="s">
        <v>444</v>
      </c>
      <c r="E181" s="10" t="s">
        <v>694</v>
      </c>
      <c r="F181" s="10" t="s">
        <v>21</v>
      </c>
      <c r="G181" s="11">
        <v>375</v>
      </c>
      <c r="H181" s="11">
        <v>1133</v>
      </c>
      <c r="I181" s="11">
        <v>961</v>
      </c>
      <c r="J181" s="11">
        <v>289</v>
      </c>
      <c r="K181" s="11">
        <v>226</v>
      </c>
      <c r="L181" s="11">
        <v>215</v>
      </c>
      <c r="M181" s="11">
        <v>126</v>
      </c>
      <c r="N181" s="11">
        <v>125</v>
      </c>
      <c r="O181" s="11">
        <v>0</v>
      </c>
      <c r="P181" s="11">
        <v>0</v>
      </c>
      <c r="Q181" s="11">
        <v>0</v>
      </c>
      <c r="R181" s="11">
        <v>0</v>
      </c>
      <c r="S181" s="12">
        <v>3450</v>
      </c>
    </row>
    <row r="182" spans="1:19" ht="17.5" thickBot="1" x14ac:dyDescent="0.65">
      <c r="A182" s="10" t="s">
        <v>348</v>
      </c>
      <c r="B182" s="9" t="s">
        <v>442</v>
      </c>
      <c r="C182" s="9" t="s">
        <v>445</v>
      </c>
      <c r="D182" s="9" t="s">
        <v>446</v>
      </c>
      <c r="E182" s="10" t="s">
        <v>694</v>
      </c>
      <c r="F182" s="10" t="s">
        <v>21</v>
      </c>
      <c r="G182" s="11">
        <v>483</v>
      </c>
      <c r="H182" s="11">
        <v>564</v>
      </c>
      <c r="I182" s="11">
        <v>412</v>
      </c>
      <c r="J182" s="11">
        <v>189</v>
      </c>
      <c r="K182" s="11">
        <v>342</v>
      </c>
      <c r="L182" s="11">
        <v>374</v>
      </c>
      <c r="M182" s="11">
        <v>392</v>
      </c>
      <c r="N182" s="11">
        <v>285</v>
      </c>
      <c r="O182" s="11">
        <v>0</v>
      </c>
      <c r="P182" s="11">
        <v>0</v>
      </c>
      <c r="Q182" s="11">
        <v>0</v>
      </c>
      <c r="R182" s="11">
        <v>0</v>
      </c>
      <c r="S182" s="12">
        <v>3041</v>
      </c>
    </row>
    <row r="183" spans="1:19" ht="17.5" thickBot="1" x14ac:dyDescent="0.65">
      <c r="A183" s="10" t="s">
        <v>348</v>
      </c>
      <c r="B183" s="9" t="s">
        <v>447</v>
      </c>
      <c r="C183" s="9" t="s">
        <v>448</v>
      </c>
      <c r="D183" s="9" t="s">
        <v>449</v>
      </c>
      <c r="E183" s="10" t="s">
        <v>694</v>
      </c>
      <c r="F183" s="10" t="s">
        <v>25</v>
      </c>
      <c r="G183" s="11">
        <v>2266</v>
      </c>
      <c r="H183" s="11">
        <v>2883</v>
      </c>
      <c r="I183" s="11">
        <v>2949</v>
      </c>
      <c r="J183" s="11">
        <v>2235</v>
      </c>
      <c r="K183" s="11">
        <v>1990</v>
      </c>
      <c r="L183" s="11">
        <v>1470</v>
      </c>
      <c r="M183" s="11">
        <v>1219</v>
      </c>
      <c r="N183" s="11">
        <v>2163</v>
      </c>
      <c r="O183" s="11">
        <v>0</v>
      </c>
      <c r="P183" s="11">
        <v>0</v>
      </c>
      <c r="Q183" s="11">
        <v>0</v>
      </c>
      <c r="R183" s="11">
        <v>0</v>
      </c>
      <c r="S183" s="12">
        <v>17175</v>
      </c>
    </row>
    <row r="184" spans="1:19" ht="17.5" thickBot="1" x14ac:dyDescent="0.65">
      <c r="A184" s="10" t="s">
        <v>348</v>
      </c>
      <c r="B184" s="9" t="s">
        <v>447</v>
      </c>
      <c r="C184" s="9" t="s">
        <v>450</v>
      </c>
      <c r="D184" s="9" t="s">
        <v>451</v>
      </c>
      <c r="E184" s="10" t="s">
        <v>694</v>
      </c>
      <c r="F184" s="10" t="s">
        <v>25</v>
      </c>
      <c r="G184" s="11">
        <v>870</v>
      </c>
      <c r="H184" s="11">
        <v>1580</v>
      </c>
      <c r="I184" s="11">
        <v>1796</v>
      </c>
      <c r="J184" s="11">
        <v>1151</v>
      </c>
      <c r="K184" s="11">
        <v>1657</v>
      </c>
      <c r="L184" s="11">
        <v>1248</v>
      </c>
      <c r="M184" s="11">
        <v>1109</v>
      </c>
      <c r="N184" s="11">
        <v>1827</v>
      </c>
      <c r="O184" s="11">
        <v>0</v>
      </c>
      <c r="P184" s="11">
        <v>0</v>
      </c>
      <c r="Q184" s="11">
        <v>0</v>
      </c>
      <c r="R184" s="11">
        <v>0</v>
      </c>
      <c r="S184" s="12">
        <v>11238</v>
      </c>
    </row>
    <row r="185" spans="1:19" ht="17.5" thickBot="1" x14ac:dyDescent="0.65">
      <c r="A185" s="10" t="s">
        <v>348</v>
      </c>
      <c r="B185" s="9" t="s">
        <v>447</v>
      </c>
      <c r="C185" s="9" t="s">
        <v>452</v>
      </c>
      <c r="D185" s="9" t="s">
        <v>453</v>
      </c>
      <c r="E185" s="10" t="s">
        <v>694</v>
      </c>
      <c r="F185" s="10" t="s">
        <v>25</v>
      </c>
      <c r="G185" s="11">
        <v>1848</v>
      </c>
      <c r="H185" s="11">
        <v>1729</v>
      </c>
      <c r="I185" s="11">
        <v>1906</v>
      </c>
      <c r="J185" s="11">
        <v>1505</v>
      </c>
      <c r="K185" s="11">
        <v>921</v>
      </c>
      <c r="L185" s="11">
        <v>1042</v>
      </c>
      <c r="M185" s="11">
        <v>718</v>
      </c>
      <c r="N185" s="11">
        <v>849</v>
      </c>
      <c r="O185" s="11">
        <v>0</v>
      </c>
      <c r="P185" s="11">
        <v>0</v>
      </c>
      <c r="Q185" s="11">
        <v>0</v>
      </c>
      <c r="R185" s="11">
        <v>0</v>
      </c>
      <c r="S185" s="12">
        <v>10518</v>
      </c>
    </row>
    <row r="186" spans="1:19" ht="17.5" thickBot="1" x14ac:dyDescent="0.65">
      <c r="A186" s="10" t="s">
        <v>348</v>
      </c>
      <c r="B186" s="9" t="s">
        <v>447</v>
      </c>
      <c r="C186" s="9" t="s">
        <v>454</v>
      </c>
      <c r="D186" s="9" t="s">
        <v>751</v>
      </c>
      <c r="E186" s="10" t="s">
        <v>694</v>
      </c>
      <c r="F186" s="10" t="s">
        <v>25</v>
      </c>
      <c r="G186" s="11">
        <v>684</v>
      </c>
      <c r="H186" s="11">
        <v>710</v>
      </c>
      <c r="I186" s="11">
        <v>1546</v>
      </c>
      <c r="J186" s="11">
        <v>560</v>
      </c>
      <c r="K186" s="11">
        <v>550</v>
      </c>
      <c r="L186" s="11">
        <v>944</v>
      </c>
      <c r="M186" s="11">
        <v>598</v>
      </c>
      <c r="N186" s="11">
        <v>722</v>
      </c>
      <c r="O186" s="11">
        <v>0</v>
      </c>
      <c r="P186" s="11">
        <v>0</v>
      </c>
      <c r="Q186" s="11">
        <v>0</v>
      </c>
      <c r="R186" s="11">
        <v>0</v>
      </c>
      <c r="S186" s="12">
        <v>6314</v>
      </c>
    </row>
    <row r="187" spans="1:19" ht="17.5" thickBot="1" x14ac:dyDescent="0.65">
      <c r="A187" s="10" t="s">
        <v>348</v>
      </c>
      <c r="B187" s="9" t="s">
        <v>447</v>
      </c>
      <c r="C187" s="9" t="s">
        <v>455</v>
      </c>
      <c r="D187" s="9" t="s">
        <v>456</v>
      </c>
      <c r="E187" s="10" t="s">
        <v>694</v>
      </c>
      <c r="F187" s="10" t="s">
        <v>25</v>
      </c>
      <c r="G187" s="11">
        <v>346</v>
      </c>
      <c r="H187" s="11">
        <v>612</v>
      </c>
      <c r="I187" s="11">
        <v>892</v>
      </c>
      <c r="J187" s="11">
        <v>462</v>
      </c>
      <c r="K187" s="11">
        <v>724</v>
      </c>
      <c r="L187" s="11">
        <v>593</v>
      </c>
      <c r="M187" s="11">
        <v>823</v>
      </c>
      <c r="N187" s="11">
        <v>797</v>
      </c>
      <c r="O187" s="11">
        <v>0</v>
      </c>
      <c r="P187" s="11">
        <v>0</v>
      </c>
      <c r="Q187" s="11">
        <v>0</v>
      </c>
      <c r="R187" s="11">
        <v>0</v>
      </c>
      <c r="S187" s="12">
        <v>5249</v>
      </c>
    </row>
    <row r="188" spans="1:19" ht="17.5" thickBot="1" x14ac:dyDescent="0.65">
      <c r="A188" s="10" t="s">
        <v>348</v>
      </c>
      <c r="B188" s="9" t="s">
        <v>447</v>
      </c>
      <c r="C188" s="9" t="s">
        <v>457</v>
      </c>
      <c r="D188" s="9" t="s">
        <v>747</v>
      </c>
      <c r="E188" s="10" t="s">
        <v>694</v>
      </c>
      <c r="F188" s="10" t="s">
        <v>25</v>
      </c>
      <c r="G188" s="11">
        <v>972</v>
      </c>
      <c r="H188" s="11">
        <v>1852</v>
      </c>
      <c r="I188" s="11">
        <v>654</v>
      </c>
      <c r="J188" s="11">
        <v>275</v>
      </c>
      <c r="K188" s="11">
        <v>654</v>
      </c>
      <c r="L188" s="11">
        <v>347</v>
      </c>
      <c r="M188" s="11">
        <v>160</v>
      </c>
      <c r="N188" s="11">
        <v>179</v>
      </c>
      <c r="O188" s="11">
        <v>0</v>
      </c>
      <c r="P188" s="11">
        <v>0</v>
      </c>
      <c r="Q188" s="11">
        <v>0</v>
      </c>
      <c r="R188" s="11">
        <v>0</v>
      </c>
      <c r="S188" s="12">
        <v>5093</v>
      </c>
    </row>
    <row r="189" spans="1:19" ht="17.5" thickBot="1" x14ac:dyDescent="0.65">
      <c r="A189" s="10" t="s">
        <v>348</v>
      </c>
      <c r="B189" s="9" t="s">
        <v>458</v>
      </c>
      <c r="C189" s="9" t="s">
        <v>459</v>
      </c>
      <c r="D189" s="9" t="s">
        <v>460</v>
      </c>
      <c r="E189" s="10" t="s">
        <v>694</v>
      </c>
      <c r="F189" s="10" t="s">
        <v>104</v>
      </c>
      <c r="G189" s="11">
        <v>2157</v>
      </c>
      <c r="H189" s="11">
        <v>1974</v>
      </c>
      <c r="I189" s="11">
        <v>1899</v>
      </c>
      <c r="J189" s="11">
        <v>1179</v>
      </c>
      <c r="K189" s="11">
        <v>1418</v>
      </c>
      <c r="L189" s="11">
        <v>1942</v>
      </c>
      <c r="M189" s="11">
        <v>746</v>
      </c>
      <c r="N189" s="11">
        <v>1412</v>
      </c>
      <c r="O189" s="11">
        <v>0</v>
      </c>
      <c r="P189" s="11">
        <v>0</v>
      </c>
      <c r="Q189" s="11">
        <v>0</v>
      </c>
      <c r="R189" s="11">
        <v>0</v>
      </c>
      <c r="S189" s="12">
        <v>12727</v>
      </c>
    </row>
    <row r="190" spans="1:19" ht="17.5" thickBot="1" x14ac:dyDescent="0.65">
      <c r="A190" s="10" t="s">
        <v>348</v>
      </c>
      <c r="B190" s="9" t="s">
        <v>461</v>
      </c>
      <c r="C190" s="9" t="s">
        <v>462</v>
      </c>
      <c r="D190" s="9" t="s">
        <v>463</v>
      </c>
      <c r="E190" s="10" t="s">
        <v>694</v>
      </c>
      <c r="F190" s="10" t="s">
        <v>21</v>
      </c>
      <c r="G190" s="11">
        <v>362</v>
      </c>
      <c r="H190" s="11">
        <v>858</v>
      </c>
      <c r="I190" s="11">
        <v>1166</v>
      </c>
      <c r="J190" s="11">
        <v>1109</v>
      </c>
      <c r="K190" s="11">
        <v>849</v>
      </c>
      <c r="L190" s="11">
        <v>592</v>
      </c>
      <c r="M190" s="11">
        <v>653</v>
      </c>
      <c r="N190" s="11">
        <v>693</v>
      </c>
      <c r="O190" s="11">
        <v>0</v>
      </c>
      <c r="P190" s="11">
        <v>0</v>
      </c>
      <c r="Q190" s="11">
        <v>0</v>
      </c>
      <c r="R190" s="11">
        <v>0</v>
      </c>
      <c r="S190" s="12">
        <v>6282</v>
      </c>
    </row>
    <row r="191" spans="1:19" ht="17.5" thickBot="1" x14ac:dyDescent="0.65">
      <c r="A191" s="10" t="s">
        <v>348</v>
      </c>
      <c r="B191" s="9" t="s">
        <v>461</v>
      </c>
      <c r="C191" s="9" t="s">
        <v>464</v>
      </c>
      <c r="D191" s="9" t="s">
        <v>465</v>
      </c>
      <c r="E191" s="10" t="s">
        <v>694</v>
      </c>
      <c r="F191" s="10" t="s">
        <v>21</v>
      </c>
      <c r="G191" s="11">
        <v>895</v>
      </c>
      <c r="H191" s="11">
        <v>867</v>
      </c>
      <c r="I191" s="11">
        <v>1070</v>
      </c>
      <c r="J191" s="11">
        <v>401</v>
      </c>
      <c r="K191" s="11">
        <v>701</v>
      </c>
      <c r="L191" s="11">
        <v>372</v>
      </c>
      <c r="M191" s="11">
        <v>171</v>
      </c>
      <c r="N191" s="11">
        <v>263</v>
      </c>
      <c r="O191" s="11">
        <v>0</v>
      </c>
      <c r="P191" s="11">
        <v>0</v>
      </c>
      <c r="Q191" s="11">
        <v>0</v>
      </c>
      <c r="R191" s="11">
        <v>0</v>
      </c>
      <c r="S191" s="12">
        <v>4740</v>
      </c>
    </row>
    <row r="192" spans="1:19" ht="17.5" thickBot="1" x14ac:dyDescent="0.65">
      <c r="A192" s="10" t="s">
        <v>348</v>
      </c>
      <c r="B192" s="9" t="s">
        <v>461</v>
      </c>
      <c r="C192" s="9" t="s">
        <v>466</v>
      </c>
      <c r="D192" s="9" t="s">
        <v>467</v>
      </c>
      <c r="E192" s="10" t="s">
        <v>694</v>
      </c>
      <c r="F192" s="10" t="s">
        <v>21</v>
      </c>
      <c r="G192" s="11">
        <v>1271</v>
      </c>
      <c r="H192" s="11">
        <v>1463</v>
      </c>
      <c r="I192" s="11">
        <v>3068</v>
      </c>
      <c r="J192" s="11">
        <v>1846</v>
      </c>
      <c r="K192" s="11">
        <v>1609</v>
      </c>
      <c r="L192" s="11">
        <v>1909</v>
      </c>
      <c r="M192" s="11">
        <v>1543</v>
      </c>
      <c r="N192" s="11">
        <v>622</v>
      </c>
      <c r="O192" s="11">
        <v>0</v>
      </c>
      <c r="P192" s="11">
        <v>0</v>
      </c>
      <c r="Q192" s="11">
        <v>0</v>
      </c>
      <c r="R192" s="11">
        <v>0</v>
      </c>
      <c r="S192" s="12">
        <v>13331</v>
      </c>
    </row>
    <row r="193" spans="1:19" ht="17.5" thickBot="1" x14ac:dyDescent="0.65">
      <c r="A193" s="10" t="s">
        <v>348</v>
      </c>
      <c r="B193" s="9" t="s">
        <v>461</v>
      </c>
      <c r="C193" s="9" t="s">
        <v>468</v>
      </c>
      <c r="D193" s="9" t="s">
        <v>755</v>
      </c>
      <c r="E193" s="10" t="s">
        <v>694</v>
      </c>
      <c r="F193" s="10" t="s">
        <v>21</v>
      </c>
      <c r="G193" s="11">
        <v>1056</v>
      </c>
      <c r="H193" s="11">
        <v>1113</v>
      </c>
      <c r="I193" s="11">
        <v>1500</v>
      </c>
      <c r="J193" s="11">
        <v>709</v>
      </c>
      <c r="K193" s="11">
        <v>385</v>
      </c>
      <c r="L193" s="11">
        <v>713</v>
      </c>
      <c r="M193" s="11">
        <v>476</v>
      </c>
      <c r="N193" s="11">
        <v>572</v>
      </c>
      <c r="O193" s="11">
        <v>0</v>
      </c>
      <c r="P193" s="11">
        <v>0</v>
      </c>
      <c r="Q193" s="11">
        <v>0</v>
      </c>
      <c r="R193" s="11">
        <v>0</v>
      </c>
      <c r="S193" s="12">
        <v>6524</v>
      </c>
    </row>
    <row r="194" spans="1:19" ht="17.5" thickBot="1" x14ac:dyDescent="0.65">
      <c r="A194" s="10" t="s">
        <v>348</v>
      </c>
      <c r="B194" s="9" t="s">
        <v>469</v>
      </c>
      <c r="C194" s="9" t="s">
        <v>470</v>
      </c>
      <c r="D194" s="9" t="s">
        <v>471</v>
      </c>
      <c r="E194" s="10" t="s">
        <v>694</v>
      </c>
      <c r="F194" s="10" t="s">
        <v>28</v>
      </c>
      <c r="G194" s="11">
        <v>431</v>
      </c>
      <c r="H194" s="11">
        <v>321</v>
      </c>
      <c r="I194" s="11">
        <v>520</v>
      </c>
      <c r="J194" s="11">
        <v>110</v>
      </c>
      <c r="K194" s="11">
        <v>104</v>
      </c>
      <c r="L194" s="11">
        <v>83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  <c r="S194" s="12">
        <v>1569</v>
      </c>
    </row>
    <row r="195" spans="1:19" ht="17.5" thickBot="1" x14ac:dyDescent="0.65">
      <c r="A195" s="10" t="s">
        <v>348</v>
      </c>
      <c r="B195" s="9" t="s">
        <v>469</v>
      </c>
      <c r="C195" s="9" t="s">
        <v>472</v>
      </c>
      <c r="D195" s="9" t="s">
        <v>473</v>
      </c>
      <c r="E195" s="10" t="s">
        <v>694</v>
      </c>
      <c r="F195" s="10" t="s">
        <v>28</v>
      </c>
      <c r="G195" s="11">
        <v>196</v>
      </c>
      <c r="H195" s="11">
        <v>101</v>
      </c>
      <c r="I195" s="11">
        <v>122</v>
      </c>
      <c r="J195" s="11">
        <v>174</v>
      </c>
      <c r="K195" s="11">
        <v>121</v>
      </c>
      <c r="L195" s="11">
        <v>472</v>
      </c>
      <c r="M195" s="11">
        <v>1276</v>
      </c>
      <c r="N195" s="11">
        <v>600</v>
      </c>
      <c r="O195" s="11">
        <v>0</v>
      </c>
      <c r="P195" s="11">
        <v>0</v>
      </c>
      <c r="Q195" s="11">
        <v>0</v>
      </c>
      <c r="R195" s="11">
        <v>0</v>
      </c>
      <c r="S195" s="12">
        <v>3062</v>
      </c>
    </row>
    <row r="196" spans="1:19" ht="17.5" thickBot="1" x14ac:dyDescent="0.65">
      <c r="A196" s="10" t="s">
        <v>348</v>
      </c>
      <c r="B196" s="9" t="s">
        <v>474</v>
      </c>
      <c r="C196" s="9" t="s">
        <v>475</v>
      </c>
      <c r="D196" s="9" t="s">
        <v>476</v>
      </c>
      <c r="E196" s="10" t="s">
        <v>694</v>
      </c>
      <c r="F196" s="10" t="s">
        <v>21</v>
      </c>
      <c r="G196" s="11">
        <v>870</v>
      </c>
      <c r="H196" s="11">
        <v>834</v>
      </c>
      <c r="I196" s="11">
        <v>1252</v>
      </c>
      <c r="J196" s="11">
        <v>907</v>
      </c>
      <c r="K196" s="11">
        <v>669</v>
      </c>
      <c r="L196" s="11">
        <v>556</v>
      </c>
      <c r="M196" s="11">
        <v>240</v>
      </c>
      <c r="N196" s="11">
        <v>395</v>
      </c>
      <c r="O196" s="11">
        <v>0</v>
      </c>
      <c r="P196" s="11">
        <v>0</v>
      </c>
      <c r="Q196" s="11">
        <v>0</v>
      </c>
      <c r="R196" s="11">
        <v>0</v>
      </c>
      <c r="S196" s="12">
        <v>5723</v>
      </c>
    </row>
    <row r="197" spans="1:19" ht="17.5" thickBot="1" x14ac:dyDescent="0.65">
      <c r="A197" s="10" t="s">
        <v>348</v>
      </c>
      <c r="B197" s="9" t="s">
        <v>474</v>
      </c>
      <c r="C197" s="9" t="s">
        <v>477</v>
      </c>
      <c r="D197" s="9" t="s">
        <v>478</v>
      </c>
      <c r="E197" s="10" t="s">
        <v>694</v>
      </c>
      <c r="F197" s="10" t="s">
        <v>21</v>
      </c>
      <c r="G197" s="11">
        <v>607</v>
      </c>
      <c r="H197" s="11">
        <v>549</v>
      </c>
      <c r="I197" s="11">
        <v>478</v>
      </c>
      <c r="J197" s="11">
        <v>298</v>
      </c>
      <c r="K197" s="11">
        <v>1005</v>
      </c>
      <c r="L197" s="11">
        <v>343</v>
      </c>
      <c r="M197" s="11">
        <v>323</v>
      </c>
      <c r="N197" s="11">
        <v>619</v>
      </c>
      <c r="O197" s="11">
        <v>0</v>
      </c>
      <c r="P197" s="11">
        <v>0</v>
      </c>
      <c r="Q197" s="11">
        <v>0</v>
      </c>
      <c r="R197" s="11">
        <v>0</v>
      </c>
      <c r="S197" s="12">
        <v>4222</v>
      </c>
    </row>
    <row r="198" spans="1:19" ht="17.5" thickBot="1" x14ac:dyDescent="0.65">
      <c r="A198" s="10" t="s">
        <v>348</v>
      </c>
      <c r="B198" s="9" t="s">
        <v>474</v>
      </c>
      <c r="C198" s="9" t="s">
        <v>479</v>
      </c>
      <c r="D198" s="9" t="s">
        <v>750</v>
      </c>
      <c r="E198" s="10" t="s">
        <v>694</v>
      </c>
      <c r="F198" s="10" t="s">
        <v>21</v>
      </c>
      <c r="G198" s="11">
        <v>802</v>
      </c>
      <c r="H198" s="11">
        <v>645</v>
      </c>
      <c r="I198" s="11">
        <v>1169</v>
      </c>
      <c r="J198" s="11">
        <v>681</v>
      </c>
      <c r="K198" s="11">
        <v>426</v>
      </c>
      <c r="L198" s="11">
        <v>519</v>
      </c>
      <c r="M198" s="11">
        <v>544</v>
      </c>
      <c r="N198" s="11">
        <v>353</v>
      </c>
      <c r="O198" s="11">
        <v>0</v>
      </c>
      <c r="P198" s="11">
        <v>0</v>
      </c>
      <c r="Q198" s="11">
        <v>0</v>
      </c>
      <c r="R198" s="11">
        <v>0</v>
      </c>
      <c r="S198" s="12">
        <v>5139</v>
      </c>
    </row>
    <row r="199" spans="1:19" ht="17.5" thickBot="1" x14ac:dyDescent="0.65">
      <c r="A199" s="10" t="s">
        <v>348</v>
      </c>
      <c r="B199" s="9" t="s">
        <v>480</v>
      </c>
      <c r="C199" s="9" t="s">
        <v>481</v>
      </c>
      <c r="D199" s="9" t="s">
        <v>482</v>
      </c>
      <c r="E199" s="10" t="s">
        <v>694</v>
      </c>
      <c r="F199" s="10" t="s">
        <v>104</v>
      </c>
      <c r="G199" s="11">
        <v>762</v>
      </c>
      <c r="H199" s="11">
        <v>221</v>
      </c>
      <c r="I199" s="11">
        <v>558</v>
      </c>
      <c r="J199" s="11">
        <v>1224</v>
      </c>
      <c r="K199" s="11">
        <v>1214</v>
      </c>
      <c r="L199" s="11">
        <v>504</v>
      </c>
      <c r="M199" s="11">
        <v>2030</v>
      </c>
      <c r="N199" s="11">
        <v>1338</v>
      </c>
      <c r="O199" s="11">
        <v>0</v>
      </c>
      <c r="P199" s="11">
        <v>0</v>
      </c>
      <c r="Q199" s="11">
        <v>0</v>
      </c>
      <c r="R199" s="11">
        <v>0</v>
      </c>
      <c r="S199" s="12">
        <v>7851</v>
      </c>
    </row>
    <row r="200" spans="1:19" ht="17.5" thickBot="1" x14ac:dyDescent="0.65">
      <c r="A200" s="10" t="s">
        <v>348</v>
      </c>
      <c r="B200" s="9" t="s">
        <v>483</v>
      </c>
      <c r="C200" s="9" t="s">
        <v>484</v>
      </c>
      <c r="D200" s="9" t="s">
        <v>485</v>
      </c>
      <c r="E200" s="10" t="s">
        <v>694</v>
      </c>
      <c r="F200" s="10" t="s">
        <v>21</v>
      </c>
      <c r="G200" s="11">
        <v>1794</v>
      </c>
      <c r="H200" s="11">
        <v>1533</v>
      </c>
      <c r="I200" s="11">
        <v>1848</v>
      </c>
      <c r="J200" s="11">
        <v>1641</v>
      </c>
      <c r="K200" s="11">
        <v>1402</v>
      </c>
      <c r="L200" s="11">
        <v>1787</v>
      </c>
      <c r="M200" s="11">
        <v>1742</v>
      </c>
      <c r="N200" s="11">
        <v>2385</v>
      </c>
      <c r="O200" s="11">
        <v>0</v>
      </c>
      <c r="P200" s="11">
        <v>0</v>
      </c>
      <c r="Q200" s="11">
        <v>0</v>
      </c>
      <c r="R200" s="11">
        <v>0</v>
      </c>
      <c r="S200" s="12">
        <v>14132</v>
      </c>
    </row>
    <row r="201" spans="1:19" ht="17.5" thickBot="1" x14ac:dyDescent="0.65">
      <c r="A201" s="10" t="s">
        <v>348</v>
      </c>
      <c r="B201" s="9" t="s">
        <v>483</v>
      </c>
      <c r="C201" s="9" t="s">
        <v>486</v>
      </c>
      <c r="D201" s="9" t="s">
        <v>487</v>
      </c>
      <c r="E201" s="10" t="s">
        <v>694</v>
      </c>
      <c r="F201" s="10" t="s">
        <v>21</v>
      </c>
      <c r="G201" s="11">
        <v>1130</v>
      </c>
      <c r="H201" s="11">
        <v>964</v>
      </c>
      <c r="I201" s="11">
        <v>1534</v>
      </c>
      <c r="J201" s="11">
        <v>929</v>
      </c>
      <c r="K201" s="11">
        <v>907</v>
      </c>
      <c r="L201" s="11">
        <v>1199</v>
      </c>
      <c r="M201" s="11">
        <v>2173</v>
      </c>
      <c r="N201" s="11">
        <v>1252</v>
      </c>
      <c r="O201" s="11">
        <v>0</v>
      </c>
      <c r="P201" s="11">
        <v>0</v>
      </c>
      <c r="Q201" s="11">
        <v>0</v>
      </c>
      <c r="R201" s="11">
        <v>0</v>
      </c>
      <c r="S201" s="12">
        <v>10088</v>
      </c>
    </row>
    <row r="202" spans="1:19" ht="17.5" thickBot="1" x14ac:dyDescent="0.65">
      <c r="A202" s="10" t="s">
        <v>348</v>
      </c>
      <c r="B202" s="9" t="s">
        <v>483</v>
      </c>
      <c r="C202" s="9" t="s">
        <v>488</v>
      </c>
      <c r="D202" s="9" t="s">
        <v>489</v>
      </c>
      <c r="E202" s="10" t="s">
        <v>694</v>
      </c>
      <c r="F202" s="10" t="s">
        <v>21</v>
      </c>
      <c r="G202" s="11">
        <v>1369</v>
      </c>
      <c r="H202" s="11">
        <v>1864</v>
      </c>
      <c r="I202" s="11">
        <v>1827</v>
      </c>
      <c r="J202" s="11">
        <v>957</v>
      </c>
      <c r="K202" s="11">
        <v>1136</v>
      </c>
      <c r="L202" s="11">
        <v>1409</v>
      </c>
      <c r="M202" s="11">
        <v>1044</v>
      </c>
      <c r="N202" s="11">
        <v>1258</v>
      </c>
      <c r="O202" s="11">
        <v>0</v>
      </c>
      <c r="P202" s="11">
        <v>0</v>
      </c>
      <c r="Q202" s="11">
        <v>0</v>
      </c>
      <c r="R202" s="11">
        <v>0</v>
      </c>
      <c r="S202" s="12">
        <v>10864</v>
      </c>
    </row>
    <row r="203" spans="1:19" ht="17.5" thickBot="1" x14ac:dyDescent="0.65">
      <c r="A203" s="10" t="s">
        <v>348</v>
      </c>
      <c r="B203" s="9" t="s">
        <v>483</v>
      </c>
      <c r="C203" s="9" t="s">
        <v>490</v>
      </c>
      <c r="D203" s="9" t="s">
        <v>749</v>
      </c>
      <c r="E203" s="10" t="s">
        <v>694</v>
      </c>
      <c r="F203" s="10" t="s">
        <v>21</v>
      </c>
      <c r="G203" s="11">
        <v>404</v>
      </c>
      <c r="H203" s="11">
        <v>307</v>
      </c>
      <c r="I203" s="11">
        <v>338</v>
      </c>
      <c r="J203" s="11">
        <v>578</v>
      </c>
      <c r="K203" s="11">
        <v>581</v>
      </c>
      <c r="L203" s="11">
        <v>493</v>
      </c>
      <c r="M203" s="11">
        <v>566</v>
      </c>
      <c r="N203" s="11">
        <v>500</v>
      </c>
      <c r="O203" s="11">
        <v>0</v>
      </c>
      <c r="P203" s="11">
        <v>0</v>
      </c>
      <c r="Q203" s="11">
        <v>0</v>
      </c>
      <c r="R203" s="11">
        <v>0</v>
      </c>
      <c r="S203" s="12">
        <v>3767</v>
      </c>
    </row>
    <row r="204" spans="1:19" ht="17.5" thickBot="1" x14ac:dyDescent="0.65">
      <c r="A204" s="10" t="s">
        <v>348</v>
      </c>
      <c r="B204" s="9" t="s">
        <v>491</v>
      </c>
      <c r="C204" s="9" t="s">
        <v>492</v>
      </c>
      <c r="D204" s="9" t="s">
        <v>493</v>
      </c>
      <c r="E204" s="10" t="s">
        <v>694</v>
      </c>
      <c r="F204" s="10" t="s">
        <v>104</v>
      </c>
      <c r="G204" s="11">
        <v>263</v>
      </c>
      <c r="H204" s="11">
        <v>70</v>
      </c>
      <c r="I204" s="11">
        <v>184</v>
      </c>
      <c r="J204" s="11">
        <v>121</v>
      </c>
      <c r="K204" s="11">
        <v>18</v>
      </c>
      <c r="L204" s="11">
        <v>199</v>
      </c>
      <c r="M204" s="11">
        <v>270</v>
      </c>
      <c r="N204" s="11">
        <v>363</v>
      </c>
      <c r="O204" s="11">
        <v>0</v>
      </c>
      <c r="P204" s="11">
        <v>0</v>
      </c>
      <c r="Q204" s="11">
        <v>0</v>
      </c>
      <c r="R204" s="11">
        <v>0</v>
      </c>
      <c r="S204" s="12">
        <v>1488</v>
      </c>
    </row>
    <row r="205" spans="1:19" ht="17.5" thickBot="1" x14ac:dyDescent="0.65">
      <c r="A205" s="10" t="s">
        <v>348</v>
      </c>
      <c r="B205" s="9" t="s">
        <v>491</v>
      </c>
      <c r="C205" s="9" t="s">
        <v>494</v>
      </c>
      <c r="D205" s="9" t="s">
        <v>762</v>
      </c>
      <c r="E205" s="10" t="s">
        <v>695</v>
      </c>
      <c r="F205" s="10" t="s">
        <v>104</v>
      </c>
      <c r="G205" s="11">
        <v>1251</v>
      </c>
      <c r="H205" s="11">
        <v>1729</v>
      </c>
      <c r="I205" s="11">
        <v>780</v>
      </c>
      <c r="J205" s="11">
        <v>268</v>
      </c>
      <c r="K205" s="11">
        <v>397</v>
      </c>
      <c r="L205" s="11">
        <v>676</v>
      </c>
      <c r="M205" s="11">
        <v>562</v>
      </c>
      <c r="N205" s="11">
        <v>474</v>
      </c>
      <c r="O205" s="11">
        <v>0</v>
      </c>
      <c r="P205" s="11">
        <v>0</v>
      </c>
      <c r="Q205" s="11">
        <v>0</v>
      </c>
      <c r="R205" s="11">
        <v>0</v>
      </c>
      <c r="S205" s="12">
        <v>6137</v>
      </c>
    </row>
    <row r="206" spans="1:19" ht="17.5" thickBot="1" x14ac:dyDescent="0.65">
      <c r="A206" s="10" t="s">
        <v>348</v>
      </c>
      <c r="B206" s="9" t="s">
        <v>491</v>
      </c>
      <c r="C206" s="9" t="s">
        <v>495</v>
      </c>
      <c r="D206" s="9" t="s">
        <v>742</v>
      </c>
      <c r="E206" s="10" t="s">
        <v>694</v>
      </c>
      <c r="F206" s="10" t="s">
        <v>104</v>
      </c>
      <c r="G206" s="11">
        <v>470</v>
      </c>
      <c r="H206" s="11">
        <v>592</v>
      </c>
      <c r="I206" s="11">
        <v>445</v>
      </c>
      <c r="J206" s="11">
        <v>355</v>
      </c>
      <c r="K206" s="11">
        <v>238</v>
      </c>
      <c r="L206" s="11">
        <v>239</v>
      </c>
      <c r="M206" s="11">
        <v>257</v>
      </c>
      <c r="N206" s="11">
        <v>226</v>
      </c>
      <c r="O206" s="11">
        <v>0</v>
      </c>
      <c r="P206" s="11">
        <v>0</v>
      </c>
      <c r="Q206" s="11">
        <v>0</v>
      </c>
      <c r="R206" s="11">
        <v>0</v>
      </c>
      <c r="S206" s="12">
        <v>2822</v>
      </c>
    </row>
    <row r="207" spans="1:19" ht="17.5" thickBot="1" x14ac:dyDescent="0.65">
      <c r="A207" s="10" t="s">
        <v>348</v>
      </c>
      <c r="B207" s="9" t="s">
        <v>496</v>
      </c>
      <c r="C207" s="9" t="s">
        <v>497</v>
      </c>
      <c r="D207" s="9" t="s">
        <v>498</v>
      </c>
      <c r="E207" s="10" t="s">
        <v>694</v>
      </c>
      <c r="F207" s="10" t="s">
        <v>21</v>
      </c>
      <c r="G207" s="11">
        <v>423</v>
      </c>
      <c r="H207" s="11">
        <v>569</v>
      </c>
      <c r="I207" s="11">
        <v>127</v>
      </c>
      <c r="J207" s="11">
        <v>382</v>
      </c>
      <c r="K207" s="11">
        <v>445</v>
      </c>
      <c r="L207" s="11">
        <v>416</v>
      </c>
      <c r="M207" s="11">
        <v>201</v>
      </c>
      <c r="N207" s="11">
        <v>207</v>
      </c>
      <c r="O207" s="11">
        <v>0</v>
      </c>
      <c r="P207" s="11">
        <v>0</v>
      </c>
      <c r="Q207" s="11">
        <v>0</v>
      </c>
      <c r="R207" s="11">
        <v>0</v>
      </c>
      <c r="S207" s="12">
        <v>2770</v>
      </c>
    </row>
    <row r="208" spans="1:19" ht="17.5" thickBot="1" x14ac:dyDescent="0.65">
      <c r="A208" s="10" t="s">
        <v>348</v>
      </c>
      <c r="B208" s="9" t="s">
        <v>499</v>
      </c>
      <c r="C208" s="9" t="s">
        <v>500</v>
      </c>
      <c r="D208" s="9" t="s">
        <v>501</v>
      </c>
      <c r="E208" s="10" t="s">
        <v>694</v>
      </c>
      <c r="F208" s="10" t="s">
        <v>104</v>
      </c>
      <c r="G208" s="11">
        <v>1311</v>
      </c>
      <c r="H208" s="11">
        <v>924</v>
      </c>
      <c r="I208" s="11">
        <v>832</v>
      </c>
      <c r="J208" s="11">
        <v>699</v>
      </c>
      <c r="K208" s="11">
        <v>924</v>
      </c>
      <c r="L208" s="11">
        <v>549</v>
      </c>
      <c r="M208" s="11">
        <v>992</v>
      </c>
      <c r="N208" s="11">
        <v>226</v>
      </c>
      <c r="O208" s="11">
        <v>0</v>
      </c>
      <c r="P208" s="11">
        <v>0</v>
      </c>
      <c r="Q208" s="11">
        <v>0</v>
      </c>
      <c r="R208" s="11">
        <v>0</v>
      </c>
      <c r="S208" s="12">
        <v>6457</v>
      </c>
    </row>
    <row r="209" spans="1:19" ht="17.5" thickBot="1" x14ac:dyDescent="0.65">
      <c r="A209" s="10" t="s">
        <v>348</v>
      </c>
      <c r="B209" s="9" t="s">
        <v>499</v>
      </c>
      <c r="C209" s="9" t="s">
        <v>502</v>
      </c>
      <c r="D209" s="9" t="s">
        <v>503</v>
      </c>
      <c r="E209" s="10" t="s">
        <v>694</v>
      </c>
      <c r="F209" s="10" t="s">
        <v>104</v>
      </c>
      <c r="G209" s="11">
        <v>1087</v>
      </c>
      <c r="H209" s="11">
        <v>1268</v>
      </c>
      <c r="I209" s="11">
        <v>2098</v>
      </c>
      <c r="J209" s="11">
        <v>1208</v>
      </c>
      <c r="K209" s="11">
        <v>920</v>
      </c>
      <c r="L209" s="11">
        <v>1625</v>
      </c>
      <c r="M209" s="11">
        <v>1496</v>
      </c>
      <c r="N209" s="11">
        <v>1640</v>
      </c>
      <c r="O209" s="11">
        <v>0</v>
      </c>
      <c r="P209" s="11">
        <v>0</v>
      </c>
      <c r="Q209" s="11">
        <v>0</v>
      </c>
      <c r="R209" s="11">
        <v>0</v>
      </c>
      <c r="S209" s="12">
        <v>11342</v>
      </c>
    </row>
    <row r="210" spans="1:19" ht="17.5" thickBot="1" x14ac:dyDescent="0.65">
      <c r="A210" s="10" t="s">
        <v>348</v>
      </c>
      <c r="B210" s="9" t="s">
        <v>499</v>
      </c>
      <c r="C210" s="9" t="s">
        <v>504</v>
      </c>
      <c r="D210" s="9" t="s">
        <v>505</v>
      </c>
      <c r="E210" s="10" t="s">
        <v>694</v>
      </c>
      <c r="F210" s="10" t="s">
        <v>104</v>
      </c>
      <c r="G210" s="11">
        <v>882</v>
      </c>
      <c r="H210" s="11">
        <v>1418</v>
      </c>
      <c r="I210" s="11">
        <v>1550</v>
      </c>
      <c r="J210" s="11">
        <v>852</v>
      </c>
      <c r="K210" s="11">
        <v>508</v>
      </c>
      <c r="L210" s="11">
        <v>615</v>
      </c>
      <c r="M210" s="11">
        <v>741</v>
      </c>
      <c r="N210" s="11">
        <v>424</v>
      </c>
      <c r="O210" s="11">
        <v>0</v>
      </c>
      <c r="P210" s="11">
        <v>0</v>
      </c>
      <c r="Q210" s="11">
        <v>0</v>
      </c>
      <c r="R210" s="11">
        <v>0</v>
      </c>
      <c r="S210" s="12">
        <v>6990</v>
      </c>
    </row>
    <row r="211" spans="1:19" ht="17.5" thickBot="1" x14ac:dyDescent="0.65">
      <c r="A211" s="10" t="s">
        <v>348</v>
      </c>
      <c r="B211" s="9" t="s">
        <v>499</v>
      </c>
      <c r="C211" s="9" t="s">
        <v>506</v>
      </c>
      <c r="D211" s="9" t="s">
        <v>748</v>
      </c>
      <c r="E211" s="10" t="s">
        <v>695</v>
      </c>
      <c r="F211" s="10" t="s">
        <v>104</v>
      </c>
      <c r="G211" s="11">
        <v>485</v>
      </c>
      <c r="H211" s="11">
        <v>556</v>
      </c>
      <c r="I211" s="11">
        <v>1157</v>
      </c>
      <c r="J211" s="11">
        <v>709</v>
      </c>
      <c r="K211" s="11">
        <v>806</v>
      </c>
      <c r="L211" s="11">
        <v>535</v>
      </c>
      <c r="M211" s="11">
        <v>937</v>
      </c>
      <c r="N211" s="11">
        <v>889</v>
      </c>
      <c r="O211" s="11">
        <v>0</v>
      </c>
      <c r="P211" s="11">
        <v>0</v>
      </c>
      <c r="Q211" s="11">
        <v>0</v>
      </c>
      <c r="R211" s="11">
        <v>0</v>
      </c>
      <c r="S211" s="12">
        <v>6074</v>
      </c>
    </row>
    <row r="212" spans="1:19" ht="17.5" thickBot="1" x14ac:dyDescent="0.65">
      <c r="A212" s="10" t="s">
        <v>348</v>
      </c>
      <c r="B212" s="9" t="s">
        <v>507</v>
      </c>
      <c r="C212" s="9" t="s">
        <v>508</v>
      </c>
      <c r="D212" s="9" t="s">
        <v>509</v>
      </c>
      <c r="E212" s="10" t="s">
        <v>694</v>
      </c>
      <c r="F212" s="10" t="s">
        <v>104</v>
      </c>
      <c r="G212" s="11">
        <v>608</v>
      </c>
      <c r="H212" s="11">
        <v>1024</v>
      </c>
      <c r="I212" s="11">
        <v>1749</v>
      </c>
      <c r="J212" s="11">
        <v>1030</v>
      </c>
      <c r="K212" s="11">
        <v>688</v>
      </c>
      <c r="L212" s="11">
        <v>525</v>
      </c>
      <c r="M212" s="11">
        <v>767</v>
      </c>
      <c r="N212" s="11">
        <v>318</v>
      </c>
      <c r="O212" s="11">
        <v>0</v>
      </c>
      <c r="P212" s="11">
        <v>0</v>
      </c>
      <c r="Q212" s="11">
        <v>0</v>
      </c>
      <c r="R212" s="11">
        <v>0</v>
      </c>
      <c r="S212" s="12">
        <v>6709</v>
      </c>
    </row>
    <row r="213" spans="1:19" ht="17.5" thickBot="1" x14ac:dyDescent="0.65">
      <c r="A213" s="10" t="s">
        <v>348</v>
      </c>
      <c r="B213" s="9" t="s">
        <v>510</v>
      </c>
      <c r="C213" s="9" t="s">
        <v>511</v>
      </c>
      <c r="D213" s="9" t="s">
        <v>512</v>
      </c>
      <c r="E213" s="10" t="s">
        <v>694</v>
      </c>
      <c r="F213" s="10" t="s">
        <v>21</v>
      </c>
      <c r="G213" s="11">
        <v>1036</v>
      </c>
      <c r="H213" s="11">
        <v>1363</v>
      </c>
      <c r="I213" s="11">
        <v>3053</v>
      </c>
      <c r="J213" s="11">
        <v>1752</v>
      </c>
      <c r="K213" s="11">
        <v>1702</v>
      </c>
      <c r="L213" s="11">
        <v>2925</v>
      </c>
      <c r="M213" s="11">
        <v>1474</v>
      </c>
      <c r="N213" s="11">
        <v>516</v>
      </c>
      <c r="O213" s="11">
        <v>0</v>
      </c>
      <c r="P213" s="11">
        <v>0</v>
      </c>
      <c r="Q213" s="11">
        <v>0</v>
      </c>
      <c r="R213" s="11">
        <v>0</v>
      </c>
      <c r="S213" s="12">
        <v>13821</v>
      </c>
    </row>
    <row r="214" spans="1:19" ht="17.5" thickBot="1" x14ac:dyDescent="0.65">
      <c r="A214" s="10" t="s">
        <v>348</v>
      </c>
      <c r="B214" s="9" t="s">
        <v>514</v>
      </c>
      <c r="C214" s="9" t="s">
        <v>515</v>
      </c>
      <c r="D214" s="9" t="s">
        <v>516</v>
      </c>
      <c r="E214" s="10" t="s">
        <v>694</v>
      </c>
      <c r="F214" s="10" t="s">
        <v>21</v>
      </c>
      <c r="G214" s="11">
        <v>647</v>
      </c>
      <c r="H214" s="11">
        <v>880</v>
      </c>
      <c r="I214" s="11">
        <v>900</v>
      </c>
      <c r="J214" s="11">
        <v>284</v>
      </c>
      <c r="K214" s="11">
        <v>646</v>
      </c>
      <c r="L214" s="11">
        <v>659</v>
      </c>
      <c r="M214" s="11">
        <v>682</v>
      </c>
      <c r="N214" s="11">
        <v>546</v>
      </c>
      <c r="O214" s="11">
        <v>0</v>
      </c>
      <c r="P214" s="11">
        <v>0</v>
      </c>
      <c r="Q214" s="11">
        <v>0</v>
      </c>
      <c r="R214" s="11">
        <v>0</v>
      </c>
      <c r="S214" s="12">
        <v>5244</v>
      </c>
    </row>
    <row r="215" spans="1:19" ht="17.5" thickBot="1" x14ac:dyDescent="0.65">
      <c r="A215" s="10" t="s">
        <v>348</v>
      </c>
      <c r="B215" s="9" t="s">
        <v>513</v>
      </c>
      <c r="C215" s="9" t="s">
        <v>517</v>
      </c>
      <c r="D215" s="9" t="s">
        <v>768</v>
      </c>
      <c r="E215" s="10" t="s">
        <v>695</v>
      </c>
      <c r="F215" s="10" t="s">
        <v>28</v>
      </c>
      <c r="G215" s="11">
        <v>1480</v>
      </c>
      <c r="H215" s="11">
        <v>1285</v>
      </c>
      <c r="I215" s="11">
        <v>1185</v>
      </c>
      <c r="J215" s="11">
        <v>540</v>
      </c>
      <c r="K215" s="11">
        <v>549</v>
      </c>
      <c r="L215" s="11">
        <v>1067</v>
      </c>
      <c r="M215" s="11">
        <v>656</v>
      </c>
      <c r="N215" s="11">
        <v>862</v>
      </c>
      <c r="O215" s="11">
        <v>0</v>
      </c>
      <c r="P215" s="11">
        <v>0</v>
      </c>
      <c r="Q215" s="11">
        <v>0</v>
      </c>
      <c r="R215" s="11">
        <v>0</v>
      </c>
      <c r="S215" s="12">
        <v>7624</v>
      </c>
    </row>
    <row r="216" spans="1:19" ht="17.5" thickBot="1" x14ac:dyDescent="0.65">
      <c r="A216" s="10" t="s">
        <v>348</v>
      </c>
      <c r="B216" s="9" t="s">
        <v>518</v>
      </c>
      <c r="C216" s="9" t="s">
        <v>519</v>
      </c>
      <c r="D216" s="9" t="s">
        <v>520</v>
      </c>
      <c r="E216" s="10" t="s">
        <v>694</v>
      </c>
      <c r="F216" s="10" t="s">
        <v>25</v>
      </c>
      <c r="G216" s="11">
        <v>2388</v>
      </c>
      <c r="H216" s="11">
        <v>2519</v>
      </c>
      <c r="I216" s="11">
        <v>3629</v>
      </c>
      <c r="J216" s="11">
        <v>3253</v>
      </c>
      <c r="K216" s="11">
        <v>2954</v>
      </c>
      <c r="L216" s="11">
        <v>3180</v>
      </c>
      <c r="M216" s="11">
        <v>3744</v>
      </c>
      <c r="N216" s="11">
        <v>1753</v>
      </c>
      <c r="O216" s="11">
        <v>0</v>
      </c>
      <c r="P216" s="11">
        <v>0</v>
      </c>
      <c r="Q216" s="11">
        <v>0</v>
      </c>
      <c r="R216" s="11">
        <v>0</v>
      </c>
      <c r="S216" s="12">
        <v>23420</v>
      </c>
    </row>
    <row r="217" spans="1:19" ht="17.5" thickBot="1" x14ac:dyDescent="0.65">
      <c r="A217" s="10" t="s">
        <v>348</v>
      </c>
      <c r="B217" s="9" t="s">
        <v>518</v>
      </c>
      <c r="C217" s="9" t="s">
        <v>521</v>
      </c>
      <c r="D217" s="9" t="s">
        <v>522</v>
      </c>
      <c r="E217" s="10" t="s">
        <v>694</v>
      </c>
      <c r="F217" s="10" t="s">
        <v>25</v>
      </c>
      <c r="G217" s="11">
        <v>1291</v>
      </c>
      <c r="H217" s="11">
        <v>1755</v>
      </c>
      <c r="I217" s="11">
        <v>1454</v>
      </c>
      <c r="J217" s="11">
        <v>1565</v>
      </c>
      <c r="K217" s="11">
        <v>2052</v>
      </c>
      <c r="L217" s="11">
        <v>2161</v>
      </c>
      <c r="M217" s="11">
        <v>1051</v>
      </c>
      <c r="N217" s="11">
        <v>353</v>
      </c>
      <c r="O217" s="11">
        <v>0</v>
      </c>
      <c r="P217" s="11">
        <v>0</v>
      </c>
      <c r="Q217" s="11">
        <v>0</v>
      </c>
      <c r="R217" s="11">
        <v>0</v>
      </c>
      <c r="S217" s="12">
        <v>11682</v>
      </c>
    </row>
    <row r="218" spans="1:19" ht="17.5" thickBot="1" x14ac:dyDescent="0.65">
      <c r="A218" s="10" t="s">
        <v>348</v>
      </c>
      <c r="B218" s="9" t="s">
        <v>523</v>
      </c>
      <c r="C218" s="9" t="s">
        <v>524</v>
      </c>
      <c r="D218" s="9" t="s">
        <v>525</v>
      </c>
      <c r="E218" s="10" t="s">
        <v>694</v>
      </c>
      <c r="F218" s="10" t="s">
        <v>21</v>
      </c>
      <c r="G218" s="11">
        <v>362</v>
      </c>
      <c r="H218" s="11">
        <v>361</v>
      </c>
      <c r="I218" s="11">
        <v>422</v>
      </c>
      <c r="J218" s="11">
        <v>244</v>
      </c>
      <c r="K218" s="11">
        <v>277</v>
      </c>
      <c r="L218" s="11">
        <v>252</v>
      </c>
      <c r="M218" s="11">
        <v>205</v>
      </c>
      <c r="N218" s="11">
        <v>186</v>
      </c>
      <c r="O218" s="11">
        <v>0</v>
      </c>
      <c r="P218" s="11">
        <v>0</v>
      </c>
      <c r="Q218" s="11">
        <v>0</v>
      </c>
      <c r="R218" s="11">
        <v>0</v>
      </c>
      <c r="S218" s="12">
        <v>2309</v>
      </c>
    </row>
    <row r="219" spans="1:19" ht="17.5" thickBot="1" x14ac:dyDescent="0.65">
      <c r="A219" s="10" t="s">
        <v>348</v>
      </c>
      <c r="B219" s="9" t="s">
        <v>526</v>
      </c>
      <c r="C219" s="9" t="s">
        <v>527</v>
      </c>
      <c r="D219" s="9" t="s">
        <v>528</v>
      </c>
      <c r="E219" s="10" t="s">
        <v>694</v>
      </c>
      <c r="F219" s="10" t="s">
        <v>104</v>
      </c>
      <c r="G219" s="11">
        <v>1654</v>
      </c>
      <c r="H219" s="11">
        <v>1892</v>
      </c>
      <c r="I219" s="11">
        <v>1650</v>
      </c>
      <c r="J219" s="11">
        <v>797</v>
      </c>
      <c r="K219" s="11">
        <v>374</v>
      </c>
      <c r="L219" s="11">
        <v>265</v>
      </c>
      <c r="M219" s="11">
        <v>315</v>
      </c>
      <c r="N219" s="11">
        <v>174</v>
      </c>
      <c r="O219" s="11">
        <v>0</v>
      </c>
      <c r="P219" s="11">
        <v>0</v>
      </c>
      <c r="Q219" s="11">
        <v>0</v>
      </c>
      <c r="R219" s="11">
        <v>0</v>
      </c>
      <c r="S219" s="12">
        <v>7121</v>
      </c>
    </row>
    <row r="220" spans="1:19" ht="17.5" thickBot="1" x14ac:dyDescent="0.65">
      <c r="A220" s="10" t="s">
        <v>348</v>
      </c>
      <c r="B220" s="9" t="s">
        <v>529</v>
      </c>
      <c r="C220" s="9" t="s">
        <v>530</v>
      </c>
      <c r="D220" s="9" t="s">
        <v>531</v>
      </c>
      <c r="E220" s="10" t="s">
        <v>694</v>
      </c>
      <c r="F220" s="10" t="s">
        <v>21</v>
      </c>
      <c r="G220" s="11">
        <v>3165</v>
      </c>
      <c r="H220" s="11">
        <v>1590</v>
      </c>
      <c r="I220" s="11">
        <v>2179</v>
      </c>
      <c r="J220" s="11">
        <v>1211</v>
      </c>
      <c r="K220" s="11">
        <v>1454</v>
      </c>
      <c r="L220" s="11">
        <v>1308</v>
      </c>
      <c r="M220" s="11">
        <v>1000</v>
      </c>
      <c r="N220" s="11">
        <v>800</v>
      </c>
      <c r="O220" s="11">
        <v>0</v>
      </c>
      <c r="P220" s="11">
        <v>0</v>
      </c>
      <c r="Q220" s="11">
        <v>0</v>
      </c>
      <c r="R220" s="11">
        <v>0</v>
      </c>
      <c r="S220" s="12">
        <v>12707</v>
      </c>
    </row>
    <row r="221" spans="1:19" ht="17.5" thickBot="1" x14ac:dyDescent="0.65">
      <c r="A221" s="10" t="s">
        <v>348</v>
      </c>
      <c r="B221" s="9" t="s">
        <v>532</v>
      </c>
      <c r="C221" s="9" t="s">
        <v>533</v>
      </c>
      <c r="D221" s="9" t="s">
        <v>534</v>
      </c>
      <c r="E221" s="10" t="s">
        <v>694</v>
      </c>
      <c r="F221" s="10" t="s">
        <v>21</v>
      </c>
      <c r="G221" s="11">
        <v>1225</v>
      </c>
      <c r="H221" s="11">
        <v>1476</v>
      </c>
      <c r="I221" s="11">
        <v>1012</v>
      </c>
      <c r="J221" s="11">
        <v>1068</v>
      </c>
      <c r="K221" s="11">
        <v>1097</v>
      </c>
      <c r="L221" s="11">
        <v>1832</v>
      </c>
      <c r="M221" s="11">
        <v>1963</v>
      </c>
      <c r="N221" s="11">
        <v>984</v>
      </c>
      <c r="O221" s="11">
        <v>0</v>
      </c>
      <c r="P221" s="11">
        <v>0</v>
      </c>
      <c r="Q221" s="11">
        <v>0</v>
      </c>
      <c r="R221" s="11">
        <v>0</v>
      </c>
      <c r="S221" s="12">
        <v>10657</v>
      </c>
    </row>
    <row r="222" spans="1:19" ht="17.5" thickBot="1" x14ac:dyDescent="0.65">
      <c r="A222" s="10" t="s">
        <v>348</v>
      </c>
      <c r="B222" s="9" t="s">
        <v>535</v>
      </c>
      <c r="C222" s="9" t="s">
        <v>536</v>
      </c>
      <c r="D222" s="9" t="s">
        <v>537</v>
      </c>
      <c r="E222" s="10" t="s">
        <v>695</v>
      </c>
      <c r="F222" s="10" t="s">
        <v>28</v>
      </c>
      <c r="G222" s="11">
        <v>871</v>
      </c>
      <c r="H222" s="11">
        <v>728</v>
      </c>
      <c r="I222" s="11">
        <v>1159</v>
      </c>
      <c r="J222" s="11">
        <v>990</v>
      </c>
      <c r="K222" s="11">
        <v>1110</v>
      </c>
      <c r="L222" s="11">
        <v>714</v>
      </c>
      <c r="M222" s="11">
        <v>616</v>
      </c>
      <c r="N222" s="11">
        <v>158</v>
      </c>
      <c r="O222" s="11">
        <v>0</v>
      </c>
      <c r="P222" s="11">
        <v>0</v>
      </c>
      <c r="Q222" s="11">
        <v>0</v>
      </c>
      <c r="R222" s="11">
        <v>0</v>
      </c>
      <c r="S222" s="12">
        <v>6346</v>
      </c>
    </row>
    <row r="223" spans="1:19" ht="17.5" thickBot="1" x14ac:dyDescent="0.65">
      <c r="A223" s="10" t="s">
        <v>348</v>
      </c>
      <c r="B223" s="9" t="s">
        <v>538</v>
      </c>
      <c r="C223" s="9" t="s">
        <v>539</v>
      </c>
      <c r="D223" s="9" t="s">
        <v>752</v>
      </c>
      <c r="E223" s="10" t="s">
        <v>694</v>
      </c>
      <c r="F223" s="10" t="s">
        <v>21</v>
      </c>
      <c r="G223" s="11">
        <v>757</v>
      </c>
      <c r="H223" s="11">
        <v>801</v>
      </c>
      <c r="I223" s="11">
        <v>999</v>
      </c>
      <c r="J223" s="11">
        <v>877</v>
      </c>
      <c r="K223" s="11">
        <v>979</v>
      </c>
      <c r="L223" s="11">
        <v>767</v>
      </c>
      <c r="M223" s="11">
        <v>640</v>
      </c>
      <c r="N223" s="11">
        <v>686</v>
      </c>
      <c r="O223" s="11">
        <v>0</v>
      </c>
      <c r="P223" s="11">
        <v>0</v>
      </c>
      <c r="Q223" s="11">
        <v>0</v>
      </c>
      <c r="R223" s="11">
        <v>0</v>
      </c>
      <c r="S223" s="12">
        <v>6506</v>
      </c>
    </row>
    <row r="224" spans="1:19" ht="17.5" thickBot="1" x14ac:dyDescent="0.65">
      <c r="A224" s="10" t="s">
        <v>348</v>
      </c>
      <c r="B224" s="9" t="s">
        <v>540</v>
      </c>
      <c r="C224" s="9" t="s">
        <v>541</v>
      </c>
      <c r="D224" s="9" t="s">
        <v>542</v>
      </c>
      <c r="E224" s="10" t="s">
        <v>694</v>
      </c>
      <c r="F224" s="10" t="s">
        <v>21</v>
      </c>
      <c r="G224" s="11">
        <v>2380</v>
      </c>
      <c r="H224" s="11">
        <v>2409</v>
      </c>
      <c r="I224" s="11">
        <v>2933</v>
      </c>
      <c r="J224" s="11">
        <v>3221</v>
      </c>
      <c r="K224" s="11">
        <v>1747</v>
      </c>
      <c r="L224" s="11">
        <v>1651</v>
      </c>
      <c r="M224" s="11">
        <v>1411</v>
      </c>
      <c r="N224" s="11">
        <v>1141</v>
      </c>
      <c r="O224" s="11">
        <v>0</v>
      </c>
      <c r="P224" s="11">
        <v>0</v>
      </c>
      <c r="Q224" s="11">
        <v>0</v>
      </c>
      <c r="R224" s="11">
        <v>0</v>
      </c>
      <c r="S224" s="12">
        <v>16893</v>
      </c>
    </row>
    <row r="225" spans="1:19" ht="17.5" thickBot="1" x14ac:dyDescent="0.65">
      <c r="A225" s="10" t="s">
        <v>348</v>
      </c>
      <c r="B225" s="9" t="s">
        <v>543</v>
      </c>
      <c r="C225" s="9" t="s">
        <v>544</v>
      </c>
      <c r="D225" s="9" t="s">
        <v>545</v>
      </c>
      <c r="E225" s="10" t="s">
        <v>694</v>
      </c>
      <c r="F225" s="10" t="s">
        <v>28</v>
      </c>
      <c r="G225" s="11">
        <v>146</v>
      </c>
      <c r="H225" s="11">
        <v>36</v>
      </c>
      <c r="I225" s="11">
        <v>160</v>
      </c>
      <c r="J225" s="11">
        <v>289</v>
      </c>
      <c r="K225" s="11">
        <v>303</v>
      </c>
      <c r="L225" s="11">
        <v>610</v>
      </c>
      <c r="M225" s="11">
        <v>105</v>
      </c>
      <c r="N225" s="11">
        <v>142</v>
      </c>
      <c r="O225" s="11">
        <v>0</v>
      </c>
      <c r="P225" s="11">
        <v>0</v>
      </c>
      <c r="Q225" s="11">
        <v>0</v>
      </c>
      <c r="R225" s="11">
        <v>0</v>
      </c>
      <c r="S225" s="12">
        <v>1791</v>
      </c>
    </row>
    <row r="226" spans="1:19" ht="17.5" thickBot="1" x14ac:dyDescent="0.65">
      <c r="A226" s="10" t="s">
        <v>348</v>
      </c>
      <c r="B226" s="9" t="s">
        <v>546</v>
      </c>
      <c r="C226" s="9" t="s">
        <v>547</v>
      </c>
      <c r="D226" s="9" t="s">
        <v>764</v>
      </c>
      <c r="E226" s="10" t="s">
        <v>695</v>
      </c>
      <c r="F226" s="10" t="s">
        <v>104</v>
      </c>
      <c r="G226" s="11">
        <v>1045</v>
      </c>
      <c r="H226" s="11">
        <v>1294</v>
      </c>
      <c r="I226" s="11">
        <v>1761</v>
      </c>
      <c r="J226" s="11">
        <v>1328</v>
      </c>
      <c r="K226" s="11">
        <v>1592</v>
      </c>
      <c r="L226" s="11">
        <v>1019</v>
      </c>
      <c r="M226" s="11">
        <v>1011</v>
      </c>
      <c r="N226" s="11">
        <v>1204</v>
      </c>
      <c r="O226" s="11">
        <v>0</v>
      </c>
      <c r="P226" s="11">
        <v>0</v>
      </c>
      <c r="Q226" s="11">
        <v>0</v>
      </c>
      <c r="R226" s="11">
        <v>0</v>
      </c>
      <c r="S226" s="12">
        <v>10254</v>
      </c>
    </row>
    <row r="227" spans="1:19" ht="17.5" thickBot="1" x14ac:dyDescent="0.65">
      <c r="A227" s="10" t="s">
        <v>348</v>
      </c>
      <c r="B227" s="9" t="s">
        <v>548</v>
      </c>
      <c r="C227" s="9" t="s">
        <v>549</v>
      </c>
      <c r="D227" s="9" t="s">
        <v>550</v>
      </c>
      <c r="E227" s="10" t="s">
        <v>694</v>
      </c>
      <c r="F227" s="10" t="s">
        <v>21</v>
      </c>
      <c r="G227" s="11">
        <v>619</v>
      </c>
      <c r="H227" s="11">
        <v>529</v>
      </c>
      <c r="I227" s="11">
        <v>492</v>
      </c>
      <c r="J227" s="11">
        <v>282</v>
      </c>
      <c r="K227" s="11">
        <v>515</v>
      </c>
      <c r="L227" s="11">
        <v>626</v>
      </c>
      <c r="M227" s="11">
        <v>1017</v>
      </c>
      <c r="N227" s="11">
        <v>490</v>
      </c>
      <c r="O227" s="11">
        <v>0</v>
      </c>
      <c r="P227" s="11">
        <v>0</v>
      </c>
      <c r="Q227" s="11">
        <v>0</v>
      </c>
      <c r="R227" s="11">
        <v>0</v>
      </c>
      <c r="S227" s="12">
        <v>4570</v>
      </c>
    </row>
    <row r="228" spans="1:19" ht="17.5" thickBot="1" x14ac:dyDescent="0.65">
      <c r="A228" s="10" t="s">
        <v>348</v>
      </c>
      <c r="B228" s="9" t="s">
        <v>551</v>
      </c>
      <c r="C228" s="9" t="s">
        <v>552</v>
      </c>
      <c r="D228" s="9" t="s">
        <v>553</v>
      </c>
      <c r="E228" s="10" t="s">
        <v>694</v>
      </c>
      <c r="F228" s="10" t="s">
        <v>104</v>
      </c>
      <c r="G228" s="11">
        <v>277</v>
      </c>
      <c r="H228" s="11">
        <v>571</v>
      </c>
      <c r="I228" s="11">
        <v>1209</v>
      </c>
      <c r="J228" s="11">
        <v>442</v>
      </c>
      <c r="K228" s="11">
        <v>580</v>
      </c>
      <c r="L228" s="11">
        <v>427</v>
      </c>
      <c r="M228" s="11">
        <v>326</v>
      </c>
      <c r="N228" s="11">
        <v>584</v>
      </c>
      <c r="O228" s="11">
        <v>0</v>
      </c>
      <c r="P228" s="11">
        <v>0</v>
      </c>
      <c r="Q228" s="11">
        <v>0</v>
      </c>
      <c r="R228" s="11">
        <v>0</v>
      </c>
      <c r="S228" s="12">
        <v>4416</v>
      </c>
    </row>
    <row r="229" spans="1:19" ht="17.5" thickBot="1" x14ac:dyDescent="0.65">
      <c r="A229" s="10" t="s">
        <v>348</v>
      </c>
      <c r="B229" s="9" t="s">
        <v>554</v>
      </c>
      <c r="C229" s="9" t="s">
        <v>555</v>
      </c>
      <c r="D229" s="9" t="s">
        <v>556</v>
      </c>
      <c r="E229" s="10" t="s">
        <v>694</v>
      </c>
      <c r="F229" s="10" t="s">
        <v>21</v>
      </c>
      <c r="G229" s="11">
        <v>1826</v>
      </c>
      <c r="H229" s="11">
        <v>3201</v>
      </c>
      <c r="I229" s="11">
        <v>4000</v>
      </c>
      <c r="J229" s="11">
        <v>1172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  <c r="S229" s="12">
        <v>10199</v>
      </c>
    </row>
    <row r="230" spans="1:19" ht="17.5" thickBot="1" x14ac:dyDescent="0.65">
      <c r="A230" s="10" t="s">
        <v>348</v>
      </c>
      <c r="B230" s="9" t="s">
        <v>557</v>
      </c>
      <c r="C230" s="9" t="s">
        <v>558</v>
      </c>
      <c r="D230" s="9" t="s">
        <v>559</v>
      </c>
      <c r="E230" s="10" t="s">
        <v>694</v>
      </c>
      <c r="F230" s="10" t="s">
        <v>104</v>
      </c>
      <c r="G230" s="11">
        <v>3770</v>
      </c>
      <c r="H230" s="11">
        <v>2679</v>
      </c>
      <c r="I230" s="11">
        <v>2378</v>
      </c>
      <c r="J230" s="11">
        <v>2553</v>
      </c>
      <c r="K230" s="11">
        <v>2354</v>
      </c>
      <c r="L230" s="11">
        <v>2318</v>
      </c>
      <c r="M230" s="11">
        <v>3984</v>
      </c>
      <c r="N230" s="11">
        <v>3808</v>
      </c>
      <c r="O230" s="11">
        <v>0</v>
      </c>
      <c r="P230" s="11">
        <v>0</v>
      </c>
      <c r="Q230" s="11">
        <v>0</v>
      </c>
      <c r="R230" s="11">
        <v>0</v>
      </c>
      <c r="S230" s="12">
        <v>23844</v>
      </c>
    </row>
    <row r="231" spans="1:19" ht="17.5" thickBot="1" x14ac:dyDescent="0.65">
      <c r="A231" s="10" t="s">
        <v>348</v>
      </c>
      <c r="B231" s="9" t="s">
        <v>557</v>
      </c>
      <c r="C231" s="9" t="s">
        <v>560</v>
      </c>
      <c r="D231" s="9" t="s">
        <v>561</v>
      </c>
      <c r="E231" s="10" t="s">
        <v>694</v>
      </c>
      <c r="F231" s="10" t="s">
        <v>104</v>
      </c>
      <c r="G231" s="11">
        <v>384</v>
      </c>
      <c r="H231" s="11">
        <v>710</v>
      </c>
      <c r="I231" s="11">
        <v>691</v>
      </c>
      <c r="J231" s="11">
        <v>1418</v>
      </c>
      <c r="K231" s="11">
        <v>2343</v>
      </c>
      <c r="L231" s="11">
        <v>994</v>
      </c>
      <c r="M231" s="11">
        <v>485</v>
      </c>
      <c r="N231" s="11">
        <v>601</v>
      </c>
      <c r="O231" s="11">
        <v>0</v>
      </c>
      <c r="P231" s="11">
        <v>0</v>
      </c>
      <c r="Q231" s="11">
        <v>0</v>
      </c>
      <c r="R231" s="11">
        <v>0</v>
      </c>
      <c r="S231" s="12">
        <v>7626</v>
      </c>
    </row>
    <row r="232" spans="1:19" ht="17.5" thickBot="1" x14ac:dyDescent="0.65">
      <c r="A232" s="10" t="s">
        <v>348</v>
      </c>
      <c r="B232" s="9" t="s">
        <v>557</v>
      </c>
      <c r="C232" s="9" t="s">
        <v>562</v>
      </c>
      <c r="D232" s="9" t="s">
        <v>743</v>
      </c>
      <c r="E232" s="10" t="s">
        <v>694</v>
      </c>
      <c r="F232" s="10" t="s">
        <v>104</v>
      </c>
      <c r="G232" s="11">
        <v>98</v>
      </c>
      <c r="H232" s="11">
        <v>81</v>
      </c>
      <c r="I232" s="11">
        <v>315</v>
      </c>
      <c r="J232" s="11">
        <v>175</v>
      </c>
      <c r="K232" s="11">
        <v>85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2">
        <v>754</v>
      </c>
    </row>
    <row r="233" spans="1:19" ht="17.5" thickBot="1" x14ac:dyDescent="0.65">
      <c r="A233" s="10" t="s">
        <v>348</v>
      </c>
      <c r="B233" s="9" t="s">
        <v>557</v>
      </c>
      <c r="C233" s="9" t="s">
        <v>564</v>
      </c>
      <c r="D233" s="9" t="s">
        <v>565</v>
      </c>
      <c r="E233" s="10" t="s">
        <v>694</v>
      </c>
      <c r="F233" s="10" t="s">
        <v>104</v>
      </c>
      <c r="G233" s="11">
        <v>2188</v>
      </c>
      <c r="H233" s="11">
        <v>1759</v>
      </c>
      <c r="I233" s="11">
        <v>1883</v>
      </c>
      <c r="J233" s="11">
        <v>980</v>
      </c>
      <c r="K233" s="11">
        <v>922</v>
      </c>
      <c r="L233" s="11">
        <v>2683</v>
      </c>
      <c r="M233" s="11">
        <v>1643</v>
      </c>
      <c r="N233" s="11">
        <v>1274</v>
      </c>
      <c r="O233" s="11">
        <v>0</v>
      </c>
      <c r="P233" s="11">
        <v>0</v>
      </c>
      <c r="Q233" s="11">
        <v>0</v>
      </c>
      <c r="R233" s="11">
        <v>0</v>
      </c>
      <c r="S233" s="12">
        <v>13332</v>
      </c>
    </row>
    <row r="234" spans="1:19" ht="17.5" thickBot="1" x14ac:dyDescent="0.65">
      <c r="A234" s="10" t="s">
        <v>348</v>
      </c>
      <c r="B234" s="9" t="s">
        <v>566</v>
      </c>
      <c r="C234" s="9" t="s">
        <v>567</v>
      </c>
      <c r="D234" s="9" t="s">
        <v>568</v>
      </c>
      <c r="E234" s="10" t="s">
        <v>694</v>
      </c>
      <c r="F234" s="10" t="s">
        <v>25</v>
      </c>
      <c r="G234" s="11">
        <v>1743</v>
      </c>
      <c r="H234" s="11">
        <v>3040</v>
      </c>
      <c r="I234" s="11">
        <v>2060</v>
      </c>
      <c r="J234" s="11">
        <v>1597</v>
      </c>
      <c r="K234" s="11">
        <v>1716</v>
      </c>
      <c r="L234" s="11">
        <v>1691</v>
      </c>
      <c r="M234" s="11">
        <v>1100</v>
      </c>
      <c r="N234" s="11">
        <v>1494</v>
      </c>
      <c r="O234" s="11">
        <v>0</v>
      </c>
      <c r="P234" s="11">
        <v>0</v>
      </c>
      <c r="Q234" s="11">
        <v>0</v>
      </c>
      <c r="R234" s="11">
        <v>0</v>
      </c>
      <c r="S234" s="12">
        <v>14441</v>
      </c>
    </row>
    <row r="235" spans="1:19" ht="17.5" thickBot="1" x14ac:dyDescent="0.65">
      <c r="A235" s="10" t="s">
        <v>348</v>
      </c>
      <c r="B235" s="9" t="s">
        <v>569</v>
      </c>
      <c r="C235" s="9" t="s">
        <v>570</v>
      </c>
      <c r="D235" s="9" t="s">
        <v>753</v>
      </c>
      <c r="E235" s="10" t="s">
        <v>694</v>
      </c>
      <c r="F235" s="10" t="s">
        <v>104</v>
      </c>
      <c r="G235" s="11">
        <v>137</v>
      </c>
      <c r="H235" s="11">
        <v>263</v>
      </c>
      <c r="I235" s="11">
        <v>270</v>
      </c>
      <c r="J235" s="11">
        <v>290</v>
      </c>
      <c r="K235" s="11">
        <v>363</v>
      </c>
      <c r="L235" s="11">
        <v>432</v>
      </c>
      <c r="M235" s="11">
        <v>231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2">
        <v>1986</v>
      </c>
    </row>
    <row r="236" spans="1:19" ht="17.5" thickBot="1" x14ac:dyDescent="0.65">
      <c r="A236" s="10" t="s">
        <v>348</v>
      </c>
      <c r="B236" s="9" t="s">
        <v>571</v>
      </c>
      <c r="C236" s="9" t="s">
        <v>572</v>
      </c>
      <c r="D236" s="9" t="s">
        <v>573</v>
      </c>
      <c r="E236" s="10" t="s">
        <v>694</v>
      </c>
      <c r="F236" s="10" t="s">
        <v>104</v>
      </c>
      <c r="G236" s="11">
        <v>64</v>
      </c>
      <c r="H236" s="11">
        <v>534</v>
      </c>
      <c r="I236" s="11">
        <v>566</v>
      </c>
      <c r="J236" s="11">
        <v>212</v>
      </c>
      <c r="K236" s="11">
        <v>221</v>
      </c>
      <c r="L236" s="11">
        <v>279</v>
      </c>
      <c r="M236" s="11">
        <v>326</v>
      </c>
      <c r="N236" s="11">
        <v>262</v>
      </c>
      <c r="O236" s="11">
        <v>0</v>
      </c>
      <c r="P236" s="11">
        <v>0</v>
      </c>
      <c r="Q236" s="11">
        <v>0</v>
      </c>
      <c r="R236" s="11">
        <v>0</v>
      </c>
      <c r="S236" s="12">
        <v>2464</v>
      </c>
    </row>
    <row r="237" spans="1:19" ht="17.5" thickBot="1" x14ac:dyDescent="0.65">
      <c r="A237" s="10" t="s">
        <v>348</v>
      </c>
      <c r="B237" s="9" t="s">
        <v>574</v>
      </c>
      <c r="C237" s="9" t="s">
        <v>575</v>
      </c>
      <c r="D237" s="9" t="s">
        <v>759</v>
      </c>
      <c r="E237" s="10" t="s">
        <v>694</v>
      </c>
      <c r="F237" s="10" t="s">
        <v>21</v>
      </c>
      <c r="G237" s="11">
        <v>1090</v>
      </c>
      <c r="H237" s="11">
        <v>1469</v>
      </c>
      <c r="I237" s="11">
        <v>1559</v>
      </c>
      <c r="J237" s="11">
        <v>1284</v>
      </c>
      <c r="K237" s="11">
        <v>467</v>
      </c>
      <c r="L237" s="11">
        <v>851</v>
      </c>
      <c r="M237" s="11">
        <v>1105</v>
      </c>
      <c r="N237" s="11">
        <v>1084</v>
      </c>
      <c r="O237" s="11">
        <v>0</v>
      </c>
      <c r="P237" s="11">
        <v>0</v>
      </c>
      <c r="Q237" s="11">
        <v>0</v>
      </c>
      <c r="R237" s="11">
        <v>0</v>
      </c>
      <c r="S237" s="12">
        <v>8909</v>
      </c>
    </row>
    <row r="238" spans="1:19" ht="17.5" thickBot="1" x14ac:dyDescent="0.65">
      <c r="A238" s="10" t="s">
        <v>348</v>
      </c>
      <c r="B238" s="9" t="s">
        <v>576</v>
      </c>
      <c r="C238" s="9" t="s">
        <v>577</v>
      </c>
      <c r="D238" s="9" t="s">
        <v>758</v>
      </c>
      <c r="E238" s="10" t="s">
        <v>694</v>
      </c>
      <c r="F238" s="10" t="s">
        <v>21</v>
      </c>
      <c r="G238" s="11">
        <v>772</v>
      </c>
      <c r="H238" s="11">
        <v>1507</v>
      </c>
      <c r="I238" s="11">
        <v>2193</v>
      </c>
      <c r="J238" s="11">
        <v>1057</v>
      </c>
      <c r="K238" s="11">
        <v>1860</v>
      </c>
      <c r="L238" s="11">
        <v>1907</v>
      </c>
      <c r="M238" s="11">
        <v>962</v>
      </c>
      <c r="N238" s="11">
        <v>1190</v>
      </c>
      <c r="O238" s="11">
        <v>0</v>
      </c>
      <c r="P238" s="11">
        <v>0</v>
      </c>
      <c r="Q238" s="11">
        <v>0</v>
      </c>
      <c r="R238" s="11">
        <v>0</v>
      </c>
      <c r="S238" s="12">
        <v>11448</v>
      </c>
    </row>
    <row r="239" spans="1:19" ht="17.5" thickBot="1" x14ac:dyDescent="0.65">
      <c r="A239" s="10" t="s">
        <v>348</v>
      </c>
      <c r="B239" s="9" t="s">
        <v>578</v>
      </c>
      <c r="C239" s="9" t="s">
        <v>579</v>
      </c>
      <c r="D239" s="9" t="s">
        <v>746</v>
      </c>
      <c r="E239" s="10" t="s">
        <v>694</v>
      </c>
      <c r="F239" s="10" t="s">
        <v>28</v>
      </c>
      <c r="G239" s="11">
        <v>113</v>
      </c>
      <c r="H239" s="11">
        <v>183</v>
      </c>
      <c r="I239" s="11">
        <v>1125</v>
      </c>
      <c r="J239" s="11">
        <v>1395</v>
      </c>
      <c r="K239" s="11">
        <v>1619</v>
      </c>
      <c r="L239" s="11">
        <v>1404</v>
      </c>
      <c r="M239" s="11">
        <v>1495</v>
      </c>
      <c r="N239" s="11">
        <v>876</v>
      </c>
      <c r="O239" s="11">
        <v>0</v>
      </c>
      <c r="P239" s="11">
        <v>0</v>
      </c>
      <c r="Q239" s="11">
        <v>0</v>
      </c>
      <c r="R239" s="11">
        <v>0</v>
      </c>
      <c r="S239" s="12">
        <v>8210</v>
      </c>
    </row>
    <row r="240" spans="1:19" ht="17.5" thickBot="1" x14ac:dyDescent="0.65">
      <c r="A240" s="10" t="s">
        <v>348</v>
      </c>
      <c r="B240" s="9" t="s">
        <v>580</v>
      </c>
      <c r="C240" s="9" t="s">
        <v>581</v>
      </c>
      <c r="D240" s="9" t="s">
        <v>582</v>
      </c>
      <c r="E240" s="10" t="s">
        <v>694</v>
      </c>
      <c r="F240" s="10" t="s">
        <v>104</v>
      </c>
      <c r="G240" s="11">
        <v>405</v>
      </c>
      <c r="H240" s="11">
        <v>305</v>
      </c>
      <c r="I240" s="11">
        <v>778</v>
      </c>
      <c r="J240" s="11">
        <v>315</v>
      </c>
      <c r="K240" s="11">
        <v>290</v>
      </c>
      <c r="L240" s="11">
        <v>256</v>
      </c>
      <c r="M240" s="11">
        <v>205</v>
      </c>
      <c r="N240" s="11">
        <v>222</v>
      </c>
      <c r="O240" s="11">
        <v>0</v>
      </c>
      <c r="P240" s="11">
        <v>0</v>
      </c>
      <c r="Q240" s="11">
        <v>0</v>
      </c>
      <c r="R240" s="11">
        <v>0</v>
      </c>
      <c r="S240" s="12">
        <v>2776</v>
      </c>
    </row>
    <row r="241" spans="1:19" ht="17.5" thickBot="1" x14ac:dyDescent="0.65">
      <c r="A241" s="10" t="s">
        <v>348</v>
      </c>
      <c r="B241" s="9" t="s">
        <v>580</v>
      </c>
      <c r="C241" s="9" t="s">
        <v>583</v>
      </c>
      <c r="D241" s="9" t="s">
        <v>584</v>
      </c>
      <c r="E241" s="10" t="s">
        <v>694</v>
      </c>
      <c r="F241" s="10" t="s">
        <v>104</v>
      </c>
      <c r="G241" s="11">
        <v>711</v>
      </c>
      <c r="H241" s="11">
        <v>980</v>
      </c>
      <c r="I241" s="11">
        <v>760</v>
      </c>
      <c r="J241" s="11">
        <v>379</v>
      </c>
      <c r="K241" s="11">
        <v>768</v>
      </c>
      <c r="L241" s="11">
        <v>403</v>
      </c>
      <c r="M241" s="11">
        <v>347</v>
      </c>
      <c r="N241" s="11">
        <v>249</v>
      </c>
      <c r="O241" s="11">
        <v>0</v>
      </c>
      <c r="P241" s="11">
        <v>0</v>
      </c>
      <c r="Q241" s="11">
        <v>0</v>
      </c>
      <c r="R241" s="11">
        <v>0</v>
      </c>
      <c r="S241" s="12">
        <v>4597</v>
      </c>
    </row>
    <row r="242" spans="1:19" ht="17.5" thickBot="1" x14ac:dyDescent="0.65">
      <c r="A242" s="10" t="s">
        <v>348</v>
      </c>
      <c r="B242" s="9" t="s">
        <v>580</v>
      </c>
      <c r="C242" s="9" t="s">
        <v>585</v>
      </c>
      <c r="D242" s="9" t="s">
        <v>745</v>
      </c>
      <c r="E242" s="10" t="s">
        <v>694</v>
      </c>
      <c r="F242" s="10" t="s">
        <v>104</v>
      </c>
      <c r="G242" s="11">
        <v>396</v>
      </c>
      <c r="H242" s="11">
        <v>382</v>
      </c>
      <c r="I242" s="11">
        <v>425</v>
      </c>
      <c r="J242" s="11">
        <v>251</v>
      </c>
      <c r="K242" s="11">
        <v>424</v>
      </c>
      <c r="L242" s="11">
        <v>583</v>
      </c>
      <c r="M242" s="11">
        <v>369</v>
      </c>
      <c r="N242" s="11">
        <v>342</v>
      </c>
      <c r="O242" s="11">
        <v>0</v>
      </c>
      <c r="P242" s="11">
        <v>0</v>
      </c>
      <c r="Q242" s="11">
        <v>0</v>
      </c>
      <c r="R242" s="11">
        <v>0</v>
      </c>
      <c r="S242" s="12">
        <v>3172</v>
      </c>
    </row>
    <row r="243" spans="1:19" ht="17.5" thickBot="1" x14ac:dyDescent="0.65">
      <c r="A243" s="10" t="s">
        <v>348</v>
      </c>
      <c r="B243" s="9" t="s">
        <v>586</v>
      </c>
      <c r="C243" s="9" t="s">
        <v>587</v>
      </c>
      <c r="D243" s="9" t="s">
        <v>767</v>
      </c>
      <c r="E243" s="10" t="s">
        <v>695</v>
      </c>
      <c r="F243" s="10" t="s">
        <v>104</v>
      </c>
      <c r="G243" s="11">
        <v>1274</v>
      </c>
      <c r="H243" s="11">
        <v>1556</v>
      </c>
      <c r="I243" s="11">
        <v>2021</v>
      </c>
      <c r="J243" s="11">
        <v>1082</v>
      </c>
      <c r="K243" s="11">
        <v>842</v>
      </c>
      <c r="L243" s="11">
        <v>839</v>
      </c>
      <c r="M243" s="11">
        <v>630</v>
      </c>
      <c r="N243" s="11">
        <v>865</v>
      </c>
      <c r="O243" s="11">
        <v>0</v>
      </c>
      <c r="P243" s="11">
        <v>0</v>
      </c>
      <c r="Q243" s="11">
        <v>0</v>
      </c>
      <c r="R243" s="11">
        <v>0</v>
      </c>
      <c r="S243" s="12">
        <v>9109</v>
      </c>
    </row>
    <row r="244" spans="1:19" ht="17.5" thickBot="1" x14ac:dyDescent="0.65">
      <c r="A244" s="10" t="s">
        <v>348</v>
      </c>
      <c r="B244" s="9" t="s">
        <v>586</v>
      </c>
      <c r="C244" s="9" t="s">
        <v>588</v>
      </c>
      <c r="D244" s="9" t="s">
        <v>770</v>
      </c>
      <c r="E244" s="10" t="s">
        <v>695</v>
      </c>
      <c r="F244" s="10" t="s">
        <v>104</v>
      </c>
      <c r="G244" s="11">
        <v>2810</v>
      </c>
      <c r="H244" s="11">
        <v>2976</v>
      </c>
      <c r="I244" s="11">
        <v>3308</v>
      </c>
      <c r="J244" s="11">
        <v>2152</v>
      </c>
      <c r="K244" s="11">
        <v>2613</v>
      </c>
      <c r="L244" s="11">
        <v>2408</v>
      </c>
      <c r="M244" s="11">
        <v>1417</v>
      </c>
      <c r="N244" s="11">
        <v>1854</v>
      </c>
      <c r="O244" s="11">
        <v>0</v>
      </c>
      <c r="P244" s="11">
        <v>0</v>
      </c>
      <c r="Q244" s="11">
        <v>0</v>
      </c>
      <c r="R244" s="11">
        <v>0</v>
      </c>
      <c r="S244" s="12">
        <v>19538</v>
      </c>
    </row>
    <row r="245" spans="1:19" ht="17.5" thickBot="1" x14ac:dyDescent="0.65">
      <c r="A245" s="10" t="s">
        <v>348</v>
      </c>
      <c r="B245" s="9" t="s">
        <v>586</v>
      </c>
      <c r="C245" s="9" t="s">
        <v>589</v>
      </c>
      <c r="D245" s="9" t="s">
        <v>763</v>
      </c>
      <c r="E245" s="10" t="s">
        <v>694</v>
      </c>
      <c r="F245" s="10" t="s">
        <v>104</v>
      </c>
      <c r="G245" s="11">
        <v>1015</v>
      </c>
      <c r="H245" s="11">
        <v>1136</v>
      </c>
      <c r="I245" s="11">
        <v>906</v>
      </c>
      <c r="J245" s="11">
        <v>784</v>
      </c>
      <c r="K245" s="11">
        <v>514</v>
      </c>
      <c r="L245" s="11">
        <v>736</v>
      </c>
      <c r="M245" s="11">
        <v>557</v>
      </c>
      <c r="N245" s="11">
        <v>601</v>
      </c>
      <c r="O245" s="11">
        <v>0</v>
      </c>
      <c r="P245" s="11">
        <v>0</v>
      </c>
      <c r="Q245" s="11">
        <v>0</v>
      </c>
      <c r="R245" s="11">
        <v>0</v>
      </c>
      <c r="S245" s="12">
        <v>6249</v>
      </c>
    </row>
    <row r="246" spans="1:19" ht="17.5" thickBot="1" x14ac:dyDescent="0.65">
      <c r="A246" s="10" t="s">
        <v>348</v>
      </c>
      <c r="B246" s="9" t="s">
        <v>586</v>
      </c>
      <c r="C246" s="9" t="s">
        <v>590</v>
      </c>
      <c r="D246" s="9" t="s">
        <v>787</v>
      </c>
      <c r="E246" s="10" t="s">
        <v>694</v>
      </c>
      <c r="F246" s="10" t="s">
        <v>104</v>
      </c>
      <c r="G246" s="11">
        <v>325</v>
      </c>
      <c r="H246" s="11">
        <v>785</v>
      </c>
      <c r="I246" s="11">
        <v>1218</v>
      </c>
      <c r="J246" s="11">
        <v>635</v>
      </c>
      <c r="K246" s="11">
        <v>644</v>
      </c>
      <c r="L246" s="11">
        <v>779</v>
      </c>
      <c r="M246" s="11">
        <v>895</v>
      </c>
      <c r="N246" s="11">
        <v>1136</v>
      </c>
      <c r="O246" s="11">
        <v>0</v>
      </c>
      <c r="P246" s="11">
        <v>0</v>
      </c>
      <c r="Q246" s="11">
        <v>0</v>
      </c>
      <c r="R246" s="11">
        <v>0</v>
      </c>
      <c r="S246" s="12">
        <v>6417</v>
      </c>
    </row>
    <row r="247" spans="1:19" ht="17.5" thickBot="1" x14ac:dyDescent="0.65">
      <c r="A247" s="10" t="s">
        <v>348</v>
      </c>
      <c r="B247" s="9" t="s">
        <v>586</v>
      </c>
      <c r="C247" s="9" t="s">
        <v>591</v>
      </c>
      <c r="D247" s="9" t="s">
        <v>760</v>
      </c>
      <c r="E247" s="10" t="s">
        <v>695</v>
      </c>
      <c r="F247" s="10" t="s">
        <v>104</v>
      </c>
      <c r="G247" s="11">
        <v>1418</v>
      </c>
      <c r="H247" s="11">
        <v>1072</v>
      </c>
      <c r="I247" s="11">
        <v>1247</v>
      </c>
      <c r="J247" s="11">
        <v>726</v>
      </c>
      <c r="K247" s="11">
        <v>800</v>
      </c>
      <c r="L247" s="11">
        <v>1400</v>
      </c>
      <c r="M247" s="11">
        <v>731</v>
      </c>
      <c r="N247" s="11">
        <v>677</v>
      </c>
      <c r="O247" s="11">
        <v>0</v>
      </c>
      <c r="P247" s="11">
        <v>0</v>
      </c>
      <c r="Q247" s="11">
        <v>0</v>
      </c>
      <c r="R247" s="11">
        <v>0</v>
      </c>
      <c r="S247" s="12">
        <v>8071</v>
      </c>
    </row>
    <row r="248" spans="1:19" ht="17.5" thickBot="1" x14ac:dyDescent="0.65">
      <c r="A248" s="10" t="s">
        <v>348</v>
      </c>
      <c r="B248" s="9" t="s">
        <v>592</v>
      </c>
      <c r="C248" s="9" t="s">
        <v>593</v>
      </c>
      <c r="D248" s="9" t="s">
        <v>594</v>
      </c>
      <c r="E248" s="10" t="s">
        <v>694</v>
      </c>
      <c r="F248" s="10" t="s">
        <v>25</v>
      </c>
      <c r="G248" s="11">
        <v>2313</v>
      </c>
      <c r="H248" s="11">
        <v>2439</v>
      </c>
      <c r="I248" s="11">
        <v>2686</v>
      </c>
      <c r="J248" s="11">
        <v>1401</v>
      </c>
      <c r="K248" s="11">
        <v>2085</v>
      </c>
      <c r="L248" s="11">
        <v>1715</v>
      </c>
      <c r="M248" s="11">
        <v>1751</v>
      </c>
      <c r="N248" s="11">
        <v>1720</v>
      </c>
      <c r="O248" s="11">
        <v>0</v>
      </c>
      <c r="P248" s="11">
        <v>0</v>
      </c>
      <c r="Q248" s="11">
        <v>0</v>
      </c>
      <c r="R248" s="11">
        <v>0</v>
      </c>
      <c r="S248" s="12">
        <v>16110</v>
      </c>
    </row>
    <row r="249" spans="1:19" ht="17.5" thickBot="1" x14ac:dyDescent="0.65">
      <c r="A249" s="10" t="s">
        <v>348</v>
      </c>
      <c r="B249" s="9" t="s">
        <v>592</v>
      </c>
      <c r="C249" s="9" t="s">
        <v>595</v>
      </c>
      <c r="D249" s="9" t="s">
        <v>596</v>
      </c>
      <c r="E249" s="10" t="s">
        <v>694</v>
      </c>
      <c r="F249" s="10" t="s">
        <v>25</v>
      </c>
      <c r="G249" s="11">
        <v>603</v>
      </c>
      <c r="H249" s="11">
        <v>1375</v>
      </c>
      <c r="I249" s="11">
        <v>1424</v>
      </c>
      <c r="J249" s="11">
        <v>1498</v>
      </c>
      <c r="K249" s="11">
        <v>1637</v>
      </c>
      <c r="L249" s="11">
        <v>809</v>
      </c>
      <c r="M249" s="11">
        <v>967</v>
      </c>
      <c r="N249" s="11">
        <v>1250</v>
      </c>
      <c r="O249" s="11">
        <v>0</v>
      </c>
      <c r="P249" s="11">
        <v>0</v>
      </c>
      <c r="Q249" s="11">
        <v>0</v>
      </c>
      <c r="R249" s="11">
        <v>0</v>
      </c>
      <c r="S249" s="12">
        <v>9563</v>
      </c>
    </row>
    <row r="250" spans="1:19" ht="17.5" thickBot="1" x14ac:dyDescent="0.65">
      <c r="A250" s="10" t="s">
        <v>348</v>
      </c>
      <c r="B250" s="9" t="s">
        <v>592</v>
      </c>
      <c r="C250" s="9" t="s">
        <v>597</v>
      </c>
      <c r="D250" s="9" t="s">
        <v>598</v>
      </c>
      <c r="E250" s="10" t="s">
        <v>694</v>
      </c>
      <c r="F250" s="10" t="s">
        <v>25</v>
      </c>
      <c r="G250" s="11">
        <v>672</v>
      </c>
      <c r="H250" s="11">
        <v>699</v>
      </c>
      <c r="I250" s="11">
        <v>1656</v>
      </c>
      <c r="J250" s="11">
        <v>601</v>
      </c>
      <c r="K250" s="11">
        <v>372</v>
      </c>
      <c r="L250" s="11">
        <v>914</v>
      </c>
      <c r="M250" s="11">
        <v>196</v>
      </c>
      <c r="N250" s="11">
        <v>400</v>
      </c>
      <c r="O250" s="11">
        <v>0</v>
      </c>
      <c r="P250" s="11">
        <v>0</v>
      </c>
      <c r="Q250" s="11">
        <v>0</v>
      </c>
      <c r="R250" s="11">
        <v>0</v>
      </c>
      <c r="S250" s="12">
        <v>5510</v>
      </c>
    </row>
    <row r="251" spans="1:19" ht="17.5" thickBot="1" x14ac:dyDescent="0.65">
      <c r="A251" s="10" t="s">
        <v>348</v>
      </c>
      <c r="B251" s="9" t="s">
        <v>714</v>
      </c>
      <c r="C251" s="9" t="s">
        <v>715</v>
      </c>
      <c r="D251" s="9" t="s">
        <v>716</v>
      </c>
      <c r="E251" s="10" t="s">
        <v>694</v>
      </c>
      <c r="F251" s="10" t="s">
        <v>25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669</v>
      </c>
      <c r="M251" s="11">
        <v>354</v>
      </c>
      <c r="N251" s="11">
        <v>424</v>
      </c>
      <c r="O251" s="11">
        <v>0</v>
      </c>
      <c r="P251" s="11">
        <v>0</v>
      </c>
      <c r="Q251" s="11">
        <v>0</v>
      </c>
      <c r="R251" s="11">
        <v>0</v>
      </c>
      <c r="S251" s="12">
        <v>1447</v>
      </c>
    </row>
    <row r="252" spans="1:19" ht="17.5" thickBot="1" x14ac:dyDescent="0.65">
      <c r="A252" s="10" t="s">
        <v>599</v>
      </c>
      <c r="B252" s="9" t="s">
        <v>600</v>
      </c>
      <c r="C252" s="9" t="s">
        <v>601</v>
      </c>
      <c r="D252" s="9" t="s">
        <v>602</v>
      </c>
      <c r="E252" s="10" t="s">
        <v>694</v>
      </c>
      <c r="F252" s="10" t="s">
        <v>21</v>
      </c>
      <c r="G252" s="11">
        <v>337</v>
      </c>
      <c r="H252" s="11">
        <v>455</v>
      </c>
      <c r="I252" s="11">
        <v>346</v>
      </c>
      <c r="J252" s="11">
        <v>419</v>
      </c>
      <c r="K252" s="11">
        <v>274</v>
      </c>
      <c r="L252" s="11">
        <v>229</v>
      </c>
      <c r="M252" s="11">
        <v>176</v>
      </c>
      <c r="N252" s="11">
        <v>170</v>
      </c>
      <c r="O252" s="11">
        <v>0</v>
      </c>
      <c r="P252" s="11">
        <v>0</v>
      </c>
      <c r="Q252" s="11">
        <v>0</v>
      </c>
      <c r="R252" s="11">
        <v>0</v>
      </c>
      <c r="S252" s="12">
        <v>2406</v>
      </c>
    </row>
    <row r="253" spans="1:19" ht="17.5" thickBot="1" x14ac:dyDescent="0.65">
      <c r="A253" s="10" t="s">
        <v>599</v>
      </c>
      <c r="B253" s="9" t="s">
        <v>600</v>
      </c>
      <c r="C253" s="9" t="s">
        <v>603</v>
      </c>
      <c r="D253" s="9" t="s">
        <v>604</v>
      </c>
      <c r="E253" s="10" t="s">
        <v>694</v>
      </c>
      <c r="F253" s="10" t="s">
        <v>21</v>
      </c>
      <c r="G253" s="11">
        <v>1171</v>
      </c>
      <c r="H253" s="11">
        <v>2594</v>
      </c>
      <c r="I253" s="11">
        <v>3621</v>
      </c>
      <c r="J253" s="11">
        <v>2149</v>
      </c>
      <c r="K253" s="11">
        <v>1761</v>
      </c>
      <c r="L253" s="11">
        <v>1553</v>
      </c>
      <c r="M253" s="11">
        <v>1735</v>
      </c>
      <c r="N253" s="11">
        <v>2554</v>
      </c>
      <c r="O253" s="11">
        <v>0</v>
      </c>
      <c r="P253" s="11">
        <v>0</v>
      </c>
      <c r="Q253" s="11">
        <v>0</v>
      </c>
      <c r="R253" s="11">
        <v>0</v>
      </c>
      <c r="S253" s="12">
        <v>17138</v>
      </c>
    </row>
    <row r="254" spans="1:19" ht="17.5" thickBot="1" x14ac:dyDescent="0.65">
      <c r="A254" s="10" t="s">
        <v>599</v>
      </c>
      <c r="B254" s="9" t="s">
        <v>605</v>
      </c>
      <c r="C254" s="9">
        <v>3164</v>
      </c>
      <c r="D254" s="9" t="s">
        <v>774</v>
      </c>
      <c r="E254" s="10" t="s">
        <v>695</v>
      </c>
      <c r="F254" s="10" t="s">
        <v>21</v>
      </c>
      <c r="G254" s="11">
        <v>1222</v>
      </c>
      <c r="H254" s="11">
        <v>1264</v>
      </c>
      <c r="I254" s="11">
        <v>759</v>
      </c>
      <c r="J254" s="11">
        <v>2114</v>
      </c>
      <c r="K254" s="11">
        <v>2113</v>
      </c>
      <c r="L254" s="11">
        <v>794</v>
      </c>
      <c r="M254" s="11">
        <v>620</v>
      </c>
      <c r="N254" s="11">
        <v>983</v>
      </c>
      <c r="O254" s="11">
        <v>0</v>
      </c>
      <c r="P254" s="11">
        <v>0</v>
      </c>
      <c r="Q254" s="11">
        <v>0</v>
      </c>
      <c r="R254" s="11">
        <v>0</v>
      </c>
      <c r="S254" s="12">
        <v>9869</v>
      </c>
    </row>
    <row r="255" spans="1:19" ht="17.5" thickBot="1" x14ac:dyDescent="0.65">
      <c r="A255" s="10" t="s">
        <v>599</v>
      </c>
      <c r="B255" s="9" t="s">
        <v>605</v>
      </c>
      <c r="C255" s="9" t="s">
        <v>606</v>
      </c>
      <c r="D255" s="9" t="s">
        <v>607</v>
      </c>
      <c r="E255" s="10" t="s">
        <v>694</v>
      </c>
      <c r="F255" s="10" t="s">
        <v>21</v>
      </c>
      <c r="G255" s="11">
        <v>469</v>
      </c>
      <c r="H255" s="11">
        <v>752</v>
      </c>
      <c r="I255" s="11">
        <v>635</v>
      </c>
      <c r="J255" s="11">
        <v>350</v>
      </c>
      <c r="K255" s="11">
        <v>421</v>
      </c>
      <c r="L255" s="11">
        <v>540</v>
      </c>
      <c r="M255" s="11">
        <v>436</v>
      </c>
      <c r="N255" s="11">
        <v>686</v>
      </c>
      <c r="O255" s="11">
        <v>0</v>
      </c>
      <c r="P255" s="11">
        <v>0</v>
      </c>
      <c r="Q255" s="11">
        <v>0</v>
      </c>
      <c r="R255" s="11">
        <v>0</v>
      </c>
      <c r="S255" s="12">
        <v>4289</v>
      </c>
    </row>
    <row r="256" spans="1:19" ht="17.5" thickBot="1" x14ac:dyDescent="0.65">
      <c r="A256" s="10" t="s">
        <v>599</v>
      </c>
      <c r="B256" s="9" t="s">
        <v>608</v>
      </c>
      <c r="C256" s="9" t="s">
        <v>609</v>
      </c>
      <c r="D256" s="9" t="s">
        <v>610</v>
      </c>
      <c r="E256" s="10" t="s">
        <v>694</v>
      </c>
      <c r="F256" s="10" t="s">
        <v>21</v>
      </c>
      <c r="G256" s="11">
        <v>546</v>
      </c>
      <c r="H256" s="11">
        <v>548</v>
      </c>
      <c r="I256" s="11">
        <v>723</v>
      </c>
      <c r="J256" s="11">
        <v>814</v>
      </c>
      <c r="K256" s="11">
        <v>585</v>
      </c>
      <c r="L256" s="11">
        <v>601</v>
      </c>
      <c r="M256" s="11">
        <v>441</v>
      </c>
      <c r="N256" s="11">
        <v>644</v>
      </c>
      <c r="O256" s="11">
        <v>0</v>
      </c>
      <c r="P256" s="11">
        <v>0</v>
      </c>
      <c r="Q256" s="11">
        <v>0</v>
      </c>
      <c r="R256" s="11">
        <v>0</v>
      </c>
      <c r="S256" s="12">
        <v>4902</v>
      </c>
    </row>
    <row r="257" spans="1:19" ht="17.5" thickBot="1" x14ac:dyDescent="0.65">
      <c r="A257" s="10" t="s">
        <v>599</v>
      </c>
      <c r="B257" s="9" t="s">
        <v>611</v>
      </c>
      <c r="C257" s="18" t="s">
        <v>612</v>
      </c>
      <c r="D257" s="9" t="s">
        <v>775</v>
      </c>
      <c r="E257" s="10" t="s">
        <v>695</v>
      </c>
      <c r="F257" s="10" t="s">
        <v>28</v>
      </c>
      <c r="G257" s="11">
        <v>1768</v>
      </c>
      <c r="H257" s="11">
        <v>1799</v>
      </c>
      <c r="I257" s="11">
        <v>2976</v>
      </c>
      <c r="J257" s="11">
        <v>1793</v>
      </c>
      <c r="K257" s="11">
        <v>1964</v>
      </c>
      <c r="L257" s="11">
        <v>1243</v>
      </c>
      <c r="M257" s="11">
        <v>2464</v>
      </c>
      <c r="N257" s="11">
        <v>2535</v>
      </c>
      <c r="O257" s="11">
        <v>0</v>
      </c>
      <c r="P257" s="11">
        <v>0</v>
      </c>
      <c r="Q257" s="11">
        <v>0</v>
      </c>
      <c r="R257" s="11">
        <v>0</v>
      </c>
      <c r="S257" s="12">
        <v>16542</v>
      </c>
    </row>
    <row r="258" spans="1:19" ht="17.5" thickBot="1" x14ac:dyDescent="0.65">
      <c r="A258" s="10" t="s">
        <v>599</v>
      </c>
      <c r="B258" s="9" t="s">
        <v>611</v>
      </c>
      <c r="C258" s="18" t="s">
        <v>613</v>
      </c>
      <c r="D258" s="9" t="s">
        <v>777</v>
      </c>
      <c r="E258" s="10" t="s">
        <v>695</v>
      </c>
      <c r="F258" s="10" t="s">
        <v>28</v>
      </c>
      <c r="G258" s="11">
        <v>602</v>
      </c>
      <c r="H258" s="11">
        <v>1933</v>
      </c>
      <c r="I258" s="11">
        <v>240</v>
      </c>
      <c r="J258" s="11">
        <v>481</v>
      </c>
      <c r="K258" s="11">
        <v>330</v>
      </c>
      <c r="L258" s="11">
        <v>886</v>
      </c>
      <c r="M258" s="11">
        <v>236</v>
      </c>
      <c r="N258" s="11">
        <v>347</v>
      </c>
      <c r="O258" s="11">
        <v>0</v>
      </c>
      <c r="P258" s="11">
        <v>0</v>
      </c>
      <c r="Q258" s="11">
        <v>0</v>
      </c>
      <c r="R258" s="11">
        <v>0</v>
      </c>
      <c r="S258" s="12">
        <v>5055</v>
      </c>
    </row>
    <row r="259" spans="1:19" ht="17.5" thickBot="1" x14ac:dyDescent="0.65">
      <c r="A259" s="10" t="s">
        <v>599</v>
      </c>
      <c r="B259" s="9" t="s">
        <v>614</v>
      </c>
      <c r="C259" s="9" t="s">
        <v>615</v>
      </c>
      <c r="D259" s="9" t="s">
        <v>616</v>
      </c>
      <c r="E259" s="10" t="s">
        <v>694</v>
      </c>
      <c r="F259" s="10" t="s">
        <v>21</v>
      </c>
      <c r="G259" s="11">
        <v>1929</v>
      </c>
      <c r="H259" s="11">
        <v>2093</v>
      </c>
      <c r="I259" s="11">
        <v>2080</v>
      </c>
      <c r="J259" s="11">
        <v>1298</v>
      </c>
      <c r="K259" s="11">
        <v>1006</v>
      </c>
      <c r="L259" s="11">
        <v>1084</v>
      </c>
      <c r="M259" s="11">
        <v>1007</v>
      </c>
      <c r="N259" s="11">
        <v>941</v>
      </c>
      <c r="O259" s="11">
        <v>0</v>
      </c>
      <c r="P259" s="11">
        <v>0</v>
      </c>
      <c r="Q259" s="11">
        <v>0</v>
      </c>
      <c r="R259" s="11">
        <v>0</v>
      </c>
      <c r="S259" s="12">
        <v>11438</v>
      </c>
    </row>
    <row r="260" spans="1:19" ht="17.5" thickBot="1" x14ac:dyDescent="0.65">
      <c r="A260" s="10" t="s">
        <v>599</v>
      </c>
      <c r="B260" s="9" t="s">
        <v>617</v>
      </c>
      <c r="C260" s="9" t="s">
        <v>618</v>
      </c>
      <c r="D260" s="9" t="s">
        <v>776</v>
      </c>
      <c r="E260" s="10" t="s">
        <v>695</v>
      </c>
      <c r="F260" s="10" t="s">
        <v>21</v>
      </c>
      <c r="G260" s="11">
        <v>858</v>
      </c>
      <c r="H260" s="11">
        <v>1446</v>
      </c>
      <c r="I260" s="11">
        <v>2108</v>
      </c>
      <c r="J260" s="11">
        <v>1148</v>
      </c>
      <c r="K260" s="11">
        <v>1363</v>
      </c>
      <c r="L260" s="11">
        <v>1199</v>
      </c>
      <c r="M260" s="11">
        <v>1628</v>
      </c>
      <c r="N260" s="11">
        <v>1309</v>
      </c>
      <c r="O260" s="11">
        <v>0</v>
      </c>
      <c r="P260" s="11">
        <v>0</v>
      </c>
      <c r="Q260" s="11">
        <v>0</v>
      </c>
      <c r="R260" s="11">
        <v>0</v>
      </c>
      <c r="S260" s="12">
        <v>11059</v>
      </c>
    </row>
    <row r="261" spans="1:19" ht="17.5" thickBot="1" x14ac:dyDescent="0.65">
      <c r="A261" s="10" t="s">
        <v>599</v>
      </c>
      <c r="B261" s="9" t="s">
        <v>619</v>
      </c>
      <c r="C261" s="9" t="s">
        <v>620</v>
      </c>
      <c r="D261" s="9" t="s">
        <v>621</v>
      </c>
      <c r="E261" s="10" t="s">
        <v>694</v>
      </c>
      <c r="F261" s="10" t="s">
        <v>21</v>
      </c>
      <c r="G261" s="11">
        <v>938</v>
      </c>
      <c r="H261" s="11">
        <v>880</v>
      </c>
      <c r="I261" s="11">
        <v>1766</v>
      </c>
      <c r="J261" s="11">
        <v>1192</v>
      </c>
      <c r="K261" s="11">
        <v>1528</v>
      </c>
      <c r="L261" s="11">
        <v>1247</v>
      </c>
      <c r="M261" s="11">
        <v>1947</v>
      </c>
      <c r="N261" s="11">
        <v>1623</v>
      </c>
      <c r="O261" s="11">
        <v>0</v>
      </c>
      <c r="P261" s="11">
        <v>0</v>
      </c>
      <c r="Q261" s="11">
        <v>0</v>
      </c>
      <c r="R261" s="11">
        <v>0</v>
      </c>
      <c r="S261" s="12">
        <v>11121</v>
      </c>
    </row>
    <row r="262" spans="1:19" ht="17.5" thickBot="1" x14ac:dyDescent="0.65">
      <c r="A262" s="10" t="s">
        <v>599</v>
      </c>
      <c r="B262" s="9" t="s">
        <v>619</v>
      </c>
      <c r="C262" s="9" t="s">
        <v>622</v>
      </c>
      <c r="D262" s="9" t="s">
        <v>623</v>
      </c>
      <c r="E262" s="10" t="s">
        <v>694</v>
      </c>
      <c r="F262" s="10" t="s">
        <v>21</v>
      </c>
      <c r="G262" s="11">
        <v>1236</v>
      </c>
      <c r="H262" s="11">
        <v>863</v>
      </c>
      <c r="I262" s="11">
        <v>702</v>
      </c>
      <c r="J262" s="11">
        <v>1096</v>
      </c>
      <c r="K262" s="11">
        <v>1082</v>
      </c>
      <c r="L262" s="11">
        <v>698</v>
      </c>
      <c r="M262" s="11">
        <v>1351</v>
      </c>
      <c r="N262" s="11">
        <v>1246</v>
      </c>
      <c r="O262" s="11">
        <v>0</v>
      </c>
      <c r="P262" s="11">
        <v>0</v>
      </c>
      <c r="Q262" s="11">
        <v>0</v>
      </c>
      <c r="R262" s="11">
        <v>0</v>
      </c>
      <c r="S262" s="12">
        <v>8274</v>
      </c>
    </row>
    <row r="263" spans="1:19" ht="17.5" thickBot="1" x14ac:dyDescent="0.65">
      <c r="A263" s="10" t="s">
        <v>599</v>
      </c>
      <c r="B263" s="9" t="s">
        <v>619</v>
      </c>
      <c r="C263" s="9" t="s">
        <v>624</v>
      </c>
      <c r="D263" s="9" t="s">
        <v>625</v>
      </c>
      <c r="E263" s="10" t="s">
        <v>694</v>
      </c>
      <c r="F263" s="10" t="s">
        <v>21</v>
      </c>
      <c r="G263" s="11">
        <v>334</v>
      </c>
      <c r="H263" s="11">
        <v>464</v>
      </c>
      <c r="I263" s="11">
        <v>512</v>
      </c>
      <c r="J263" s="11">
        <v>317</v>
      </c>
      <c r="K263" s="11">
        <v>321</v>
      </c>
      <c r="L263" s="11">
        <v>606</v>
      </c>
      <c r="M263" s="11">
        <v>711</v>
      </c>
      <c r="N263" s="11">
        <v>352</v>
      </c>
      <c r="O263" s="11">
        <v>0</v>
      </c>
      <c r="P263" s="11">
        <v>0</v>
      </c>
      <c r="Q263" s="11">
        <v>0</v>
      </c>
      <c r="R263" s="11">
        <v>0</v>
      </c>
      <c r="S263" s="12">
        <v>3617</v>
      </c>
    </row>
    <row r="264" spans="1:19" ht="17.5" thickBot="1" x14ac:dyDescent="0.65">
      <c r="A264" s="10" t="s">
        <v>599</v>
      </c>
      <c r="B264" s="9" t="s">
        <v>619</v>
      </c>
      <c r="C264" s="9" t="s">
        <v>626</v>
      </c>
      <c r="D264" s="9" t="s">
        <v>627</v>
      </c>
      <c r="E264" s="10" t="s">
        <v>694</v>
      </c>
      <c r="F264" s="10" t="s">
        <v>21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2">
        <v>0</v>
      </c>
    </row>
    <row r="265" spans="1:19" ht="17.5" thickBot="1" x14ac:dyDescent="0.65">
      <c r="A265" s="10" t="s">
        <v>599</v>
      </c>
      <c r="B265" s="9" t="s">
        <v>619</v>
      </c>
      <c r="C265" s="9" t="s">
        <v>628</v>
      </c>
      <c r="D265" s="9" t="s">
        <v>629</v>
      </c>
      <c r="E265" s="10" t="s">
        <v>694</v>
      </c>
      <c r="F265" s="10" t="s">
        <v>21</v>
      </c>
      <c r="G265" s="11">
        <v>1425</v>
      </c>
      <c r="H265" s="11">
        <v>1822</v>
      </c>
      <c r="I265" s="11">
        <v>1721</v>
      </c>
      <c r="J265" s="11">
        <v>1180</v>
      </c>
      <c r="K265" s="11">
        <v>1359</v>
      </c>
      <c r="L265" s="11">
        <v>1432</v>
      </c>
      <c r="M265" s="11">
        <v>1659</v>
      </c>
      <c r="N265" s="11">
        <v>2181</v>
      </c>
      <c r="O265" s="11">
        <v>0</v>
      </c>
      <c r="P265" s="11">
        <v>0</v>
      </c>
      <c r="Q265" s="11">
        <v>0</v>
      </c>
      <c r="R265" s="11">
        <v>0</v>
      </c>
      <c r="S265" s="12">
        <v>12779</v>
      </c>
    </row>
    <row r="266" spans="1:19" ht="17.5" thickBot="1" x14ac:dyDescent="0.65">
      <c r="A266" s="10" t="s">
        <v>599</v>
      </c>
      <c r="B266" s="9" t="s">
        <v>630</v>
      </c>
      <c r="C266" s="9" t="s">
        <v>631</v>
      </c>
      <c r="D266" s="9" t="s">
        <v>632</v>
      </c>
      <c r="E266" s="10" t="s">
        <v>694</v>
      </c>
      <c r="F266" s="10" t="s">
        <v>28</v>
      </c>
      <c r="G266" s="11">
        <v>394</v>
      </c>
      <c r="H266" s="11">
        <v>529</v>
      </c>
      <c r="I266" s="11">
        <v>769</v>
      </c>
      <c r="J266" s="11">
        <v>327</v>
      </c>
      <c r="K266" s="11">
        <v>199</v>
      </c>
      <c r="L266" s="11">
        <v>259</v>
      </c>
      <c r="M266" s="11">
        <v>504</v>
      </c>
      <c r="N266" s="11">
        <v>122</v>
      </c>
      <c r="O266" s="11">
        <v>0</v>
      </c>
      <c r="P266" s="11">
        <v>0</v>
      </c>
      <c r="Q266" s="11">
        <v>0</v>
      </c>
      <c r="R266" s="11">
        <v>0</v>
      </c>
      <c r="S266" s="12">
        <v>3103</v>
      </c>
    </row>
    <row r="267" spans="1:19" ht="17.5" thickBot="1" x14ac:dyDescent="0.65">
      <c r="A267" s="10" t="s">
        <v>599</v>
      </c>
      <c r="B267" s="9" t="s">
        <v>630</v>
      </c>
      <c r="C267" s="9" t="s">
        <v>633</v>
      </c>
      <c r="D267" s="9" t="s">
        <v>634</v>
      </c>
      <c r="E267" s="10" t="s">
        <v>694</v>
      </c>
      <c r="F267" s="10" t="s">
        <v>28</v>
      </c>
      <c r="G267" s="11">
        <v>65</v>
      </c>
      <c r="H267" s="11">
        <v>100</v>
      </c>
      <c r="I267" s="11">
        <v>195</v>
      </c>
      <c r="J267" s="11">
        <v>114</v>
      </c>
      <c r="K267" s="11">
        <v>15</v>
      </c>
      <c r="L267" s="11">
        <v>11</v>
      </c>
      <c r="M267" s="11">
        <v>154</v>
      </c>
      <c r="N267" s="11">
        <v>103</v>
      </c>
      <c r="O267" s="11">
        <v>0</v>
      </c>
      <c r="P267" s="11">
        <v>0</v>
      </c>
      <c r="Q267" s="11">
        <v>0</v>
      </c>
      <c r="R267" s="11">
        <v>0</v>
      </c>
      <c r="S267" s="12">
        <v>757</v>
      </c>
    </row>
    <row r="268" spans="1:19" ht="17.5" thickBot="1" x14ac:dyDescent="0.65">
      <c r="A268" s="10" t="s">
        <v>599</v>
      </c>
      <c r="B268" s="9" t="s">
        <v>635</v>
      </c>
      <c r="C268" s="9" t="s">
        <v>636</v>
      </c>
      <c r="D268" s="9" t="s">
        <v>637</v>
      </c>
      <c r="E268" s="10" t="s">
        <v>694</v>
      </c>
      <c r="F268" s="10" t="s">
        <v>28</v>
      </c>
      <c r="G268" s="11">
        <v>586</v>
      </c>
      <c r="H268" s="11">
        <v>242</v>
      </c>
      <c r="I268" s="11">
        <v>423</v>
      </c>
      <c r="J268" s="11">
        <v>642</v>
      </c>
      <c r="K268" s="11">
        <v>1967</v>
      </c>
      <c r="L268" s="11">
        <v>1362</v>
      </c>
      <c r="M268" s="11">
        <v>1333</v>
      </c>
      <c r="N268" s="11">
        <v>2751</v>
      </c>
      <c r="O268" s="11">
        <v>0</v>
      </c>
      <c r="P268" s="11">
        <v>0</v>
      </c>
      <c r="Q268" s="11">
        <v>0</v>
      </c>
      <c r="R268" s="11">
        <v>0</v>
      </c>
      <c r="S268" s="12">
        <v>9306</v>
      </c>
    </row>
    <row r="269" spans="1:19" ht="17.5" thickBot="1" x14ac:dyDescent="0.65">
      <c r="A269" s="10" t="s">
        <v>599</v>
      </c>
      <c r="B269" s="9" t="s">
        <v>635</v>
      </c>
      <c r="C269" s="9" t="s">
        <v>638</v>
      </c>
      <c r="D269" s="9" t="s">
        <v>639</v>
      </c>
      <c r="E269" s="10" t="s">
        <v>694</v>
      </c>
      <c r="F269" s="10" t="s">
        <v>28</v>
      </c>
      <c r="G269" s="11">
        <v>904</v>
      </c>
      <c r="H269" s="11">
        <v>1551</v>
      </c>
      <c r="I269" s="11">
        <v>1894</v>
      </c>
      <c r="J269" s="11">
        <v>1285</v>
      </c>
      <c r="K269" s="11">
        <v>148</v>
      </c>
      <c r="L269" s="11">
        <v>249</v>
      </c>
      <c r="M269" s="11">
        <v>360</v>
      </c>
      <c r="N269" s="11">
        <v>332</v>
      </c>
      <c r="O269" s="11">
        <v>0</v>
      </c>
      <c r="P269" s="11">
        <v>0</v>
      </c>
      <c r="Q269" s="11">
        <v>0</v>
      </c>
      <c r="R269" s="11">
        <v>0</v>
      </c>
      <c r="S269" s="12">
        <v>6723</v>
      </c>
    </row>
    <row r="270" spans="1:19" ht="17.5" thickBot="1" x14ac:dyDescent="0.65">
      <c r="A270" s="10" t="s">
        <v>599</v>
      </c>
      <c r="B270" s="9" t="s">
        <v>635</v>
      </c>
      <c r="C270" s="9" t="s">
        <v>640</v>
      </c>
      <c r="D270" s="9" t="s">
        <v>641</v>
      </c>
      <c r="E270" s="10" t="s">
        <v>694</v>
      </c>
      <c r="F270" s="10" t="s">
        <v>28</v>
      </c>
      <c r="G270" s="11">
        <v>211</v>
      </c>
      <c r="H270" s="11">
        <v>303</v>
      </c>
      <c r="I270" s="11">
        <v>509</v>
      </c>
      <c r="J270" s="11">
        <v>1409</v>
      </c>
      <c r="K270" s="11">
        <v>1325</v>
      </c>
      <c r="L270" s="11">
        <v>1250</v>
      </c>
      <c r="M270" s="11">
        <v>1651</v>
      </c>
      <c r="N270" s="11">
        <v>1866</v>
      </c>
      <c r="O270" s="11">
        <v>0</v>
      </c>
      <c r="P270" s="11">
        <v>0</v>
      </c>
      <c r="Q270" s="11">
        <v>0</v>
      </c>
      <c r="R270" s="11">
        <v>0</v>
      </c>
      <c r="S270" s="12">
        <v>8524</v>
      </c>
    </row>
    <row r="271" spans="1:19" ht="17.5" thickBot="1" x14ac:dyDescent="0.65">
      <c r="A271" s="10" t="s">
        <v>599</v>
      </c>
      <c r="B271" s="9" t="s">
        <v>635</v>
      </c>
      <c r="C271" s="9" t="s">
        <v>642</v>
      </c>
      <c r="D271" s="9" t="s">
        <v>643</v>
      </c>
      <c r="E271" s="10" t="s">
        <v>694</v>
      </c>
      <c r="F271" s="10" t="s">
        <v>28</v>
      </c>
      <c r="G271" s="11">
        <v>0</v>
      </c>
      <c r="H271" s="11">
        <v>437</v>
      </c>
      <c r="I271" s="11">
        <v>13</v>
      </c>
      <c r="J271" s="11">
        <v>0</v>
      </c>
      <c r="K271" s="11">
        <v>168</v>
      </c>
      <c r="L271" s="11">
        <v>0</v>
      </c>
      <c r="M271" s="11"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  <c r="S271" s="12">
        <v>618</v>
      </c>
    </row>
    <row r="272" spans="1:19" ht="17.5" thickBot="1" x14ac:dyDescent="0.65">
      <c r="A272" s="10" t="s">
        <v>599</v>
      </c>
      <c r="B272" s="9" t="s">
        <v>635</v>
      </c>
      <c r="C272" s="9" t="s">
        <v>644</v>
      </c>
      <c r="D272" s="9" t="s">
        <v>645</v>
      </c>
      <c r="E272" s="10" t="s">
        <v>694</v>
      </c>
      <c r="F272" s="10" t="s">
        <v>28</v>
      </c>
      <c r="G272" s="11">
        <v>1131</v>
      </c>
      <c r="H272" s="11">
        <v>1427</v>
      </c>
      <c r="I272" s="11">
        <v>1641</v>
      </c>
      <c r="J272" s="11">
        <v>882</v>
      </c>
      <c r="K272" s="11">
        <v>308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2">
        <v>5389</v>
      </c>
    </row>
    <row r="273" spans="1:19" ht="17.5" thickBot="1" x14ac:dyDescent="0.65">
      <c r="A273" s="10" t="s">
        <v>599</v>
      </c>
      <c r="B273" s="9" t="s">
        <v>635</v>
      </c>
      <c r="C273" s="9" t="s">
        <v>646</v>
      </c>
      <c r="D273" s="9" t="s">
        <v>647</v>
      </c>
      <c r="E273" s="10" t="s">
        <v>694</v>
      </c>
      <c r="F273" s="10" t="s">
        <v>28</v>
      </c>
      <c r="G273" s="11">
        <v>261</v>
      </c>
      <c r="H273" s="11">
        <v>48</v>
      </c>
      <c r="I273" s="11">
        <v>0</v>
      </c>
      <c r="J273" s="11">
        <v>0</v>
      </c>
      <c r="K273" s="11">
        <v>594</v>
      </c>
      <c r="L273" s="11">
        <v>683</v>
      </c>
      <c r="M273" s="11">
        <v>900</v>
      </c>
      <c r="N273" s="11">
        <v>1099</v>
      </c>
      <c r="O273" s="11">
        <v>0</v>
      </c>
      <c r="P273" s="11">
        <v>0</v>
      </c>
      <c r="Q273" s="11">
        <v>0</v>
      </c>
      <c r="R273" s="11">
        <v>0</v>
      </c>
      <c r="S273" s="12">
        <v>3585</v>
      </c>
    </row>
    <row r="274" spans="1:19" ht="17.5" thickBot="1" x14ac:dyDescent="0.65">
      <c r="A274" s="10" t="s">
        <v>599</v>
      </c>
      <c r="B274" s="9" t="s">
        <v>635</v>
      </c>
      <c r="C274" s="9" t="s">
        <v>648</v>
      </c>
      <c r="D274" s="9" t="s">
        <v>649</v>
      </c>
      <c r="E274" s="10" t="s">
        <v>694</v>
      </c>
      <c r="F274" s="10" t="s">
        <v>28</v>
      </c>
      <c r="G274" s="11">
        <v>172</v>
      </c>
      <c r="H274" s="11">
        <v>257</v>
      </c>
      <c r="I274" s="11">
        <v>123</v>
      </c>
      <c r="J274" s="11">
        <v>0</v>
      </c>
      <c r="K274" s="11">
        <v>0</v>
      </c>
      <c r="L274" s="11">
        <v>0</v>
      </c>
      <c r="M274" s="11"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  <c r="S274" s="12">
        <v>552</v>
      </c>
    </row>
    <row r="275" spans="1:19" ht="17.5" thickBot="1" x14ac:dyDescent="0.65">
      <c r="A275" s="10" t="s">
        <v>599</v>
      </c>
      <c r="B275" s="9" t="s">
        <v>650</v>
      </c>
      <c r="C275" s="9" t="s">
        <v>651</v>
      </c>
      <c r="D275" s="9" t="s">
        <v>652</v>
      </c>
      <c r="E275" s="10" t="s">
        <v>694</v>
      </c>
      <c r="F275" s="10" t="s">
        <v>104</v>
      </c>
      <c r="G275" s="11">
        <v>485</v>
      </c>
      <c r="H275" s="11">
        <v>485</v>
      </c>
      <c r="I275" s="11">
        <v>625</v>
      </c>
      <c r="J275" s="11">
        <v>727</v>
      </c>
      <c r="K275" s="11">
        <v>720</v>
      </c>
      <c r="L275" s="11">
        <v>870</v>
      </c>
      <c r="M275" s="11">
        <v>935</v>
      </c>
      <c r="N275" s="11">
        <v>1000</v>
      </c>
      <c r="O275" s="11">
        <v>0</v>
      </c>
      <c r="P275" s="11">
        <v>0</v>
      </c>
      <c r="Q275" s="11">
        <v>0</v>
      </c>
      <c r="R275" s="11">
        <v>0</v>
      </c>
      <c r="S275" s="12">
        <v>5847</v>
      </c>
    </row>
    <row r="276" spans="1:19" ht="17.5" thickBot="1" x14ac:dyDescent="0.65">
      <c r="A276" s="10" t="s">
        <v>599</v>
      </c>
      <c r="B276" s="9" t="s">
        <v>653</v>
      </c>
      <c r="C276" s="9" t="s">
        <v>654</v>
      </c>
      <c r="D276" s="9" t="s">
        <v>655</v>
      </c>
      <c r="E276" s="10" t="s">
        <v>694</v>
      </c>
      <c r="F276" s="10" t="s">
        <v>21</v>
      </c>
      <c r="G276" s="11">
        <v>1145</v>
      </c>
      <c r="H276" s="11">
        <v>829</v>
      </c>
      <c r="I276" s="11">
        <v>1557</v>
      </c>
      <c r="J276" s="11">
        <v>815</v>
      </c>
      <c r="K276" s="11">
        <v>619</v>
      </c>
      <c r="L276" s="11">
        <v>798</v>
      </c>
      <c r="M276" s="11">
        <v>1342</v>
      </c>
      <c r="N276" s="11">
        <v>771</v>
      </c>
      <c r="O276" s="11">
        <v>0</v>
      </c>
      <c r="P276" s="11">
        <v>0</v>
      </c>
      <c r="Q276" s="11">
        <v>0</v>
      </c>
      <c r="R276" s="11">
        <v>0</v>
      </c>
      <c r="S276" s="12">
        <v>7876</v>
      </c>
    </row>
    <row r="277" spans="1:19" ht="17.5" thickBot="1" x14ac:dyDescent="0.65">
      <c r="A277" s="10" t="s">
        <v>599</v>
      </c>
      <c r="B277" s="9" t="s">
        <v>653</v>
      </c>
      <c r="C277" s="9" t="s">
        <v>656</v>
      </c>
      <c r="D277" s="9" t="s">
        <v>657</v>
      </c>
      <c r="E277" s="10" t="s">
        <v>694</v>
      </c>
      <c r="F277" s="10" t="s">
        <v>21</v>
      </c>
      <c r="G277" s="11">
        <v>0</v>
      </c>
      <c r="H277" s="11">
        <v>0</v>
      </c>
      <c r="I277" s="11">
        <v>0</v>
      </c>
      <c r="J277" s="11">
        <v>6</v>
      </c>
      <c r="K277" s="11">
        <v>0</v>
      </c>
      <c r="L277" s="11">
        <v>0</v>
      </c>
      <c r="M277" s="11">
        <v>312</v>
      </c>
      <c r="N277" s="11">
        <v>217</v>
      </c>
      <c r="O277" s="11">
        <v>0</v>
      </c>
      <c r="P277" s="11">
        <v>0</v>
      </c>
      <c r="Q277" s="11">
        <v>0</v>
      </c>
      <c r="R277" s="11">
        <v>0</v>
      </c>
      <c r="S277" s="12">
        <v>535</v>
      </c>
    </row>
    <row r="278" spans="1:19" ht="17.5" thickBot="1" x14ac:dyDescent="0.65">
      <c r="A278" s="10" t="s">
        <v>599</v>
      </c>
      <c r="B278" s="9" t="s">
        <v>653</v>
      </c>
      <c r="C278" s="9" t="s">
        <v>658</v>
      </c>
      <c r="D278" s="9" t="s">
        <v>659</v>
      </c>
      <c r="E278" s="10" t="s">
        <v>694</v>
      </c>
      <c r="F278" s="10" t="s">
        <v>21</v>
      </c>
      <c r="G278" s="11">
        <v>1418</v>
      </c>
      <c r="H278" s="11">
        <v>2202</v>
      </c>
      <c r="I278" s="11">
        <v>1783</v>
      </c>
      <c r="J278" s="11">
        <v>1765</v>
      </c>
      <c r="K278" s="11">
        <v>1048</v>
      </c>
      <c r="L278" s="11">
        <v>1723</v>
      </c>
      <c r="M278" s="11">
        <v>1145</v>
      </c>
      <c r="N278" s="11">
        <v>1638</v>
      </c>
      <c r="O278" s="11">
        <v>0</v>
      </c>
      <c r="P278" s="11">
        <v>0</v>
      </c>
      <c r="Q278" s="11">
        <v>0</v>
      </c>
      <c r="R278" s="11">
        <v>0</v>
      </c>
      <c r="S278" s="12">
        <v>12722</v>
      </c>
    </row>
    <row r="279" spans="1:19" ht="17.5" thickBot="1" x14ac:dyDescent="0.65">
      <c r="A279" s="10" t="s">
        <v>599</v>
      </c>
      <c r="B279" s="9" t="s">
        <v>653</v>
      </c>
      <c r="C279" s="9" t="s">
        <v>660</v>
      </c>
      <c r="D279" s="9" t="s">
        <v>661</v>
      </c>
      <c r="E279" s="10" t="s">
        <v>694</v>
      </c>
      <c r="F279" s="10" t="s">
        <v>21</v>
      </c>
      <c r="G279" s="11">
        <v>648</v>
      </c>
      <c r="H279" s="11">
        <v>605</v>
      </c>
      <c r="I279" s="11">
        <v>765</v>
      </c>
      <c r="J279" s="11">
        <v>1107</v>
      </c>
      <c r="K279" s="11">
        <v>629</v>
      </c>
      <c r="L279" s="11">
        <v>593</v>
      </c>
      <c r="M279" s="11">
        <v>675</v>
      </c>
      <c r="N279" s="11">
        <v>497</v>
      </c>
      <c r="O279" s="11">
        <v>0</v>
      </c>
      <c r="P279" s="11">
        <v>0</v>
      </c>
      <c r="Q279" s="11">
        <v>0</v>
      </c>
      <c r="R279" s="11">
        <v>0</v>
      </c>
      <c r="S279" s="12">
        <v>5519</v>
      </c>
    </row>
    <row r="280" spans="1:19" ht="17.5" thickBot="1" x14ac:dyDescent="0.65">
      <c r="A280" s="10" t="s">
        <v>599</v>
      </c>
      <c r="B280" s="9" t="s">
        <v>662</v>
      </c>
      <c r="C280" s="9" t="s">
        <v>663</v>
      </c>
      <c r="D280" s="9" t="s">
        <v>664</v>
      </c>
      <c r="E280" s="10" t="s">
        <v>694</v>
      </c>
      <c r="F280" s="10" t="s">
        <v>104</v>
      </c>
      <c r="G280" s="11">
        <v>2433</v>
      </c>
      <c r="H280" s="11">
        <v>2563</v>
      </c>
      <c r="I280" s="11">
        <v>3019</v>
      </c>
      <c r="J280" s="11">
        <v>1481</v>
      </c>
      <c r="K280" s="11">
        <v>1718</v>
      </c>
      <c r="L280" s="11">
        <v>1490</v>
      </c>
      <c r="M280" s="11">
        <v>2481</v>
      </c>
      <c r="N280" s="11">
        <v>1997</v>
      </c>
      <c r="O280" s="11">
        <v>0</v>
      </c>
      <c r="P280" s="11">
        <v>0</v>
      </c>
      <c r="Q280" s="11">
        <v>0</v>
      </c>
      <c r="R280" s="11">
        <v>0</v>
      </c>
      <c r="S280" s="12">
        <v>17182</v>
      </c>
    </row>
    <row r="281" spans="1:19" ht="17.5" thickBot="1" x14ac:dyDescent="0.65">
      <c r="A281" s="10" t="s">
        <v>599</v>
      </c>
      <c r="B281" s="9" t="s">
        <v>662</v>
      </c>
      <c r="C281" s="9" t="s">
        <v>665</v>
      </c>
      <c r="D281" s="9" t="s">
        <v>666</v>
      </c>
      <c r="E281" s="10" t="s">
        <v>694</v>
      </c>
      <c r="F281" s="10" t="s">
        <v>104</v>
      </c>
      <c r="G281" s="11">
        <v>990</v>
      </c>
      <c r="H281" s="11">
        <v>1117</v>
      </c>
      <c r="I281" s="11">
        <v>981</v>
      </c>
      <c r="J281" s="11">
        <v>815</v>
      </c>
      <c r="K281" s="11">
        <v>690</v>
      </c>
      <c r="L281" s="11">
        <v>1096</v>
      </c>
      <c r="M281" s="11">
        <v>1358</v>
      </c>
      <c r="N281" s="11">
        <v>1362</v>
      </c>
      <c r="O281" s="11">
        <v>0</v>
      </c>
      <c r="P281" s="11">
        <v>0</v>
      </c>
      <c r="Q281" s="11">
        <v>0</v>
      </c>
      <c r="R281" s="11">
        <v>0</v>
      </c>
      <c r="S281" s="12">
        <v>8409</v>
      </c>
    </row>
    <row r="282" spans="1:19" ht="17.5" thickBot="1" x14ac:dyDescent="0.65">
      <c r="A282" s="10" t="s">
        <v>599</v>
      </c>
      <c r="B282" s="9" t="s">
        <v>667</v>
      </c>
      <c r="C282" s="9" t="s">
        <v>668</v>
      </c>
      <c r="D282" s="9" t="s">
        <v>669</v>
      </c>
      <c r="E282" s="10" t="s">
        <v>694</v>
      </c>
      <c r="F282" s="10" t="s">
        <v>25</v>
      </c>
      <c r="G282" s="11">
        <v>648</v>
      </c>
      <c r="H282" s="11">
        <v>766</v>
      </c>
      <c r="I282" s="11">
        <v>1058</v>
      </c>
      <c r="J282" s="11">
        <v>909</v>
      </c>
      <c r="K282" s="11">
        <v>1365</v>
      </c>
      <c r="L282" s="11">
        <v>1070</v>
      </c>
      <c r="M282" s="11">
        <v>700</v>
      </c>
      <c r="N282" s="11">
        <v>679</v>
      </c>
      <c r="O282" s="11">
        <v>0</v>
      </c>
      <c r="P282" s="11">
        <v>0</v>
      </c>
      <c r="Q282" s="11">
        <v>0</v>
      </c>
      <c r="R282" s="11">
        <v>0</v>
      </c>
      <c r="S282" s="12">
        <v>7195</v>
      </c>
    </row>
    <row r="283" spans="1:19" ht="17.5" thickBot="1" x14ac:dyDescent="0.65">
      <c r="A283" s="10" t="s">
        <v>599</v>
      </c>
      <c r="B283" s="9" t="s">
        <v>667</v>
      </c>
      <c r="C283" s="9" t="s">
        <v>670</v>
      </c>
      <c r="D283" s="9" t="s">
        <v>671</v>
      </c>
      <c r="E283" s="10" t="s">
        <v>694</v>
      </c>
      <c r="F283" s="10" t="s">
        <v>25</v>
      </c>
      <c r="G283" s="11">
        <v>674</v>
      </c>
      <c r="H283" s="11">
        <v>911</v>
      </c>
      <c r="I283" s="11">
        <v>1055</v>
      </c>
      <c r="J283" s="11">
        <v>509</v>
      </c>
      <c r="K283" s="11">
        <v>710</v>
      </c>
      <c r="L283" s="11">
        <v>591</v>
      </c>
      <c r="M283" s="11">
        <v>578</v>
      </c>
      <c r="N283" s="11">
        <v>317</v>
      </c>
      <c r="O283" s="11">
        <v>0</v>
      </c>
      <c r="P283" s="11">
        <v>0</v>
      </c>
      <c r="Q283" s="11">
        <v>0</v>
      </c>
      <c r="R283" s="11">
        <v>0</v>
      </c>
      <c r="S283" s="12">
        <v>5345</v>
      </c>
    </row>
    <row r="284" spans="1:19" ht="17.5" thickBot="1" x14ac:dyDescent="0.65">
      <c r="A284" s="10" t="s">
        <v>599</v>
      </c>
      <c r="B284" s="9" t="s">
        <v>672</v>
      </c>
      <c r="C284" s="9" t="s">
        <v>673</v>
      </c>
      <c r="D284" s="9" t="s">
        <v>674</v>
      </c>
      <c r="E284" s="10" t="s">
        <v>694</v>
      </c>
      <c r="F284" s="10" t="s">
        <v>28</v>
      </c>
      <c r="G284" s="11">
        <v>310</v>
      </c>
      <c r="H284" s="11">
        <v>435</v>
      </c>
      <c r="I284" s="11">
        <v>541</v>
      </c>
      <c r="J284" s="11">
        <v>220</v>
      </c>
      <c r="K284" s="11">
        <v>127</v>
      </c>
      <c r="L284" s="11">
        <v>255</v>
      </c>
      <c r="M284" s="11">
        <v>459</v>
      </c>
      <c r="N284" s="11">
        <v>479</v>
      </c>
      <c r="O284" s="11">
        <v>0</v>
      </c>
      <c r="P284" s="11">
        <v>0</v>
      </c>
      <c r="Q284" s="11">
        <v>0</v>
      </c>
      <c r="R284" s="11">
        <v>0</v>
      </c>
      <c r="S284" s="12">
        <v>2826</v>
      </c>
    </row>
    <row r="285" spans="1:19" ht="17.5" thickBot="1" x14ac:dyDescent="0.65">
      <c r="A285" s="10" t="s">
        <v>599</v>
      </c>
      <c r="B285" s="9" t="s">
        <v>675</v>
      </c>
      <c r="C285" s="9" t="s">
        <v>676</v>
      </c>
      <c r="D285" s="9" t="s">
        <v>773</v>
      </c>
      <c r="E285" s="10" t="s">
        <v>695</v>
      </c>
      <c r="F285" s="10" t="s">
        <v>104</v>
      </c>
      <c r="G285" s="11">
        <v>710</v>
      </c>
      <c r="H285" s="11">
        <v>680</v>
      </c>
      <c r="I285" s="11">
        <v>1195</v>
      </c>
      <c r="J285" s="11">
        <v>784</v>
      </c>
      <c r="K285" s="11">
        <v>790</v>
      </c>
      <c r="L285" s="11">
        <v>763</v>
      </c>
      <c r="M285" s="11">
        <v>733</v>
      </c>
      <c r="N285" s="11">
        <v>601</v>
      </c>
      <c r="O285" s="11">
        <v>0</v>
      </c>
      <c r="P285" s="11">
        <v>0</v>
      </c>
      <c r="Q285" s="11">
        <v>0</v>
      </c>
      <c r="R285" s="11">
        <v>0</v>
      </c>
      <c r="S285" s="12">
        <v>6256</v>
      </c>
    </row>
    <row r="286" spans="1:19" ht="17.5" thickBot="1" x14ac:dyDescent="0.65">
      <c r="A286" s="10" t="s">
        <v>599</v>
      </c>
      <c r="B286" s="9" t="s">
        <v>677</v>
      </c>
      <c r="C286" s="9" t="s">
        <v>678</v>
      </c>
      <c r="D286" s="9" t="s">
        <v>679</v>
      </c>
      <c r="E286" s="10" t="s">
        <v>694</v>
      </c>
      <c r="F286" s="10" t="s">
        <v>21</v>
      </c>
      <c r="G286" s="11">
        <v>1779</v>
      </c>
      <c r="H286" s="11">
        <v>1175</v>
      </c>
      <c r="I286" s="11">
        <v>2567</v>
      </c>
      <c r="J286" s="11">
        <v>2072</v>
      </c>
      <c r="K286" s="11">
        <v>1883</v>
      </c>
      <c r="L286" s="11">
        <v>1745</v>
      </c>
      <c r="M286" s="11">
        <v>1046</v>
      </c>
      <c r="N286" s="11">
        <v>1992</v>
      </c>
      <c r="O286" s="11">
        <v>0</v>
      </c>
      <c r="P286" s="11">
        <v>0</v>
      </c>
      <c r="Q286" s="11">
        <v>0</v>
      </c>
      <c r="R286" s="11">
        <v>0</v>
      </c>
      <c r="S286" s="12">
        <v>14259</v>
      </c>
    </row>
    <row r="287" spans="1:19" ht="17.5" thickBot="1" x14ac:dyDescent="0.65">
      <c r="A287" s="10" t="s">
        <v>599</v>
      </c>
      <c r="B287" s="9" t="s">
        <v>680</v>
      </c>
      <c r="C287" s="9" t="s">
        <v>681</v>
      </c>
      <c r="D287" s="9" t="s">
        <v>682</v>
      </c>
      <c r="E287" s="10" t="s">
        <v>694</v>
      </c>
      <c r="F287" s="10" t="s">
        <v>25</v>
      </c>
      <c r="G287" s="11">
        <v>4375</v>
      </c>
      <c r="H287" s="11">
        <v>4308</v>
      </c>
      <c r="I287" s="11">
        <v>4700</v>
      </c>
      <c r="J287" s="11">
        <v>5317</v>
      </c>
      <c r="K287" s="11">
        <v>5062</v>
      </c>
      <c r="L287" s="11">
        <v>5921</v>
      </c>
      <c r="M287" s="11">
        <v>5535</v>
      </c>
      <c r="N287" s="11">
        <v>6197</v>
      </c>
      <c r="O287" s="11">
        <v>0</v>
      </c>
      <c r="P287" s="11">
        <v>0</v>
      </c>
      <c r="Q287" s="11">
        <v>0</v>
      </c>
      <c r="R287" s="11">
        <v>0</v>
      </c>
      <c r="S287" s="12">
        <v>41415</v>
      </c>
    </row>
    <row r="288" spans="1:19" ht="17.5" thickBot="1" x14ac:dyDescent="0.65">
      <c r="A288" s="10" t="s">
        <v>599</v>
      </c>
      <c r="B288" s="9" t="s">
        <v>680</v>
      </c>
      <c r="C288" s="9" t="s">
        <v>683</v>
      </c>
      <c r="D288" s="9" t="s">
        <v>684</v>
      </c>
      <c r="E288" s="10" t="s">
        <v>694</v>
      </c>
      <c r="F288" s="10" t="s">
        <v>25</v>
      </c>
      <c r="G288" s="11">
        <v>1423</v>
      </c>
      <c r="H288" s="11">
        <v>2328</v>
      </c>
      <c r="I288" s="11">
        <v>2255</v>
      </c>
      <c r="J288" s="11">
        <v>1478</v>
      </c>
      <c r="K288" s="11">
        <v>1092</v>
      </c>
      <c r="L288" s="11">
        <v>906</v>
      </c>
      <c r="M288" s="11">
        <v>1648</v>
      </c>
      <c r="N288" s="11">
        <v>1910</v>
      </c>
      <c r="O288" s="11">
        <v>0</v>
      </c>
      <c r="P288" s="11">
        <v>0</v>
      </c>
      <c r="Q288" s="11">
        <v>0</v>
      </c>
      <c r="R288" s="11">
        <v>0</v>
      </c>
      <c r="S288" s="12">
        <v>13040</v>
      </c>
    </row>
    <row r="289" spans="1:19" ht="17.5" thickBot="1" x14ac:dyDescent="0.65">
      <c r="A289" s="10" t="s">
        <v>599</v>
      </c>
      <c r="B289" s="9" t="s">
        <v>685</v>
      </c>
      <c r="C289" s="9" t="s">
        <v>686</v>
      </c>
      <c r="D289" s="9" t="s">
        <v>687</v>
      </c>
      <c r="E289" s="10" t="s">
        <v>694</v>
      </c>
      <c r="F289" s="10" t="s">
        <v>21</v>
      </c>
      <c r="G289" s="11">
        <v>1344</v>
      </c>
      <c r="H289" s="11">
        <v>1227</v>
      </c>
      <c r="I289" s="11">
        <v>1061</v>
      </c>
      <c r="J289" s="11">
        <v>1638</v>
      </c>
      <c r="K289" s="11">
        <v>2005</v>
      </c>
      <c r="L289" s="11">
        <v>1459</v>
      </c>
      <c r="M289" s="11">
        <v>1432</v>
      </c>
      <c r="N289" s="11">
        <v>1182</v>
      </c>
      <c r="O289" s="11">
        <v>0</v>
      </c>
      <c r="P289" s="11">
        <v>0</v>
      </c>
      <c r="Q289" s="11">
        <v>0</v>
      </c>
      <c r="R289" s="11">
        <v>0</v>
      </c>
      <c r="S289" s="12">
        <v>11348</v>
      </c>
    </row>
    <row r="290" spans="1:19" ht="17.5" thickBot="1" x14ac:dyDescent="0.65">
      <c r="A290" s="10" t="s">
        <v>599</v>
      </c>
      <c r="B290" s="9" t="s">
        <v>688</v>
      </c>
      <c r="C290" s="9" t="s">
        <v>689</v>
      </c>
      <c r="D290" s="8" t="s">
        <v>690</v>
      </c>
      <c r="E290" s="10" t="s">
        <v>694</v>
      </c>
      <c r="F290" s="10" t="s">
        <v>21</v>
      </c>
      <c r="G290" s="11">
        <v>1640</v>
      </c>
      <c r="H290" s="11">
        <v>1750</v>
      </c>
      <c r="I290" s="11">
        <v>1828</v>
      </c>
      <c r="J290" s="11">
        <v>2229</v>
      </c>
      <c r="K290" s="11">
        <v>1168</v>
      </c>
      <c r="L290" s="11">
        <v>1559</v>
      </c>
      <c r="M290" s="11">
        <v>1570</v>
      </c>
      <c r="N290" s="11">
        <v>1743</v>
      </c>
      <c r="O290" s="11">
        <v>0</v>
      </c>
      <c r="P290" s="11">
        <v>0</v>
      </c>
      <c r="Q290" s="11">
        <v>0</v>
      </c>
      <c r="R290" s="11">
        <v>0</v>
      </c>
      <c r="S290" s="12">
        <v>13487</v>
      </c>
    </row>
    <row r="291" spans="1:19" ht="17.5" thickBot="1" x14ac:dyDescent="0.65">
      <c r="A291" s="10" t="s">
        <v>599</v>
      </c>
      <c r="B291" s="9" t="s">
        <v>688</v>
      </c>
      <c r="C291" s="9" t="s">
        <v>691</v>
      </c>
      <c r="D291" s="8" t="s">
        <v>692</v>
      </c>
      <c r="E291" s="10" t="s">
        <v>694</v>
      </c>
      <c r="F291" s="10" t="s">
        <v>21</v>
      </c>
      <c r="G291" s="11">
        <v>138</v>
      </c>
      <c r="H291" s="11">
        <v>140</v>
      </c>
      <c r="I291" s="11">
        <v>45</v>
      </c>
      <c r="J291" s="11">
        <v>27</v>
      </c>
      <c r="K291" s="11">
        <v>37</v>
      </c>
      <c r="L291" s="11">
        <v>133</v>
      </c>
      <c r="M291" s="11">
        <v>68</v>
      </c>
      <c r="N291" s="11">
        <v>147</v>
      </c>
      <c r="O291" s="11">
        <v>0</v>
      </c>
      <c r="P291" s="11">
        <v>0</v>
      </c>
      <c r="Q291" s="11">
        <v>0</v>
      </c>
      <c r="R291" s="11">
        <v>0</v>
      </c>
      <c r="S291" s="12">
        <v>735</v>
      </c>
    </row>
  </sheetData>
  <autoFilter ref="A1:S291" xr:uid="{25E8A249-82BB-4A54-AEAA-EBE67F0FCF88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4295D-D9DC-4189-8D75-87D72D632F67}">
  <dimension ref="A1:S288"/>
  <sheetViews>
    <sheetView workbookViewId="0">
      <pane xSplit="6" ySplit="1" topLeftCell="K278" activePane="bottomRight" state="frozen"/>
      <selection pane="topRight" activeCell="L1" sqref="L1"/>
      <selection pane="bottomLeft" activeCell="A2" sqref="A2"/>
      <selection pane="bottomRight" activeCell="C293" sqref="C293"/>
    </sheetView>
  </sheetViews>
  <sheetFormatPr defaultRowHeight="17" x14ac:dyDescent="0.6"/>
  <cols>
    <col min="1" max="1" width="9.1796875" style="1" customWidth="1"/>
    <col min="2" max="2" width="28.08984375" style="19" customWidth="1"/>
    <col min="3" max="3" width="8.6328125" style="19" customWidth="1"/>
    <col min="4" max="4" width="25" style="19" customWidth="1"/>
    <col min="5" max="5" width="11.453125" style="2" bestFit="1" customWidth="1"/>
    <col min="6" max="6" width="6.08984375" style="2" bestFit="1" customWidth="1"/>
    <col min="7" max="7" width="7.6328125" style="6" customWidth="1"/>
    <col min="8" max="17" width="7.7265625" style="6" customWidth="1"/>
    <col min="18" max="18" width="9" style="6" bestFit="1" customWidth="1"/>
    <col min="19" max="19" width="11.08984375" style="6" bestFit="1" customWidth="1"/>
    <col min="20" max="16384" width="8.7265625" style="6"/>
  </cols>
  <sheetData>
    <row r="1" spans="1:19" ht="17.5" thickBot="1" x14ac:dyDescent="0.65">
      <c r="A1" s="4" t="s">
        <v>0</v>
      </c>
      <c r="B1" s="4" t="s">
        <v>710</v>
      </c>
      <c r="C1" s="4" t="s">
        <v>1</v>
      </c>
      <c r="D1" s="4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5" t="s">
        <v>17</v>
      </c>
    </row>
    <row r="2" spans="1:19" ht="17.5" thickBot="1" x14ac:dyDescent="0.65">
      <c r="A2" s="7" t="s">
        <v>18</v>
      </c>
      <c r="B2" s="8" t="s">
        <v>19</v>
      </c>
      <c r="C2" s="9" t="s">
        <v>20</v>
      </c>
      <c r="D2" s="20" t="s">
        <v>719</v>
      </c>
      <c r="E2" s="10" t="s">
        <v>695</v>
      </c>
      <c r="F2" s="10" t="s">
        <v>21</v>
      </c>
      <c r="G2" s="11">
        <v>3946</v>
      </c>
      <c r="H2" s="11">
        <v>2692</v>
      </c>
      <c r="I2" s="11">
        <v>2491</v>
      </c>
      <c r="J2" s="11">
        <v>2013</v>
      </c>
      <c r="K2" s="11">
        <v>2408</v>
      </c>
      <c r="L2" s="11">
        <v>2419</v>
      </c>
      <c r="M2" s="11">
        <v>2174</v>
      </c>
      <c r="N2" s="11">
        <v>2092</v>
      </c>
      <c r="O2" s="11">
        <v>0</v>
      </c>
      <c r="P2" s="11">
        <v>0</v>
      </c>
      <c r="Q2" s="11">
        <v>0</v>
      </c>
      <c r="R2" s="11">
        <v>0</v>
      </c>
      <c r="S2" s="12">
        <v>20235</v>
      </c>
    </row>
    <row r="3" spans="1:19" ht="17.5" thickBot="1" x14ac:dyDescent="0.65">
      <c r="A3" s="7" t="s">
        <v>18</v>
      </c>
      <c r="B3" s="9" t="s">
        <v>22</v>
      </c>
      <c r="C3" s="14" t="s">
        <v>23</v>
      </c>
      <c r="D3" s="20" t="s">
        <v>24</v>
      </c>
      <c r="E3" s="10" t="s">
        <v>695</v>
      </c>
      <c r="F3" s="10" t="s">
        <v>25</v>
      </c>
      <c r="G3" s="11">
        <v>1886</v>
      </c>
      <c r="H3" s="11">
        <v>1207</v>
      </c>
      <c r="I3" s="11">
        <v>2075</v>
      </c>
      <c r="J3" s="11">
        <v>1700</v>
      </c>
      <c r="K3" s="11">
        <v>1689</v>
      </c>
      <c r="L3" s="11">
        <v>2045</v>
      </c>
      <c r="M3" s="11">
        <v>1605</v>
      </c>
      <c r="N3" s="11">
        <v>2158</v>
      </c>
      <c r="O3" s="11">
        <v>0</v>
      </c>
      <c r="P3" s="11">
        <v>0</v>
      </c>
      <c r="Q3" s="11">
        <v>0</v>
      </c>
      <c r="R3" s="11">
        <v>0</v>
      </c>
      <c r="S3" s="12">
        <v>14365</v>
      </c>
    </row>
    <row r="4" spans="1:19" ht="17.5" thickBot="1" x14ac:dyDescent="0.65">
      <c r="A4" s="7" t="s">
        <v>18</v>
      </c>
      <c r="B4" s="9" t="s">
        <v>26</v>
      </c>
      <c r="C4" s="9" t="s">
        <v>27</v>
      </c>
      <c r="D4" s="20" t="s">
        <v>718</v>
      </c>
      <c r="E4" s="10" t="s">
        <v>695</v>
      </c>
      <c r="F4" s="10" t="s">
        <v>28</v>
      </c>
      <c r="G4" s="11">
        <v>559</v>
      </c>
      <c r="H4" s="11">
        <v>733</v>
      </c>
      <c r="I4" s="11">
        <v>801</v>
      </c>
      <c r="J4" s="11">
        <v>1027</v>
      </c>
      <c r="K4" s="11">
        <v>620</v>
      </c>
      <c r="L4" s="11">
        <v>877</v>
      </c>
      <c r="M4" s="11">
        <v>701</v>
      </c>
      <c r="N4" s="11">
        <v>899</v>
      </c>
      <c r="O4" s="11">
        <v>0</v>
      </c>
      <c r="P4" s="11">
        <v>0</v>
      </c>
      <c r="Q4" s="11">
        <v>0</v>
      </c>
      <c r="R4" s="11">
        <v>0</v>
      </c>
      <c r="S4" s="12">
        <v>6217</v>
      </c>
    </row>
    <row r="5" spans="1:19" ht="17.5" thickBot="1" x14ac:dyDescent="0.65">
      <c r="A5" s="7" t="s">
        <v>18</v>
      </c>
      <c r="B5" s="9" t="s">
        <v>29</v>
      </c>
      <c r="C5" s="9" t="s">
        <v>30</v>
      </c>
      <c r="D5" s="20" t="s">
        <v>31</v>
      </c>
      <c r="E5" s="10" t="s">
        <v>694</v>
      </c>
      <c r="F5" s="10" t="s">
        <v>25</v>
      </c>
      <c r="G5" s="11">
        <v>2318</v>
      </c>
      <c r="H5" s="11">
        <v>2141</v>
      </c>
      <c r="I5" s="11">
        <v>1983</v>
      </c>
      <c r="J5" s="11">
        <v>1644</v>
      </c>
      <c r="K5" s="11">
        <v>1679</v>
      </c>
      <c r="L5" s="11">
        <v>2885</v>
      </c>
      <c r="M5" s="11">
        <v>880</v>
      </c>
      <c r="N5" s="11">
        <v>1042</v>
      </c>
      <c r="O5" s="11">
        <v>0</v>
      </c>
      <c r="P5" s="11">
        <v>0</v>
      </c>
      <c r="Q5" s="11">
        <v>0</v>
      </c>
      <c r="R5" s="11">
        <v>0</v>
      </c>
      <c r="S5" s="12">
        <v>14572</v>
      </c>
    </row>
    <row r="6" spans="1:19" ht="17.5" thickBot="1" x14ac:dyDescent="0.65">
      <c r="A6" s="10" t="s">
        <v>32</v>
      </c>
      <c r="B6" s="9" t="s">
        <v>29</v>
      </c>
      <c r="C6" s="9" t="s">
        <v>33</v>
      </c>
      <c r="D6" s="20" t="s">
        <v>34</v>
      </c>
      <c r="E6" s="10" t="s">
        <v>694</v>
      </c>
      <c r="F6" s="10" t="s">
        <v>25</v>
      </c>
      <c r="G6" s="11">
        <v>1528</v>
      </c>
      <c r="H6" s="11">
        <v>1456</v>
      </c>
      <c r="I6" s="11">
        <v>1879</v>
      </c>
      <c r="J6" s="11">
        <v>1869</v>
      </c>
      <c r="K6" s="11">
        <v>1451</v>
      </c>
      <c r="L6" s="11">
        <v>2137</v>
      </c>
      <c r="M6" s="11">
        <v>2256</v>
      </c>
      <c r="N6" s="11">
        <v>2178</v>
      </c>
      <c r="O6" s="11">
        <v>0</v>
      </c>
      <c r="P6" s="11">
        <v>0</v>
      </c>
      <c r="Q6" s="11">
        <v>0</v>
      </c>
      <c r="R6" s="11">
        <v>0</v>
      </c>
      <c r="S6" s="12">
        <v>14754</v>
      </c>
    </row>
    <row r="7" spans="1:19" ht="17.5" thickBot="1" x14ac:dyDescent="0.65">
      <c r="A7" s="10" t="s">
        <v>32</v>
      </c>
      <c r="B7" s="9" t="s">
        <v>29</v>
      </c>
      <c r="C7" s="9" t="s">
        <v>35</v>
      </c>
      <c r="D7" s="20" t="s">
        <v>36</v>
      </c>
      <c r="E7" s="10" t="s">
        <v>694</v>
      </c>
      <c r="F7" s="10" t="s">
        <v>25</v>
      </c>
      <c r="G7" s="11">
        <v>1242</v>
      </c>
      <c r="H7" s="11">
        <v>2344</v>
      </c>
      <c r="I7" s="11">
        <v>2484</v>
      </c>
      <c r="J7" s="11">
        <v>2424</v>
      </c>
      <c r="K7" s="11">
        <v>2561</v>
      </c>
      <c r="L7" s="11">
        <v>1882</v>
      </c>
      <c r="M7" s="11">
        <v>2714</v>
      </c>
      <c r="N7" s="11">
        <v>3365</v>
      </c>
      <c r="O7" s="11">
        <v>0</v>
      </c>
      <c r="P7" s="11">
        <v>0</v>
      </c>
      <c r="Q7" s="11">
        <v>0</v>
      </c>
      <c r="R7" s="11">
        <v>0</v>
      </c>
      <c r="S7" s="12">
        <v>19016</v>
      </c>
    </row>
    <row r="8" spans="1:19" ht="17.5" thickBot="1" x14ac:dyDescent="0.65">
      <c r="A8" s="10" t="s">
        <v>32</v>
      </c>
      <c r="B8" s="9" t="s">
        <v>29</v>
      </c>
      <c r="C8" s="9" t="s">
        <v>37</v>
      </c>
      <c r="D8" s="20" t="s">
        <v>38</v>
      </c>
      <c r="E8" s="10" t="s">
        <v>694</v>
      </c>
      <c r="F8" s="10" t="s">
        <v>25</v>
      </c>
      <c r="G8" s="11">
        <v>2146</v>
      </c>
      <c r="H8" s="11">
        <v>2210</v>
      </c>
      <c r="I8" s="11">
        <v>1959</v>
      </c>
      <c r="J8" s="11">
        <v>934</v>
      </c>
      <c r="K8" s="11">
        <v>618</v>
      </c>
      <c r="L8" s="11">
        <v>721</v>
      </c>
      <c r="M8" s="11">
        <v>889</v>
      </c>
      <c r="N8" s="11">
        <v>572</v>
      </c>
      <c r="O8" s="11">
        <v>0</v>
      </c>
      <c r="P8" s="11">
        <v>0</v>
      </c>
      <c r="Q8" s="11">
        <v>0</v>
      </c>
      <c r="R8" s="11">
        <v>0</v>
      </c>
      <c r="S8" s="12">
        <v>10049</v>
      </c>
    </row>
    <row r="9" spans="1:19" ht="17.5" thickBot="1" x14ac:dyDescent="0.65">
      <c r="A9" s="10" t="s">
        <v>32</v>
      </c>
      <c r="B9" s="9" t="s">
        <v>29</v>
      </c>
      <c r="C9" s="9" t="s">
        <v>39</v>
      </c>
      <c r="D9" s="20" t="s">
        <v>40</v>
      </c>
      <c r="E9" s="10" t="s">
        <v>694</v>
      </c>
      <c r="F9" s="10" t="s">
        <v>25</v>
      </c>
      <c r="G9" s="11">
        <v>236</v>
      </c>
      <c r="H9" s="11">
        <v>791</v>
      </c>
      <c r="I9" s="11">
        <v>712</v>
      </c>
      <c r="J9" s="11">
        <v>322</v>
      </c>
      <c r="K9" s="11">
        <v>886</v>
      </c>
      <c r="L9" s="11">
        <v>747</v>
      </c>
      <c r="M9" s="11">
        <v>689</v>
      </c>
      <c r="N9" s="11">
        <v>488</v>
      </c>
      <c r="O9" s="11">
        <v>0</v>
      </c>
      <c r="P9" s="11">
        <v>0</v>
      </c>
      <c r="Q9" s="11">
        <v>0</v>
      </c>
      <c r="R9" s="11">
        <v>0</v>
      </c>
      <c r="S9" s="12">
        <v>4871</v>
      </c>
    </row>
    <row r="10" spans="1:19" ht="17.5" thickBot="1" x14ac:dyDescent="0.65">
      <c r="A10" s="10" t="s">
        <v>32</v>
      </c>
      <c r="B10" s="9" t="s">
        <v>41</v>
      </c>
      <c r="C10" s="9" t="s">
        <v>42</v>
      </c>
      <c r="D10" s="20" t="s">
        <v>43</v>
      </c>
      <c r="E10" s="10" t="s">
        <v>694</v>
      </c>
      <c r="F10" s="10" t="s">
        <v>28</v>
      </c>
      <c r="G10" s="11">
        <v>444</v>
      </c>
      <c r="H10" s="11">
        <v>666</v>
      </c>
      <c r="I10" s="11">
        <v>1287</v>
      </c>
      <c r="J10" s="11">
        <v>1136</v>
      </c>
      <c r="K10" s="11">
        <v>948</v>
      </c>
      <c r="L10" s="11">
        <v>1074</v>
      </c>
      <c r="M10" s="11">
        <v>1277</v>
      </c>
      <c r="N10" s="11">
        <v>775</v>
      </c>
      <c r="O10" s="11">
        <v>0</v>
      </c>
      <c r="P10" s="11">
        <v>0</v>
      </c>
      <c r="Q10" s="11">
        <v>0</v>
      </c>
      <c r="R10" s="11">
        <v>0</v>
      </c>
      <c r="S10" s="12">
        <v>7607</v>
      </c>
    </row>
    <row r="11" spans="1:19" ht="17.5" thickBot="1" x14ac:dyDescent="0.65">
      <c r="A11" s="10" t="s">
        <v>32</v>
      </c>
      <c r="B11" s="9" t="s">
        <v>44</v>
      </c>
      <c r="C11" s="9" t="s">
        <v>45</v>
      </c>
      <c r="D11" s="20" t="s">
        <v>46</v>
      </c>
      <c r="E11" s="10" t="s">
        <v>694</v>
      </c>
      <c r="F11" s="10" t="s">
        <v>21</v>
      </c>
      <c r="G11" s="11">
        <v>2113</v>
      </c>
      <c r="H11" s="11">
        <v>2854</v>
      </c>
      <c r="I11" s="11">
        <v>2292</v>
      </c>
      <c r="J11" s="11">
        <v>1312</v>
      </c>
      <c r="K11" s="11">
        <v>1908</v>
      </c>
      <c r="L11" s="11">
        <v>1856</v>
      </c>
      <c r="M11" s="11">
        <v>2071</v>
      </c>
      <c r="N11" s="11">
        <v>1800</v>
      </c>
      <c r="O11" s="11">
        <v>0</v>
      </c>
      <c r="P11" s="11">
        <v>0</v>
      </c>
      <c r="Q11" s="11">
        <v>0</v>
      </c>
      <c r="R11" s="11">
        <v>0</v>
      </c>
      <c r="S11" s="12">
        <v>16206</v>
      </c>
    </row>
    <row r="12" spans="1:19" ht="17.5" thickBot="1" x14ac:dyDescent="0.65">
      <c r="A12" s="10" t="s">
        <v>32</v>
      </c>
      <c r="B12" s="9" t="s">
        <v>47</v>
      </c>
      <c r="C12" s="9" t="s">
        <v>48</v>
      </c>
      <c r="D12" s="20" t="s">
        <v>49</v>
      </c>
      <c r="E12" s="10" t="s">
        <v>694</v>
      </c>
      <c r="F12" s="10" t="s">
        <v>21</v>
      </c>
      <c r="G12" s="11">
        <v>1724</v>
      </c>
      <c r="H12" s="11">
        <v>1691</v>
      </c>
      <c r="I12" s="11">
        <v>2662</v>
      </c>
      <c r="J12" s="11">
        <v>1374</v>
      </c>
      <c r="K12" s="11">
        <v>1511</v>
      </c>
      <c r="L12" s="11">
        <v>1721</v>
      </c>
      <c r="M12" s="11">
        <v>2317</v>
      </c>
      <c r="N12" s="11">
        <v>2136</v>
      </c>
      <c r="O12" s="11">
        <v>0</v>
      </c>
      <c r="P12" s="11">
        <v>0</v>
      </c>
      <c r="Q12" s="11">
        <v>0</v>
      </c>
      <c r="R12" s="11">
        <v>0</v>
      </c>
      <c r="S12" s="12">
        <v>15136</v>
      </c>
    </row>
    <row r="13" spans="1:19" ht="17.5" thickBot="1" x14ac:dyDescent="0.65">
      <c r="A13" s="10" t="s">
        <v>32</v>
      </c>
      <c r="B13" s="9" t="s">
        <v>47</v>
      </c>
      <c r="C13" s="9" t="s">
        <v>50</v>
      </c>
      <c r="D13" s="20" t="s">
        <v>51</v>
      </c>
      <c r="E13" s="10" t="s">
        <v>694</v>
      </c>
      <c r="F13" s="10" t="s">
        <v>21</v>
      </c>
      <c r="G13" s="11">
        <v>336</v>
      </c>
      <c r="H13" s="11">
        <v>341</v>
      </c>
      <c r="I13" s="11">
        <v>575</v>
      </c>
      <c r="J13" s="11">
        <v>1262</v>
      </c>
      <c r="K13" s="11">
        <v>130</v>
      </c>
      <c r="L13" s="11">
        <v>997</v>
      </c>
      <c r="M13" s="11">
        <v>496</v>
      </c>
      <c r="N13" s="11">
        <v>377</v>
      </c>
      <c r="O13" s="11">
        <v>0</v>
      </c>
      <c r="P13" s="11">
        <v>0</v>
      </c>
      <c r="Q13" s="11">
        <v>0</v>
      </c>
      <c r="R13" s="11">
        <v>0</v>
      </c>
      <c r="S13" s="12">
        <v>4514</v>
      </c>
    </row>
    <row r="14" spans="1:19" ht="17.5" thickBot="1" x14ac:dyDescent="0.65">
      <c r="A14" s="10" t="s">
        <v>32</v>
      </c>
      <c r="B14" s="9" t="s">
        <v>52</v>
      </c>
      <c r="C14" s="9" t="s">
        <v>53</v>
      </c>
      <c r="D14" s="20" t="s">
        <v>54</v>
      </c>
      <c r="E14" s="10" t="s">
        <v>694</v>
      </c>
      <c r="F14" s="10" t="s">
        <v>21</v>
      </c>
      <c r="G14" s="11">
        <v>5741</v>
      </c>
      <c r="H14" s="11">
        <v>6019</v>
      </c>
      <c r="I14" s="11">
        <v>6542</v>
      </c>
      <c r="J14" s="11">
        <v>4519</v>
      </c>
      <c r="K14" s="11">
        <v>5873</v>
      </c>
      <c r="L14" s="11">
        <v>5828</v>
      </c>
      <c r="M14" s="11">
        <v>5484</v>
      </c>
      <c r="N14" s="11">
        <v>6524</v>
      </c>
      <c r="O14" s="11">
        <v>0</v>
      </c>
      <c r="P14" s="11">
        <v>0</v>
      </c>
      <c r="Q14" s="11">
        <v>0</v>
      </c>
      <c r="R14" s="11">
        <v>0</v>
      </c>
      <c r="S14" s="12">
        <v>46530</v>
      </c>
    </row>
    <row r="15" spans="1:19" ht="17.5" thickBot="1" x14ac:dyDescent="0.65">
      <c r="A15" s="10" t="s">
        <v>32</v>
      </c>
      <c r="B15" s="9" t="s">
        <v>52</v>
      </c>
      <c r="C15" s="9" t="s">
        <v>55</v>
      </c>
      <c r="D15" s="20" t="s">
        <v>56</v>
      </c>
      <c r="E15" s="10" t="s">
        <v>694</v>
      </c>
      <c r="F15" s="10" t="s">
        <v>21</v>
      </c>
      <c r="G15" s="11">
        <v>539</v>
      </c>
      <c r="H15" s="11">
        <v>944</v>
      </c>
      <c r="I15" s="11">
        <v>907</v>
      </c>
      <c r="J15" s="11">
        <v>473</v>
      </c>
      <c r="K15" s="11">
        <v>727</v>
      </c>
      <c r="L15" s="11">
        <v>412</v>
      </c>
      <c r="M15" s="11">
        <v>207</v>
      </c>
      <c r="N15" s="11">
        <v>143</v>
      </c>
      <c r="O15" s="11">
        <v>0</v>
      </c>
      <c r="P15" s="11">
        <v>0</v>
      </c>
      <c r="Q15" s="11">
        <v>0</v>
      </c>
      <c r="R15" s="11">
        <v>0</v>
      </c>
      <c r="S15" s="12">
        <v>4352</v>
      </c>
    </row>
    <row r="16" spans="1:19" ht="17.5" thickBot="1" x14ac:dyDescent="0.65">
      <c r="A16" s="10" t="s">
        <v>32</v>
      </c>
      <c r="B16" s="9" t="s">
        <v>52</v>
      </c>
      <c r="C16" s="9" t="s">
        <v>57</v>
      </c>
      <c r="D16" s="20" t="s">
        <v>58</v>
      </c>
      <c r="E16" s="10" t="s">
        <v>694</v>
      </c>
      <c r="F16" s="10" t="s">
        <v>21</v>
      </c>
      <c r="G16" s="11">
        <v>5087</v>
      </c>
      <c r="H16" s="11">
        <v>5678</v>
      </c>
      <c r="I16" s="11">
        <v>5559</v>
      </c>
      <c r="J16" s="11">
        <v>4336</v>
      </c>
      <c r="K16" s="11">
        <v>6371</v>
      </c>
      <c r="L16" s="11">
        <v>5670</v>
      </c>
      <c r="M16" s="11">
        <v>5290</v>
      </c>
      <c r="N16" s="11">
        <v>6303</v>
      </c>
      <c r="O16" s="11">
        <v>0</v>
      </c>
      <c r="P16" s="11">
        <v>0</v>
      </c>
      <c r="Q16" s="11">
        <v>0</v>
      </c>
      <c r="R16" s="11">
        <v>0</v>
      </c>
      <c r="S16" s="12">
        <v>44294</v>
      </c>
    </row>
    <row r="17" spans="1:19" ht="17.5" thickBot="1" x14ac:dyDescent="0.65">
      <c r="A17" s="10" t="s">
        <v>32</v>
      </c>
      <c r="B17" s="9" t="s">
        <v>52</v>
      </c>
      <c r="C17" s="9" t="s">
        <v>59</v>
      </c>
      <c r="D17" s="20" t="s">
        <v>60</v>
      </c>
      <c r="E17" s="10" t="s">
        <v>694</v>
      </c>
      <c r="F17" s="10" t="s">
        <v>21</v>
      </c>
      <c r="G17" s="11">
        <v>3312</v>
      </c>
      <c r="H17" s="11">
        <v>3977</v>
      </c>
      <c r="I17" s="11">
        <v>3600</v>
      </c>
      <c r="J17" s="11">
        <v>2618</v>
      </c>
      <c r="K17" s="11">
        <v>2527</v>
      </c>
      <c r="L17" s="11">
        <v>3558</v>
      </c>
      <c r="M17" s="11">
        <v>3111</v>
      </c>
      <c r="N17" s="11">
        <v>3725</v>
      </c>
      <c r="O17" s="11">
        <v>0</v>
      </c>
      <c r="P17" s="11">
        <v>0</v>
      </c>
      <c r="Q17" s="11">
        <v>0</v>
      </c>
      <c r="R17" s="11">
        <v>0</v>
      </c>
      <c r="S17" s="12">
        <v>26428</v>
      </c>
    </row>
    <row r="18" spans="1:19" ht="17.5" thickBot="1" x14ac:dyDescent="0.65">
      <c r="A18" s="10" t="s">
        <v>32</v>
      </c>
      <c r="B18" s="9" t="s">
        <v>61</v>
      </c>
      <c r="C18" s="9" t="s">
        <v>62</v>
      </c>
      <c r="D18" s="20" t="s">
        <v>63</v>
      </c>
      <c r="E18" s="10" t="s">
        <v>694</v>
      </c>
      <c r="F18" s="10" t="s">
        <v>25</v>
      </c>
      <c r="G18" s="11">
        <v>2600</v>
      </c>
      <c r="H18" s="11">
        <v>4401</v>
      </c>
      <c r="I18" s="11">
        <v>6278</v>
      </c>
      <c r="J18" s="11">
        <v>6424</v>
      </c>
      <c r="K18" s="11">
        <v>2823</v>
      </c>
      <c r="L18" s="11">
        <v>3954</v>
      </c>
      <c r="M18" s="11">
        <v>2618</v>
      </c>
      <c r="N18" s="11">
        <v>4397</v>
      </c>
      <c r="O18" s="11">
        <v>0</v>
      </c>
      <c r="P18" s="11">
        <v>0</v>
      </c>
      <c r="Q18" s="11">
        <v>0</v>
      </c>
      <c r="R18" s="11">
        <v>0</v>
      </c>
      <c r="S18" s="12">
        <v>33495</v>
      </c>
    </row>
    <row r="19" spans="1:19" ht="17.5" thickBot="1" x14ac:dyDescent="0.65">
      <c r="A19" s="10" t="s">
        <v>32</v>
      </c>
      <c r="B19" s="9" t="s">
        <v>61</v>
      </c>
      <c r="C19" s="9" t="s">
        <v>64</v>
      </c>
      <c r="D19" s="20" t="s">
        <v>65</v>
      </c>
      <c r="E19" s="10" t="s">
        <v>694</v>
      </c>
      <c r="F19" s="10" t="s">
        <v>25</v>
      </c>
      <c r="G19" s="11">
        <v>3541</v>
      </c>
      <c r="H19" s="11">
        <v>2773</v>
      </c>
      <c r="I19" s="11">
        <v>3595</v>
      </c>
      <c r="J19" s="11">
        <v>3479</v>
      </c>
      <c r="K19" s="11">
        <v>3515</v>
      </c>
      <c r="L19" s="11">
        <v>3740</v>
      </c>
      <c r="M19" s="11">
        <v>3897</v>
      </c>
      <c r="N19" s="11">
        <v>2899</v>
      </c>
      <c r="O19" s="11">
        <v>0</v>
      </c>
      <c r="P19" s="11">
        <v>0</v>
      </c>
      <c r="Q19" s="11">
        <v>0</v>
      </c>
      <c r="R19" s="11">
        <v>0</v>
      </c>
      <c r="S19" s="12">
        <v>27439</v>
      </c>
    </row>
    <row r="20" spans="1:19" ht="17.5" thickBot="1" x14ac:dyDescent="0.65">
      <c r="A20" s="10" t="s">
        <v>32</v>
      </c>
      <c r="B20" s="9" t="s">
        <v>66</v>
      </c>
      <c r="C20" s="9" t="s">
        <v>67</v>
      </c>
      <c r="D20" s="20" t="s">
        <v>68</v>
      </c>
      <c r="E20" s="10" t="s">
        <v>694</v>
      </c>
      <c r="F20" s="10" t="s">
        <v>25</v>
      </c>
      <c r="G20" s="11">
        <v>7086</v>
      </c>
      <c r="H20" s="11">
        <v>5733</v>
      </c>
      <c r="I20" s="11">
        <v>7094</v>
      </c>
      <c r="J20" s="11">
        <v>6637</v>
      </c>
      <c r="K20" s="11">
        <v>7243</v>
      </c>
      <c r="L20" s="11">
        <v>7541</v>
      </c>
      <c r="M20" s="11">
        <v>7977</v>
      </c>
      <c r="N20" s="11">
        <v>7868</v>
      </c>
      <c r="O20" s="11">
        <v>0</v>
      </c>
      <c r="P20" s="11">
        <v>0</v>
      </c>
      <c r="Q20" s="11">
        <v>0</v>
      </c>
      <c r="R20" s="11">
        <v>0</v>
      </c>
      <c r="S20" s="12">
        <v>57179</v>
      </c>
    </row>
    <row r="21" spans="1:19" ht="17.5" thickBot="1" x14ac:dyDescent="0.65">
      <c r="A21" s="10" t="s">
        <v>32</v>
      </c>
      <c r="B21" s="9" t="s">
        <v>66</v>
      </c>
      <c r="C21" s="9" t="s">
        <v>69</v>
      </c>
      <c r="D21" s="20" t="s">
        <v>70</v>
      </c>
      <c r="E21" s="10" t="s">
        <v>694</v>
      </c>
      <c r="F21" s="10" t="s">
        <v>25</v>
      </c>
      <c r="G21" s="11">
        <v>2376</v>
      </c>
      <c r="H21" s="11">
        <v>1658</v>
      </c>
      <c r="I21" s="11">
        <v>2976</v>
      </c>
      <c r="J21" s="11">
        <v>1897</v>
      </c>
      <c r="K21" s="11">
        <v>3626</v>
      </c>
      <c r="L21" s="11">
        <v>5539</v>
      </c>
      <c r="M21" s="11">
        <v>4553</v>
      </c>
      <c r="N21" s="11">
        <v>3198</v>
      </c>
      <c r="O21" s="11">
        <v>0</v>
      </c>
      <c r="P21" s="11">
        <v>0</v>
      </c>
      <c r="Q21" s="11">
        <v>0</v>
      </c>
      <c r="R21" s="11">
        <v>0</v>
      </c>
      <c r="S21" s="12">
        <v>25823</v>
      </c>
    </row>
    <row r="22" spans="1:19" ht="17.5" thickBot="1" x14ac:dyDescent="0.65">
      <c r="A22" s="10" t="s">
        <v>32</v>
      </c>
      <c r="B22" s="9" t="s">
        <v>66</v>
      </c>
      <c r="C22" s="9" t="s">
        <v>71</v>
      </c>
      <c r="D22" s="20" t="s">
        <v>72</v>
      </c>
      <c r="E22" s="10" t="s">
        <v>694</v>
      </c>
      <c r="F22" s="10" t="s">
        <v>25</v>
      </c>
      <c r="G22" s="11">
        <v>7010</v>
      </c>
      <c r="H22" s="11">
        <v>4957</v>
      </c>
      <c r="I22" s="11">
        <v>6939</v>
      </c>
      <c r="J22" s="11">
        <v>5762</v>
      </c>
      <c r="K22" s="11">
        <v>4388</v>
      </c>
      <c r="L22" s="11">
        <v>4066</v>
      </c>
      <c r="M22" s="11">
        <v>5500</v>
      </c>
      <c r="N22" s="11">
        <v>3700</v>
      </c>
      <c r="O22" s="11">
        <v>0</v>
      </c>
      <c r="P22" s="11">
        <v>0</v>
      </c>
      <c r="Q22" s="11">
        <v>0</v>
      </c>
      <c r="R22" s="11">
        <v>0</v>
      </c>
      <c r="S22" s="12">
        <v>42322</v>
      </c>
    </row>
    <row r="23" spans="1:19" ht="17.5" thickBot="1" x14ac:dyDescent="0.65">
      <c r="A23" s="10" t="s">
        <v>32</v>
      </c>
      <c r="B23" s="9" t="s">
        <v>66</v>
      </c>
      <c r="C23" s="9" t="s">
        <v>73</v>
      </c>
      <c r="D23" s="20" t="s">
        <v>74</v>
      </c>
      <c r="E23" s="10" t="s">
        <v>694</v>
      </c>
      <c r="F23" s="10" t="s">
        <v>25</v>
      </c>
      <c r="G23" s="11">
        <v>4943</v>
      </c>
      <c r="H23" s="11">
        <v>3980</v>
      </c>
      <c r="I23" s="11">
        <v>4543</v>
      </c>
      <c r="J23" s="11">
        <v>5514</v>
      </c>
      <c r="K23" s="11">
        <v>5255</v>
      </c>
      <c r="L23" s="11">
        <v>5674</v>
      </c>
      <c r="M23" s="11">
        <v>6818</v>
      </c>
      <c r="N23" s="11">
        <v>6471</v>
      </c>
      <c r="O23" s="11">
        <v>0</v>
      </c>
      <c r="P23" s="11">
        <v>0</v>
      </c>
      <c r="Q23" s="11">
        <v>0</v>
      </c>
      <c r="R23" s="11">
        <v>0</v>
      </c>
      <c r="S23" s="12">
        <v>43198</v>
      </c>
    </row>
    <row r="24" spans="1:19" ht="17.5" thickBot="1" x14ac:dyDescent="0.65">
      <c r="A24" s="10" t="s">
        <v>32</v>
      </c>
      <c r="B24" s="9" t="s">
        <v>66</v>
      </c>
      <c r="C24" s="9" t="s">
        <v>75</v>
      </c>
      <c r="D24" s="20" t="s">
        <v>76</v>
      </c>
      <c r="E24" s="10" t="s">
        <v>694</v>
      </c>
      <c r="F24" s="10" t="s">
        <v>25</v>
      </c>
      <c r="G24" s="11">
        <v>1496</v>
      </c>
      <c r="H24" s="11">
        <v>1595</v>
      </c>
      <c r="I24" s="11">
        <v>1368</v>
      </c>
      <c r="J24" s="11">
        <v>1216</v>
      </c>
      <c r="K24" s="11">
        <v>1197</v>
      </c>
      <c r="L24" s="11">
        <v>954</v>
      </c>
      <c r="M24" s="11">
        <v>880</v>
      </c>
      <c r="N24" s="11">
        <v>1161</v>
      </c>
      <c r="O24" s="11">
        <v>0</v>
      </c>
      <c r="P24" s="11">
        <v>0</v>
      </c>
      <c r="Q24" s="11">
        <v>0</v>
      </c>
      <c r="R24" s="11">
        <v>0</v>
      </c>
      <c r="S24" s="12">
        <v>9867</v>
      </c>
    </row>
    <row r="25" spans="1:19" ht="17.5" thickBot="1" x14ac:dyDescent="0.65">
      <c r="A25" s="10" t="s">
        <v>32</v>
      </c>
      <c r="B25" s="9" t="s">
        <v>66</v>
      </c>
      <c r="C25" s="9" t="s">
        <v>77</v>
      </c>
      <c r="D25" s="20" t="s">
        <v>78</v>
      </c>
      <c r="E25" s="10" t="s">
        <v>694</v>
      </c>
      <c r="F25" s="10" t="s">
        <v>25</v>
      </c>
      <c r="G25" s="11">
        <v>3391</v>
      </c>
      <c r="H25" s="11">
        <v>1659</v>
      </c>
      <c r="I25" s="11">
        <v>2503</v>
      </c>
      <c r="J25" s="11">
        <v>2103</v>
      </c>
      <c r="K25" s="11">
        <v>2353</v>
      </c>
      <c r="L25" s="11">
        <v>4483</v>
      </c>
      <c r="M25" s="11">
        <v>4906</v>
      </c>
      <c r="N25" s="11">
        <v>3419</v>
      </c>
      <c r="O25" s="11">
        <v>0</v>
      </c>
      <c r="P25" s="11">
        <v>0</v>
      </c>
      <c r="Q25" s="11">
        <v>0</v>
      </c>
      <c r="R25" s="11">
        <v>0</v>
      </c>
      <c r="S25" s="12">
        <v>24817</v>
      </c>
    </row>
    <row r="26" spans="1:19" ht="17.5" thickBot="1" x14ac:dyDescent="0.65">
      <c r="A26" s="10" t="s">
        <v>32</v>
      </c>
      <c r="B26" s="9" t="s">
        <v>66</v>
      </c>
      <c r="C26" s="9" t="s">
        <v>79</v>
      </c>
      <c r="D26" s="20" t="s">
        <v>80</v>
      </c>
      <c r="E26" s="10" t="s">
        <v>694</v>
      </c>
      <c r="F26" s="10" t="s">
        <v>25</v>
      </c>
      <c r="G26" s="11">
        <v>3870</v>
      </c>
      <c r="H26" s="11">
        <v>4438</v>
      </c>
      <c r="I26" s="11">
        <v>7831</v>
      </c>
      <c r="J26" s="11">
        <v>6427</v>
      </c>
      <c r="K26" s="11">
        <v>2392</v>
      </c>
      <c r="L26" s="11">
        <v>5159</v>
      </c>
      <c r="M26" s="11">
        <v>1649</v>
      </c>
      <c r="N26" s="11">
        <v>1585</v>
      </c>
      <c r="O26" s="11">
        <v>0</v>
      </c>
      <c r="P26" s="11">
        <v>0</v>
      </c>
      <c r="Q26" s="11">
        <v>0</v>
      </c>
      <c r="R26" s="11">
        <v>0</v>
      </c>
      <c r="S26" s="12">
        <v>33351</v>
      </c>
    </row>
    <row r="27" spans="1:19" ht="17.5" thickBot="1" x14ac:dyDescent="0.65">
      <c r="A27" s="10" t="s">
        <v>32</v>
      </c>
      <c r="B27" s="9" t="s">
        <v>66</v>
      </c>
      <c r="C27" s="9" t="s">
        <v>81</v>
      </c>
      <c r="D27" s="20" t="s">
        <v>82</v>
      </c>
      <c r="E27" s="10" t="s">
        <v>694</v>
      </c>
      <c r="F27" s="10" t="s">
        <v>25</v>
      </c>
      <c r="G27" s="11">
        <v>0</v>
      </c>
      <c r="H27" s="11">
        <v>1026</v>
      </c>
      <c r="I27" s="11">
        <v>3485</v>
      </c>
      <c r="J27" s="11">
        <v>4161</v>
      </c>
      <c r="K27" s="11">
        <v>3780</v>
      </c>
      <c r="L27" s="11">
        <v>4774</v>
      </c>
      <c r="M27" s="11">
        <v>4993</v>
      </c>
      <c r="N27" s="11">
        <v>4325</v>
      </c>
      <c r="O27" s="11">
        <v>0</v>
      </c>
      <c r="P27" s="11">
        <v>0</v>
      </c>
      <c r="Q27" s="11">
        <v>0</v>
      </c>
      <c r="R27" s="11">
        <v>0</v>
      </c>
      <c r="S27" s="12">
        <v>26544</v>
      </c>
    </row>
    <row r="28" spans="1:19" ht="17.5" thickBot="1" x14ac:dyDescent="0.65">
      <c r="A28" s="10" t="s">
        <v>32</v>
      </c>
      <c r="B28" s="9" t="s">
        <v>66</v>
      </c>
      <c r="C28" s="9" t="s">
        <v>83</v>
      </c>
      <c r="D28" s="20" t="s">
        <v>84</v>
      </c>
      <c r="E28" s="10" t="s">
        <v>694</v>
      </c>
      <c r="F28" s="10" t="s">
        <v>25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2">
        <v>0</v>
      </c>
    </row>
    <row r="29" spans="1:19" ht="17.5" thickBot="1" x14ac:dyDescent="0.65">
      <c r="A29" s="10" t="s">
        <v>32</v>
      </c>
      <c r="B29" s="9" t="s">
        <v>85</v>
      </c>
      <c r="C29" s="9" t="s">
        <v>86</v>
      </c>
      <c r="D29" s="20" t="s">
        <v>87</v>
      </c>
      <c r="E29" s="10" t="s">
        <v>694</v>
      </c>
      <c r="F29" s="10" t="s">
        <v>21</v>
      </c>
      <c r="G29" s="11">
        <v>3617</v>
      </c>
      <c r="H29" s="11">
        <v>2384</v>
      </c>
      <c r="I29" s="11">
        <v>1959</v>
      </c>
      <c r="J29" s="11">
        <v>2514</v>
      </c>
      <c r="K29" s="11">
        <v>3182</v>
      </c>
      <c r="L29" s="11">
        <v>3097</v>
      </c>
      <c r="M29" s="11">
        <v>3713</v>
      </c>
      <c r="N29" s="11">
        <v>2266</v>
      </c>
      <c r="O29" s="11">
        <v>0</v>
      </c>
      <c r="P29" s="11">
        <v>0</v>
      </c>
      <c r="Q29" s="11">
        <v>0</v>
      </c>
      <c r="R29" s="11">
        <v>0</v>
      </c>
      <c r="S29" s="12">
        <v>22732</v>
      </c>
    </row>
    <row r="30" spans="1:19" ht="17.5" thickBot="1" x14ac:dyDescent="0.65">
      <c r="A30" s="10" t="s">
        <v>32</v>
      </c>
      <c r="B30" s="9" t="s">
        <v>85</v>
      </c>
      <c r="C30" s="9" t="s">
        <v>88</v>
      </c>
      <c r="D30" s="20" t="s">
        <v>89</v>
      </c>
      <c r="E30" s="10" t="s">
        <v>694</v>
      </c>
      <c r="F30" s="10" t="s">
        <v>21</v>
      </c>
      <c r="G30" s="11">
        <v>3643</v>
      </c>
      <c r="H30" s="11">
        <v>2089</v>
      </c>
      <c r="I30" s="11">
        <v>2186</v>
      </c>
      <c r="J30" s="11">
        <v>1718</v>
      </c>
      <c r="K30" s="11">
        <v>2778</v>
      </c>
      <c r="L30" s="11">
        <v>2105</v>
      </c>
      <c r="M30" s="11">
        <v>2837</v>
      </c>
      <c r="N30" s="11">
        <v>2230</v>
      </c>
      <c r="O30" s="11">
        <v>0</v>
      </c>
      <c r="P30" s="11">
        <v>0</v>
      </c>
      <c r="Q30" s="11">
        <v>0</v>
      </c>
      <c r="R30" s="11">
        <v>0</v>
      </c>
      <c r="S30" s="12">
        <v>19586</v>
      </c>
    </row>
    <row r="31" spans="1:19" ht="17.5" thickBot="1" x14ac:dyDescent="0.65">
      <c r="A31" s="10" t="s">
        <v>32</v>
      </c>
      <c r="B31" s="9" t="s">
        <v>90</v>
      </c>
      <c r="C31" s="9" t="s">
        <v>91</v>
      </c>
      <c r="D31" s="20" t="s">
        <v>92</v>
      </c>
      <c r="E31" s="10" t="s">
        <v>694</v>
      </c>
      <c r="F31" s="10" t="s">
        <v>25</v>
      </c>
      <c r="G31" s="11">
        <v>3303</v>
      </c>
      <c r="H31" s="11">
        <v>3162</v>
      </c>
      <c r="I31" s="11">
        <v>2766</v>
      </c>
      <c r="J31" s="11">
        <v>1763</v>
      </c>
      <c r="K31" s="11">
        <v>2626</v>
      </c>
      <c r="L31" s="11">
        <v>2508</v>
      </c>
      <c r="M31" s="11">
        <v>2215</v>
      </c>
      <c r="N31" s="11">
        <v>2722</v>
      </c>
      <c r="O31" s="11">
        <v>0</v>
      </c>
      <c r="P31" s="11">
        <v>0</v>
      </c>
      <c r="Q31" s="11">
        <v>0</v>
      </c>
      <c r="R31" s="11">
        <v>0</v>
      </c>
      <c r="S31" s="12">
        <v>21065</v>
      </c>
    </row>
    <row r="32" spans="1:19" ht="17.5" thickBot="1" x14ac:dyDescent="0.65">
      <c r="A32" s="10" t="s">
        <v>32</v>
      </c>
      <c r="B32" s="9" t="s">
        <v>93</v>
      </c>
      <c r="C32" s="9" t="s">
        <v>94</v>
      </c>
      <c r="D32" s="20" t="s">
        <v>95</v>
      </c>
      <c r="E32" s="10" t="s">
        <v>694</v>
      </c>
      <c r="F32" s="10" t="s">
        <v>25</v>
      </c>
      <c r="G32" s="11">
        <v>2579</v>
      </c>
      <c r="H32" s="11">
        <v>3441</v>
      </c>
      <c r="I32" s="11">
        <v>3080</v>
      </c>
      <c r="J32" s="11">
        <v>2467</v>
      </c>
      <c r="K32" s="11">
        <v>2043</v>
      </c>
      <c r="L32" s="11">
        <v>3512</v>
      </c>
      <c r="M32" s="11">
        <v>2263</v>
      </c>
      <c r="N32" s="11">
        <v>3600</v>
      </c>
      <c r="O32" s="11">
        <v>0</v>
      </c>
      <c r="P32" s="11">
        <v>0</v>
      </c>
      <c r="Q32" s="11">
        <v>0</v>
      </c>
      <c r="R32" s="11">
        <v>0</v>
      </c>
      <c r="S32" s="12">
        <v>22985</v>
      </c>
    </row>
    <row r="33" spans="1:19" ht="17.5" thickBot="1" x14ac:dyDescent="0.65">
      <c r="A33" s="10" t="s">
        <v>32</v>
      </c>
      <c r="B33" s="9" t="s">
        <v>96</v>
      </c>
      <c r="C33" s="9" t="s">
        <v>97</v>
      </c>
      <c r="D33" s="20" t="s">
        <v>98</v>
      </c>
      <c r="E33" s="10" t="s">
        <v>694</v>
      </c>
      <c r="F33" s="10" t="s">
        <v>25</v>
      </c>
      <c r="G33" s="11">
        <v>2402</v>
      </c>
      <c r="H33" s="11">
        <v>4271</v>
      </c>
      <c r="I33" s="11">
        <v>3647</v>
      </c>
      <c r="J33" s="11">
        <v>1500</v>
      </c>
      <c r="K33" s="11">
        <v>3391</v>
      </c>
      <c r="L33" s="11">
        <v>4008</v>
      </c>
      <c r="M33" s="11">
        <v>2340</v>
      </c>
      <c r="N33" s="11">
        <v>2202</v>
      </c>
      <c r="O33" s="11">
        <v>0</v>
      </c>
      <c r="P33" s="11">
        <v>0</v>
      </c>
      <c r="Q33" s="11">
        <v>0</v>
      </c>
      <c r="R33" s="11">
        <v>0</v>
      </c>
      <c r="S33" s="12">
        <v>23761</v>
      </c>
    </row>
    <row r="34" spans="1:19" ht="17.5" thickBot="1" x14ac:dyDescent="0.65">
      <c r="A34" s="10" t="s">
        <v>32</v>
      </c>
      <c r="B34" s="9" t="s">
        <v>96</v>
      </c>
      <c r="C34" s="9" t="s">
        <v>99</v>
      </c>
      <c r="D34" s="20" t="s">
        <v>100</v>
      </c>
      <c r="E34" s="10" t="s">
        <v>694</v>
      </c>
      <c r="F34" s="10" t="s">
        <v>25</v>
      </c>
      <c r="G34" s="11">
        <v>2159</v>
      </c>
      <c r="H34" s="11">
        <v>2472</v>
      </c>
      <c r="I34" s="11">
        <v>2992</v>
      </c>
      <c r="J34" s="11">
        <v>2748</v>
      </c>
      <c r="K34" s="11">
        <v>2422</v>
      </c>
      <c r="L34" s="11">
        <v>2480</v>
      </c>
      <c r="M34" s="11">
        <v>2476</v>
      </c>
      <c r="N34" s="11">
        <v>2632</v>
      </c>
      <c r="O34" s="11">
        <v>0</v>
      </c>
      <c r="P34" s="11">
        <v>0</v>
      </c>
      <c r="Q34" s="11">
        <v>0</v>
      </c>
      <c r="R34" s="11">
        <v>0</v>
      </c>
      <c r="S34" s="12">
        <v>20381</v>
      </c>
    </row>
    <row r="35" spans="1:19" ht="17.5" thickBot="1" x14ac:dyDescent="0.65">
      <c r="A35" s="10" t="s">
        <v>32</v>
      </c>
      <c r="B35" s="9" t="s">
        <v>101</v>
      </c>
      <c r="C35" s="9" t="s">
        <v>102</v>
      </c>
      <c r="D35" s="20" t="s">
        <v>103</v>
      </c>
      <c r="E35" s="10" t="s">
        <v>694</v>
      </c>
      <c r="F35" s="10" t="s">
        <v>104</v>
      </c>
      <c r="G35" s="11">
        <v>2309</v>
      </c>
      <c r="H35" s="11">
        <v>2086</v>
      </c>
      <c r="I35" s="11">
        <v>1974</v>
      </c>
      <c r="J35" s="11">
        <v>2106</v>
      </c>
      <c r="K35" s="11">
        <v>2446</v>
      </c>
      <c r="L35" s="11">
        <v>3488</v>
      </c>
      <c r="M35" s="11">
        <v>4377</v>
      </c>
      <c r="N35" s="11">
        <v>2973</v>
      </c>
      <c r="O35" s="11">
        <v>0</v>
      </c>
      <c r="P35" s="11">
        <v>0</v>
      </c>
      <c r="Q35" s="11">
        <v>0</v>
      </c>
      <c r="R35" s="11">
        <v>0</v>
      </c>
      <c r="S35" s="12">
        <v>21759</v>
      </c>
    </row>
    <row r="36" spans="1:19" ht="17.5" thickBot="1" x14ac:dyDescent="0.65">
      <c r="A36" s="10" t="s">
        <v>32</v>
      </c>
      <c r="B36" s="9" t="s">
        <v>105</v>
      </c>
      <c r="C36" s="9" t="s">
        <v>106</v>
      </c>
      <c r="D36" s="20" t="s">
        <v>107</v>
      </c>
      <c r="E36" s="10" t="s">
        <v>694</v>
      </c>
      <c r="F36" s="10" t="s">
        <v>104</v>
      </c>
      <c r="G36" s="11">
        <v>289</v>
      </c>
      <c r="H36" s="11">
        <v>205</v>
      </c>
      <c r="I36" s="11">
        <v>235</v>
      </c>
      <c r="J36" s="11">
        <v>255</v>
      </c>
      <c r="K36" s="11">
        <v>316</v>
      </c>
      <c r="L36" s="11">
        <v>127</v>
      </c>
      <c r="M36" s="11">
        <v>362</v>
      </c>
      <c r="N36" s="11">
        <v>297</v>
      </c>
      <c r="O36" s="11">
        <v>0</v>
      </c>
      <c r="P36" s="11">
        <v>0</v>
      </c>
      <c r="Q36" s="11">
        <v>0</v>
      </c>
      <c r="R36" s="11">
        <v>0</v>
      </c>
      <c r="S36" s="12">
        <v>2086</v>
      </c>
    </row>
    <row r="37" spans="1:19" ht="17.5" thickBot="1" x14ac:dyDescent="0.65">
      <c r="A37" s="10" t="s">
        <v>32</v>
      </c>
      <c r="B37" s="9" t="s">
        <v>108</v>
      </c>
      <c r="C37" s="9" t="s">
        <v>109</v>
      </c>
      <c r="D37" s="20" t="s">
        <v>110</v>
      </c>
      <c r="E37" s="10" t="s">
        <v>695</v>
      </c>
      <c r="F37" s="10" t="s">
        <v>21</v>
      </c>
      <c r="G37" s="11">
        <v>2468</v>
      </c>
      <c r="H37" s="11">
        <v>2718</v>
      </c>
      <c r="I37" s="11">
        <v>2183</v>
      </c>
      <c r="J37" s="11">
        <v>1447</v>
      </c>
      <c r="K37" s="11">
        <v>1648</v>
      </c>
      <c r="L37" s="11">
        <v>1657</v>
      </c>
      <c r="M37" s="11">
        <v>2131</v>
      </c>
      <c r="N37" s="11">
        <v>1497</v>
      </c>
      <c r="O37" s="11">
        <v>0</v>
      </c>
      <c r="P37" s="11">
        <v>0</v>
      </c>
      <c r="Q37" s="11">
        <v>0</v>
      </c>
      <c r="R37" s="11">
        <v>0</v>
      </c>
      <c r="S37" s="12">
        <v>15749</v>
      </c>
    </row>
    <row r="38" spans="1:19" ht="17.5" thickBot="1" x14ac:dyDescent="0.65">
      <c r="A38" s="10" t="s">
        <v>32</v>
      </c>
      <c r="B38" s="9" t="s">
        <v>111</v>
      </c>
      <c r="C38" s="9" t="s">
        <v>112</v>
      </c>
      <c r="D38" s="20" t="s">
        <v>788</v>
      </c>
      <c r="E38" s="10" t="s">
        <v>695</v>
      </c>
      <c r="F38" s="10" t="s">
        <v>21</v>
      </c>
      <c r="G38" s="11">
        <v>5478</v>
      </c>
      <c r="H38" s="11">
        <v>5213</v>
      </c>
      <c r="I38" s="11">
        <v>4408</v>
      </c>
      <c r="J38" s="11">
        <v>2877</v>
      </c>
      <c r="K38" s="11">
        <v>7478</v>
      </c>
      <c r="L38" s="11">
        <v>7872</v>
      </c>
      <c r="M38" s="11">
        <v>7365</v>
      </c>
      <c r="N38" s="11">
        <v>6698</v>
      </c>
      <c r="O38" s="11">
        <v>0</v>
      </c>
      <c r="P38" s="11">
        <v>0</v>
      </c>
      <c r="Q38" s="11">
        <v>0</v>
      </c>
      <c r="R38" s="11">
        <v>0</v>
      </c>
      <c r="S38" s="12">
        <v>47389</v>
      </c>
    </row>
    <row r="39" spans="1:19" ht="17.5" thickBot="1" x14ac:dyDescent="0.65">
      <c r="A39" s="10" t="s">
        <v>32</v>
      </c>
      <c r="B39" s="9" t="s">
        <v>111</v>
      </c>
      <c r="C39" s="9" t="s">
        <v>113</v>
      </c>
      <c r="D39" s="20" t="s">
        <v>778</v>
      </c>
      <c r="E39" s="10" t="s">
        <v>695</v>
      </c>
      <c r="F39" s="10" t="s">
        <v>21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2">
        <v>0</v>
      </c>
    </row>
    <row r="40" spans="1:19" ht="17.5" thickBot="1" x14ac:dyDescent="0.65">
      <c r="A40" s="10" t="s">
        <v>32</v>
      </c>
      <c r="B40" s="9" t="s">
        <v>114</v>
      </c>
      <c r="C40" s="9" t="s">
        <v>115</v>
      </c>
      <c r="D40" s="20" t="s">
        <v>116</v>
      </c>
      <c r="E40" s="10" t="s">
        <v>694</v>
      </c>
      <c r="F40" s="10" t="s">
        <v>25</v>
      </c>
      <c r="G40" s="11">
        <v>821</v>
      </c>
      <c r="H40" s="11">
        <v>1176</v>
      </c>
      <c r="I40" s="11">
        <v>1428</v>
      </c>
      <c r="J40" s="11">
        <v>831</v>
      </c>
      <c r="K40" s="11">
        <v>741</v>
      </c>
      <c r="L40" s="11">
        <v>1507</v>
      </c>
      <c r="M40" s="11">
        <v>605</v>
      </c>
      <c r="N40" s="11">
        <v>1140</v>
      </c>
      <c r="O40" s="11">
        <v>0</v>
      </c>
      <c r="P40" s="11">
        <v>0</v>
      </c>
      <c r="Q40" s="11">
        <v>0</v>
      </c>
      <c r="R40" s="11">
        <v>0</v>
      </c>
      <c r="S40" s="12">
        <v>8249</v>
      </c>
    </row>
    <row r="41" spans="1:19" ht="17.5" thickBot="1" x14ac:dyDescent="0.65">
      <c r="A41" s="10" t="s">
        <v>32</v>
      </c>
      <c r="B41" s="9" t="s">
        <v>117</v>
      </c>
      <c r="C41" s="9" t="s">
        <v>118</v>
      </c>
      <c r="D41" s="20" t="s">
        <v>724</v>
      </c>
      <c r="E41" s="10" t="s">
        <v>695</v>
      </c>
      <c r="F41" s="10" t="s">
        <v>104</v>
      </c>
      <c r="G41" s="11">
        <v>3110</v>
      </c>
      <c r="H41" s="11">
        <v>4190</v>
      </c>
      <c r="I41" s="11">
        <v>3967</v>
      </c>
      <c r="J41" s="11">
        <v>2297</v>
      </c>
      <c r="K41" s="11">
        <v>2214</v>
      </c>
      <c r="L41" s="11">
        <v>2606</v>
      </c>
      <c r="M41" s="11">
        <v>2324</v>
      </c>
      <c r="N41" s="11">
        <v>2723</v>
      </c>
      <c r="O41" s="11">
        <v>0</v>
      </c>
      <c r="P41" s="11">
        <v>0</v>
      </c>
      <c r="Q41" s="11">
        <v>0</v>
      </c>
      <c r="R41" s="11">
        <v>0</v>
      </c>
      <c r="S41" s="12">
        <v>23431</v>
      </c>
    </row>
    <row r="42" spans="1:19" ht="17.5" thickBot="1" x14ac:dyDescent="0.65">
      <c r="A42" s="10" t="s">
        <v>32</v>
      </c>
      <c r="B42" s="9" t="s">
        <v>119</v>
      </c>
      <c r="C42" s="9" t="s">
        <v>120</v>
      </c>
      <c r="D42" s="20" t="s">
        <v>789</v>
      </c>
      <c r="E42" s="10" t="s">
        <v>695</v>
      </c>
      <c r="F42" s="10" t="s">
        <v>28</v>
      </c>
      <c r="G42" s="11">
        <v>0</v>
      </c>
      <c r="H42" s="11">
        <v>0</v>
      </c>
      <c r="I42" s="11">
        <v>766</v>
      </c>
      <c r="J42" s="11">
        <v>2953</v>
      </c>
      <c r="K42" s="11">
        <v>1812</v>
      </c>
      <c r="L42" s="11">
        <v>525</v>
      </c>
      <c r="M42" s="11">
        <v>832</v>
      </c>
      <c r="N42" s="11">
        <v>1903</v>
      </c>
      <c r="O42" s="11">
        <v>0</v>
      </c>
      <c r="P42" s="11">
        <v>0</v>
      </c>
      <c r="Q42" s="11">
        <v>0</v>
      </c>
      <c r="R42" s="11">
        <v>0</v>
      </c>
      <c r="S42" s="12">
        <v>8791</v>
      </c>
    </row>
    <row r="43" spans="1:19" ht="17.5" thickBot="1" x14ac:dyDescent="0.65">
      <c r="A43" s="10" t="s">
        <v>32</v>
      </c>
      <c r="B43" s="9" t="s">
        <v>121</v>
      </c>
      <c r="C43" s="9" t="s">
        <v>122</v>
      </c>
      <c r="D43" s="20" t="s">
        <v>790</v>
      </c>
      <c r="E43" s="10" t="s">
        <v>695</v>
      </c>
      <c r="F43" s="10" t="s">
        <v>28</v>
      </c>
      <c r="G43" s="11">
        <v>0</v>
      </c>
      <c r="H43" s="11">
        <v>0</v>
      </c>
      <c r="I43" s="11">
        <v>88</v>
      </c>
      <c r="J43" s="11">
        <v>0</v>
      </c>
      <c r="K43" s="11">
        <v>2818</v>
      </c>
      <c r="L43" s="11">
        <v>8123</v>
      </c>
      <c r="M43" s="11">
        <v>6033</v>
      </c>
      <c r="N43" s="11">
        <v>8561</v>
      </c>
      <c r="O43" s="11">
        <v>0</v>
      </c>
      <c r="P43" s="11">
        <v>0</v>
      </c>
      <c r="Q43" s="11">
        <v>0</v>
      </c>
      <c r="R43" s="11">
        <v>0</v>
      </c>
      <c r="S43" s="12">
        <v>25623</v>
      </c>
    </row>
    <row r="44" spans="1:19" ht="17.5" thickBot="1" x14ac:dyDescent="0.65">
      <c r="A44" s="10" t="s">
        <v>32</v>
      </c>
      <c r="B44" s="9" t="s">
        <v>123</v>
      </c>
      <c r="C44" s="9" t="s">
        <v>124</v>
      </c>
      <c r="D44" s="20" t="s">
        <v>125</v>
      </c>
      <c r="E44" s="10" t="s">
        <v>694</v>
      </c>
      <c r="F44" s="10" t="s">
        <v>104</v>
      </c>
      <c r="G44" s="11">
        <v>42</v>
      </c>
      <c r="H44" s="11">
        <v>34</v>
      </c>
      <c r="I44" s="11">
        <v>194</v>
      </c>
      <c r="J44" s="11">
        <v>100</v>
      </c>
      <c r="K44" s="11">
        <v>277</v>
      </c>
      <c r="L44" s="11">
        <v>324</v>
      </c>
      <c r="M44" s="11">
        <v>854</v>
      </c>
      <c r="N44" s="11">
        <v>640</v>
      </c>
      <c r="O44" s="11">
        <v>0</v>
      </c>
      <c r="P44" s="11">
        <v>0</v>
      </c>
      <c r="Q44" s="11">
        <v>0</v>
      </c>
      <c r="R44" s="11">
        <v>0</v>
      </c>
      <c r="S44" s="12">
        <v>2465</v>
      </c>
    </row>
    <row r="45" spans="1:19" ht="17.5" thickBot="1" x14ac:dyDescent="0.65">
      <c r="A45" s="10" t="s">
        <v>32</v>
      </c>
      <c r="B45" s="9" t="s">
        <v>126</v>
      </c>
      <c r="C45" s="9" t="s">
        <v>127</v>
      </c>
      <c r="D45" s="20" t="s">
        <v>128</v>
      </c>
      <c r="E45" s="10" t="s">
        <v>694</v>
      </c>
      <c r="F45" s="10" t="s">
        <v>21</v>
      </c>
      <c r="G45" s="11">
        <v>395</v>
      </c>
      <c r="H45" s="11">
        <v>734</v>
      </c>
      <c r="I45" s="11">
        <v>2386</v>
      </c>
      <c r="J45" s="11">
        <v>1337</v>
      </c>
      <c r="K45" s="11">
        <v>1261</v>
      </c>
      <c r="L45" s="11">
        <v>1107</v>
      </c>
      <c r="M45" s="11">
        <v>1162</v>
      </c>
      <c r="N45" s="11">
        <v>792</v>
      </c>
      <c r="O45" s="11">
        <v>0</v>
      </c>
      <c r="P45" s="11">
        <v>0</v>
      </c>
      <c r="Q45" s="11">
        <v>0</v>
      </c>
      <c r="R45" s="11">
        <v>0</v>
      </c>
      <c r="S45" s="12">
        <v>9174</v>
      </c>
    </row>
    <row r="46" spans="1:19" ht="17.5" thickBot="1" x14ac:dyDescent="0.65">
      <c r="A46" s="10" t="s">
        <v>129</v>
      </c>
      <c r="B46" s="9" t="s">
        <v>126</v>
      </c>
      <c r="C46" s="9" t="s">
        <v>130</v>
      </c>
      <c r="D46" s="20" t="s">
        <v>131</v>
      </c>
      <c r="E46" s="10" t="s">
        <v>694</v>
      </c>
      <c r="F46" s="10" t="s">
        <v>21</v>
      </c>
      <c r="G46" s="11">
        <v>1263</v>
      </c>
      <c r="H46" s="11">
        <v>1042</v>
      </c>
      <c r="I46" s="11">
        <v>1139</v>
      </c>
      <c r="J46" s="11">
        <v>1658</v>
      </c>
      <c r="K46" s="11">
        <v>1799</v>
      </c>
      <c r="L46" s="11">
        <v>1370</v>
      </c>
      <c r="M46" s="11">
        <v>1147</v>
      </c>
      <c r="N46" s="11">
        <v>988</v>
      </c>
      <c r="O46" s="11">
        <v>0</v>
      </c>
      <c r="P46" s="11">
        <v>0</v>
      </c>
      <c r="Q46" s="11">
        <v>0</v>
      </c>
      <c r="R46" s="11">
        <v>0</v>
      </c>
      <c r="S46" s="12">
        <v>10406</v>
      </c>
    </row>
    <row r="47" spans="1:19" ht="17.5" thickBot="1" x14ac:dyDescent="0.65">
      <c r="A47" s="10" t="s">
        <v>129</v>
      </c>
      <c r="B47" s="9" t="s">
        <v>132</v>
      </c>
      <c r="C47" s="9" t="s">
        <v>133</v>
      </c>
      <c r="D47" s="20" t="s">
        <v>134</v>
      </c>
      <c r="E47" s="10" t="s">
        <v>694</v>
      </c>
      <c r="F47" s="10" t="s">
        <v>25</v>
      </c>
      <c r="G47" s="11">
        <v>746</v>
      </c>
      <c r="H47" s="11">
        <v>739</v>
      </c>
      <c r="I47" s="11">
        <v>1131</v>
      </c>
      <c r="J47" s="11">
        <v>999</v>
      </c>
      <c r="K47" s="11">
        <v>1022</v>
      </c>
      <c r="L47" s="11">
        <v>1034</v>
      </c>
      <c r="M47" s="11">
        <v>1003</v>
      </c>
      <c r="N47" s="11">
        <v>879</v>
      </c>
      <c r="O47" s="11">
        <v>0</v>
      </c>
      <c r="P47" s="11">
        <v>0</v>
      </c>
      <c r="Q47" s="11">
        <v>0</v>
      </c>
      <c r="R47" s="11">
        <v>0</v>
      </c>
      <c r="S47" s="12">
        <v>7553</v>
      </c>
    </row>
    <row r="48" spans="1:19" ht="17.5" thickBot="1" x14ac:dyDescent="0.65">
      <c r="A48" s="10" t="s">
        <v>129</v>
      </c>
      <c r="B48" s="9" t="s">
        <v>135</v>
      </c>
      <c r="C48" s="9" t="s">
        <v>136</v>
      </c>
      <c r="D48" s="20" t="s">
        <v>137</v>
      </c>
      <c r="E48" s="10" t="s">
        <v>694</v>
      </c>
      <c r="F48" s="10" t="s">
        <v>104</v>
      </c>
      <c r="G48" s="11">
        <v>1428</v>
      </c>
      <c r="H48" s="11">
        <v>1503</v>
      </c>
      <c r="I48" s="11">
        <v>1839</v>
      </c>
      <c r="J48" s="11">
        <v>1480</v>
      </c>
      <c r="K48" s="11">
        <v>1224</v>
      </c>
      <c r="L48" s="11">
        <v>1204</v>
      </c>
      <c r="M48" s="11">
        <v>1085</v>
      </c>
      <c r="N48" s="11">
        <v>1930</v>
      </c>
      <c r="O48" s="11">
        <v>0</v>
      </c>
      <c r="P48" s="11">
        <v>0</v>
      </c>
      <c r="Q48" s="11">
        <v>0</v>
      </c>
      <c r="R48" s="11">
        <v>0</v>
      </c>
      <c r="S48" s="12">
        <v>11693</v>
      </c>
    </row>
    <row r="49" spans="1:19" ht="17.5" thickBot="1" x14ac:dyDescent="0.65">
      <c r="A49" s="10" t="s">
        <v>129</v>
      </c>
      <c r="B49" s="9" t="s">
        <v>135</v>
      </c>
      <c r="C49" s="9" t="s">
        <v>138</v>
      </c>
      <c r="D49" s="20" t="s">
        <v>139</v>
      </c>
      <c r="E49" s="10" t="s">
        <v>694</v>
      </c>
      <c r="F49" s="10" t="s">
        <v>104</v>
      </c>
      <c r="G49" s="11">
        <v>1013</v>
      </c>
      <c r="H49" s="11">
        <v>826</v>
      </c>
      <c r="I49" s="11">
        <v>832</v>
      </c>
      <c r="J49" s="11">
        <v>461</v>
      </c>
      <c r="K49" s="11">
        <v>620</v>
      </c>
      <c r="L49" s="11">
        <v>690</v>
      </c>
      <c r="M49" s="11">
        <v>633</v>
      </c>
      <c r="N49" s="11">
        <v>705</v>
      </c>
      <c r="O49" s="11">
        <v>0</v>
      </c>
      <c r="P49" s="11">
        <v>0</v>
      </c>
      <c r="Q49" s="11">
        <v>0</v>
      </c>
      <c r="R49" s="11">
        <v>0</v>
      </c>
      <c r="S49" s="12">
        <v>5780</v>
      </c>
    </row>
    <row r="50" spans="1:19" ht="17.5" thickBot="1" x14ac:dyDescent="0.65">
      <c r="A50" s="10" t="s">
        <v>129</v>
      </c>
      <c r="B50" s="9" t="s">
        <v>135</v>
      </c>
      <c r="C50" s="9" t="s">
        <v>140</v>
      </c>
      <c r="D50" s="20" t="s">
        <v>141</v>
      </c>
      <c r="E50" s="10" t="s">
        <v>694</v>
      </c>
      <c r="F50" s="10" t="s">
        <v>104</v>
      </c>
      <c r="G50" s="11">
        <v>0</v>
      </c>
      <c r="H50" s="11">
        <v>0</v>
      </c>
      <c r="I50" s="11">
        <v>95</v>
      </c>
      <c r="J50" s="11">
        <v>290</v>
      </c>
      <c r="K50" s="11">
        <v>440</v>
      </c>
      <c r="L50" s="11">
        <v>553</v>
      </c>
      <c r="M50" s="11">
        <v>318</v>
      </c>
      <c r="N50" s="11">
        <v>460</v>
      </c>
      <c r="O50" s="11">
        <v>0</v>
      </c>
      <c r="P50" s="11">
        <v>0</v>
      </c>
      <c r="Q50" s="11">
        <v>0</v>
      </c>
      <c r="R50" s="11">
        <v>0</v>
      </c>
      <c r="S50" s="12">
        <v>2156</v>
      </c>
    </row>
    <row r="51" spans="1:19" ht="17.5" thickBot="1" x14ac:dyDescent="0.65">
      <c r="A51" s="10" t="s">
        <v>129</v>
      </c>
      <c r="B51" s="9" t="s">
        <v>142</v>
      </c>
      <c r="C51" s="9" t="s">
        <v>143</v>
      </c>
      <c r="D51" s="20" t="s">
        <v>144</v>
      </c>
      <c r="E51" s="10" t="s">
        <v>694</v>
      </c>
      <c r="F51" s="10" t="s">
        <v>21</v>
      </c>
      <c r="G51" s="11">
        <v>128</v>
      </c>
      <c r="H51" s="11">
        <v>233</v>
      </c>
      <c r="I51" s="11">
        <v>574</v>
      </c>
      <c r="J51" s="11">
        <v>585</v>
      </c>
      <c r="K51" s="11">
        <v>102</v>
      </c>
      <c r="L51" s="11">
        <v>0</v>
      </c>
      <c r="M51" s="11">
        <v>3</v>
      </c>
      <c r="N51" s="11">
        <v>151</v>
      </c>
      <c r="O51" s="11">
        <v>0</v>
      </c>
      <c r="P51" s="11">
        <v>0</v>
      </c>
      <c r="Q51" s="11">
        <v>0</v>
      </c>
      <c r="R51" s="11">
        <v>0</v>
      </c>
      <c r="S51" s="12">
        <v>1776</v>
      </c>
    </row>
    <row r="52" spans="1:19" ht="17.5" thickBot="1" x14ac:dyDescent="0.65">
      <c r="A52" s="10" t="s">
        <v>129</v>
      </c>
      <c r="B52" s="9" t="s">
        <v>142</v>
      </c>
      <c r="C52" s="9" t="s">
        <v>145</v>
      </c>
      <c r="D52" s="20" t="s">
        <v>146</v>
      </c>
      <c r="E52" s="10" t="s">
        <v>694</v>
      </c>
      <c r="F52" s="10" t="s">
        <v>21</v>
      </c>
      <c r="G52" s="11">
        <v>1696</v>
      </c>
      <c r="H52" s="11">
        <v>1638</v>
      </c>
      <c r="I52" s="11">
        <v>2236</v>
      </c>
      <c r="J52" s="11">
        <v>1044</v>
      </c>
      <c r="K52" s="11">
        <v>706</v>
      </c>
      <c r="L52" s="11">
        <v>1515</v>
      </c>
      <c r="M52" s="11">
        <v>1772</v>
      </c>
      <c r="N52" s="11">
        <v>983</v>
      </c>
      <c r="O52" s="11">
        <v>0</v>
      </c>
      <c r="P52" s="11">
        <v>0</v>
      </c>
      <c r="Q52" s="11">
        <v>0</v>
      </c>
      <c r="R52" s="11">
        <v>0</v>
      </c>
      <c r="S52" s="12">
        <v>11590</v>
      </c>
    </row>
    <row r="53" spans="1:19" ht="17.5" thickBot="1" x14ac:dyDescent="0.65">
      <c r="A53" s="10" t="s">
        <v>129</v>
      </c>
      <c r="B53" s="9" t="s">
        <v>142</v>
      </c>
      <c r="C53" s="9" t="s">
        <v>147</v>
      </c>
      <c r="D53" s="9" t="s">
        <v>148</v>
      </c>
      <c r="E53" s="10" t="s">
        <v>694</v>
      </c>
      <c r="F53" s="10" t="s">
        <v>21</v>
      </c>
      <c r="G53" s="11">
        <v>658</v>
      </c>
      <c r="H53" s="11">
        <v>791</v>
      </c>
      <c r="I53" s="11">
        <v>779</v>
      </c>
      <c r="J53" s="11">
        <v>586</v>
      </c>
      <c r="K53" s="11">
        <v>642</v>
      </c>
      <c r="L53" s="11">
        <v>713</v>
      </c>
      <c r="M53" s="11">
        <v>589</v>
      </c>
      <c r="N53" s="11">
        <v>864</v>
      </c>
      <c r="O53" s="11">
        <v>0</v>
      </c>
      <c r="P53" s="11">
        <v>0</v>
      </c>
      <c r="Q53" s="11">
        <v>0</v>
      </c>
      <c r="R53" s="11">
        <v>0</v>
      </c>
      <c r="S53" s="12">
        <v>5622</v>
      </c>
    </row>
    <row r="54" spans="1:19" ht="17.5" thickBot="1" x14ac:dyDescent="0.65">
      <c r="A54" s="10" t="s">
        <v>129</v>
      </c>
      <c r="B54" s="9" t="s">
        <v>142</v>
      </c>
      <c r="C54" s="9" t="s">
        <v>149</v>
      </c>
      <c r="D54" s="20" t="s">
        <v>150</v>
      </c>
      <c r="E54" s="10" t="s">
        <v>694</v>
      </c>
      <c r="F54" s="10" t="s">
        <v>21</v>
      </c>
      <c r="G54" s="11">
        <v>646</v>
      </c>
      <c r="H54" s="11">
        <v>1107</v>
      </c>
      <c r="I54" s="11">
        <v>1214</v>
      </c>
      <c r="J54" s="11">
        <v>1400</v>
      </c>
      <c r="K54" s="11">
        <v>1539</v>
      </c>
      <c r="L54" s="11">
        <v>1745</v>
      </c>
      <c r="M54" s="11">
        <v>293</v>
      </c>
      <c r="N54" s="11">
        <v>247</v>
      </c>
      <c r="O54" s="11">
        <v>0</v>
      </c>
      <c r="P54" s="11">
        <v>0</v>
      </c>
      <c r="Q54" s="11">
        <v>0</v>
      </c>
      <c r="R54" s="11">
        <v>0</v>
      </c>
      <c r="S54" s="12">
        <v>8191</v>
      </c>
    </row>
    <row r="55" spans="1:19" ht="17.5" thickBot="1" x14ac:dyDescent="0.65">
      <c r="A55" s="10" t="s">
        <v>129</v>
      </c>
      <c r="B55" s="9" t="s">
        <v>142</v>
      </c>
      <c r="C55" s="9" t="s">
        <v>151</v>
      </c>
      <c r="D55" s="9" t="s">
        <v>152</v>
      </c>
      <c r="E55" s="10" t="s">
        <v>694</v>
      </c>
      <c r="F55" s="10" t="s">
        <v>21</v>
      </c>
      <c r="G55" s="11">
        <v>348</v>
      </c>
      <c r="H55" s="11">
        <v>725</v>
      </c>
      <c r="I55" s="11">
        <v>650</v>
      </c>
      <c r="J55" s="11">
        <v>854</v>
      </c>
      <c r="K55" s="11">
        <v>513</v>
      </c>
      <c r="L55" s="11">
        <v>556</v>
      </c>
      <c r="M55" s="11">
        <v>725</v>
      </c>
      <c r="N55" s="11">
        <v>574</v>
      </c>
      <c r="O55" s="11">
        <v>0</v>
      </c>
      <c r="P55" s="11">
        <v>0</v>
      </c>
      <c r="Q55" s="11">
        <v>0</v>
      </c>
      <c r="R55" s="11">
        <v>0</v>
      </c>
      <c r="S55" s="12">
        <v>4945</v>
      </c>
    </row>
    <row r="56" spans="1:19" ht="17.5" thickBot="1" x14ac:dyDescent="0.65">
      <c r="A56" s="10" t="s">
        <v>129</v>
      </c>
      <c r="B56" s="9" t="s">
        <v>153</v>
      </c>
      <c r="C56" s="9" t="s">
        <v>154</v>
      </c>
      <c r="D56" s="20" t="s">
        <v>155</v>
      </c>
      <c r="E56" s="10" t="s">
        <v>694</v>
      </c>
      <c r="F56" s="10" t="s">
        <v>104</v>
      </c>
      <c r="G56" s="11">
        <v>1210</v>
      </c>
      <c r="H56" s="11">
        <v>1540</v>
      </c>
      <c r="I56" s="11">
        <v>1563</v>
      </c>
      <c r="J56" s="11">
        <v>1520</v>
      </c>
      <c r="K56" s="11">
        <v>2013</v>
      </c>
      <c r="L56" s="11">
        <v>1501</v>
      </c>
      <c r="M56" s="11">
        <v>1463</v>
      </c>
      <c r="N56" s="11">
        <v>1887</v>
      </c>
      <c r="O56" s="11">
        <v>0</v>
      </c>
      <c r="P56" s="11">
        <v>0</v>
      </c>
      <c r="Q56" s="11">
        <v>0</v>
      </c>
      <c r="R56" s="11">
        <v>0</v>
      </c>
      <c r="S56" s="12">
        <v>12697</v>
      </c>
    </row>
    <row r="57" spans="1:19" ht="17.5" thickBot="1" x14ac:dyDescent="0.65">
      <c r="A57" s="10" t="s">
        <v>129</v>
      </c>
      <c r="B57" s="9" t="s">
        <v>153</v>
      </c>
      <c r="C57" s="9" t="s">
        <v>156</v>
      </c>
      <c r="D57" s="20" t="s">
        <v>720</v>
      </c>
      <c r="E57" s="10" t="s">
        <v>694</v>
      </c>
      <c r="F57" s="10" t="s">
        <v>104</v>
      </c>
      <c r="G57" s="11">
        <v>1300</v>
      </c>
      <c r="H57" s="11">
        <v>2123</v>
      </c>
      <c r="I57" s="11">
        <v>2429</v>
      </c>
      <c r="J57" s="11">
        <v>1653</v>
      </c>
      <c r="K57" s="11">
        <v>2359</v>
      </c>
      <c r="L57" s="11">
        <v>1322</v>
      </c>
      <c r="M57" s="11">
        <v>1539</v>
      </c>
      <c r="N57" s="11">
        <v>1353</v>
      </c>
      <c r="O57" s="11">
        <v>0</v>
      </c>
      <c r="P57" s="11">
        <v>0</v>
      </c>
      <c r="Q57" s="11">
        <v>0</v>
      </c>
      <c r="R57" s="11">
        <v>0</v>
      </c>
      <c r="S57" s="12">
        <v>14078</v>
      </c>
    </row>
    <row r="58" spans="1:19" ht="17.5" thickBot="1" x14ac:dyDescent="0.65">
      <c r="A58" s="10" t="s">
        <v>129</v>
      </c>
      <c r="B58" s="9" t="s">
        <v>153</v>
      </c>
      <c r="C58" s="9" t="s">
        <v>157</v>
      </c>
      <c r="D58" s="20" t="s">
        <v>158</v>
      </c>
      <c r="E58" s="10" t="s">
        <v>694</v>
      </c>
      <c r="F58" s="10" t="s">
        <v>104</v>
      </c>
      <c r="G58" s="11">
        <v>273</v>
      </c>
      <c r="H58" s="11">
        <v>398</v>
      </c>
      <c r="I58" s="11">
        <v>512</v>
      </c>
      <c r="J58" s="11">
        <v>371</v>
      </c>
      <c r="K58" s="11">
        <v>820</v>
      </c>
      <c r="L58" s="11">
        <v>489</v>
      </c>
      <c r="M58" s="11">
        <v>503</v>
      </c>
      <c r="N58" s="11">
        <v>405</v>
      </c>
      <c r="O58" s="11">
        <v>0</v>
      </c>
      <c r="P58" s="11">
        <v>0</v>
      </c>
      <c r="Q58" s="11">
        <v>0</v>
      </c>
      <c r="R58" s="11">
        <v>0</v>
      </c>
      <c r="S58" s="12">
        <v>3771</v>
      </c>
    </row>
    <row r="59" spans="1:19" ht="17.5" thickBot="1" x14ac:dyDescent="0.65">
      <c r="A59" s="10" t="s">
        <v>129</v>
      </c>
      <c r="B59" s="9" t="s">
        <v>153</v>
      </c>
      <c r="C59" s="9" t="s">
        <v>159</v>
      </c>
      <c r="D59" s="20" t="s">
        <v>160</v>
      </c>
      <c r="E59" s="10" t="s">
        <v>694</v>
      </c>
      <c r="F59" s="10" t="s">
        <v>104</v>
      </c>
      <c r="G59" s="11">
        <v>720</v>
      </c>
      <c r="H59" s="11">
        <v>779</v>
      </c>
      <c r="I59" s="11">
        <v>619</v>
      </c>
      <c r="J59" s="11">
        <v>502</v>
      </c>
      <c r="K59" s="11">
        <v>551</v>
      </c>
      <c r="L59" s="11">
        <v>590</v>
      </c>
      <c r="M59" s="11">
        <v>975</v>
      </c>
      <c r="N59" s="11">
        <v>858</v>
      </c>
      <c r="O59" s="11">
        <v>0</v>
      </c>
      <c r="P59" s="11">
        <v>0</v>
      </c>
      <c r="Q59" s="11">
        <v>0</v>
      </c>
      <c r="R59" s="11">
        <v>0</v>
      </c>
      <c r="S59" s="12">
        <v>5594</v>
      </c>
    </row>
    <row r="60" spans="1:19" ht="17.5" thickBot="1" x14ac:dyDescent="0.65">
      <c r="A60" s="10" t="s">
        <v>129</v>
      </c>
      <c r="B60" s="9" t="s">
        <v>161</v>
      </c>
      <c r="C60" s="9" t="s">
        <v>162</v>
      </c>
      <c r="D60" s="20" t="s">
        <v>163</v>
      </c>
      <c r="E60" s="10" t="s">
        <v>694</v>
      </c>
      <c r="F60" s="10" t="s">
        <v>28</v>
      </c>
      <c r="G60" s="11">
        <v>666</v>
      </c>
      <c r="H60" s="11">
        <v>680</v>
      </c>
      <c r="I60" s="11">
        <v>982</v>
      </c>
      <c r="J60" s="11">
        <v>246</v>
      </c>
      <c r="K60" s="11">
        <v>480</v>
      </c>
      <c r="L60" s="11">
        <v>361</v>
      </c>
      <c r="M60" s="11">
        <v>797</v>
      </c>
      <c r="N60" s="11">
        <v>470</v>
      </c>
      <c r="O60" s="11">
        <v>0</v>
      </c>
      <c r="P60" s="11">
        <v>0</v>
      </c>
      <c r="Q60" s="11">
        <v>0</v>
      </c>
      <c r="R60" s="11">
        <v>0</v>
      </c>
      <c r="S60" s="12">
        <v>4682</v>
      </c>
    </row>
    <row r="61" spans="1:19" ht="17.5" thickBot="1" x14ac:dyDescent="0.65">
      <c r="A61" s="10" t="s">
        <v>129</v>
      </c>
      <c r="B61" s="9" t="s">
        <v>164</v>
      </c>
      <c r="C61" s="9" t="s">
        <v>165</v>
      </c>
      <c r="D61" s="20" t="s">
        <v>166</v>
      </c>
      <c r="E61" s="10" t="s">
        <v>694</v>
      </c>
      <c r="F61" s="10" t="s">
        <v>104</v>
      </c>
      <c r="G61" s="11">
        <v>689</v>
      </c>
      <c r="H61" s="11">
        <v>482</v>
      </c>
      <c r="I61" s="11">
        <v>984</v>
      </c>
      <c r="J61" s="11">
        <v>616</v>
      </c>
      <c r="K61" s="11">
        <v>1455</v>
      </c>
      <c r="L61" s="11">
        <v>1048</v>
      </c>
      <c r="M61" s="11">
        <v>690</v>
      </c>
      <c r="N61" s="11">
        <v>472</v>
      </c>
      <c r="O61" s="11">
        <v>0</v>
      </c>
      <c r="P61" s="11">
        <v>0</v>
      </c>
      <c r="Q61" s="11">
        <v>0</v>
      </c>
      <c r="R61" s="11">
        <v>0</v>
      </c>
      <c r="S61" s="12">
        <v>6436</v>
      </c>
    </row>
    <row r="62" spans="1:19" ht="17.5" thickBot="1" x14ac:dyDescent="0.65">
      <c r="A62" s="10" t="s">
        <v>129</v>
      </c>
      <c r="B62" s="9" t="s">
        <v>167</v>
      </c>
      <c r="C62" s="9" t="s">
        <v>168</v>
      </c>
      <c r="D62" s="20" t="s">
        <v>169</v>
      </c>
      <c r="E62" s="10" t="s">
        <v>694</v>
      </c>
      <c r="F62" s="10" t="s">
        <v>25</v>
      </c>
      <c r="G62" s="11">
        <v>2483</v>
      </c>
      <c r="H62" s="11">
        <v>2798</v>
      </c>
      <c r="I62" s="11">
        <v>3262</v>
      </c>
      <c r="J62" s="11">
        <v>2260</v>
      </c>
      <c r="K62" s="11">
        <v>2938</v>
      </c>
      <c r="L62" s="11">
        <v>2863</v>
      </c>
      <c r="M62" s="11">
        <v>2595</v>
      </c>
      <c r="N62" s="11">
        <v>2862</v>
      </c>
      <c r="O62" s="11">
        <v>0</v>
      </c>
      <c r="P62" s="11">
        <v>0</v>
      </c>
      <c r="Q62" s="11">
        <v>0</v>
      </c>
      <c r="R62" s="11">
        <v>0</v>
      </c>
      <c r="S62" s="12">
        <v>22061</v>
      </c>
    </row>
    <row r="63" spans="1:19" ht="17.5" thickBot="1" x14ac:dyDescent="0.65">
      <c r="A63" s="10" t="s">
        <v>129</v>
      </c>
      <c r="B63" s="9" t="s">
        <v>170</v>
      </c>
      <c r="C63" s="9" t="s">
        <v>171</v>
      </c>
      <c r="D63" s="20" t="s">
        <v>172</v>
      </c>
      <c r="E63" s="10" t="s">
        <v>694</v>
      </c>
      <c r="F63" s="10" t="s">
        <v>104</v>
      </c>
      <c r="G63" s="11">
        <v>330</v>
      </c>
      <c r="H63" s="11">
        <v>366</v>
      </c>
      <c r="I63" s="11">
        <v>493</v>
      </c>
      <c r="J63" s="11">
        <v>605</v>
      </c>
      <c r="K63" s="11">
        <v>455</v>
      </c>
      <c r="L63" s="11">
        <v>586</v>
      </c>
      <c r="M63" s="11">
        <v>454</v>
      </c>
      <c r="N63" s="11">
        <v>558</v>
      </c>
      <c r="O63" s="11">
        <v>0</v>
      </c>
      <c r="P63" s="11">
        <v>0</v>
      </c>
      <c r="Q63" s="11">
        <v>0</v>
      </c>
      <c r="R63" s="11">
        <v>0</v>
      </c>
      <c r="S63" s="12">
        <v>3847</v>
      </c>
    </row>
    <row r="64" spans="1:19" ht="17.5" thickBot="1" x14ac:dyDescent="0.65">
      <c r="A64" s="10" t="s">
        <v>129</v>
      </c>
      <c r="B64" s="9" t="s">
        <v>173</v>
      </c>
      <c r="C64" s="9" t="s">
        <v>174</v>
      </c>
      <c r="D64" s="20" t="s">
        <v>175</v>
      </c>
      <c r="E64" s="10" t="s">
        <v>694</v>
      </c>
      <c r="F64" s="10" t="s">
        <v>21</v>
      </c>
      <c r="G64" s="11">
        <v>957</v>
      </c>
      <c r="H64" s="11">
        <v>1278</v>
      </c>
      <c r="I64" s="11">
        <v>1570</v>
      </c>
      <c r="J64" s="11">
        <v>687</v>
      </c>
      <c r="K64" s="11">
        <v>1296</v>
      </c>
      <c r="L64" s="11">
        <v>1454</v>
      </c>
      <c r="M64" s="11">
        <v>863</v>
      </c>
      <c r="N64" s="11">
        <v>856</v>
      </c>
      <c r="O64" s="11">
        <v>0</v>
      </c>
      <c r="P64" s="11">
        <v>0</v>
      </c>
      <c r="Q64" s="11">
        <v>0</v>
      </c>
      <c r="R64" s="11">
        <v>0</v>
      </c>
      <c r="S64" s="12">
        <v>8961</v>
      </c>
    </row>
    <row r="65" spans="1:19" ht="17.5" thickBot="1" x14ac:dyDescent="0.65">
      <c r="A65" s="10" t="s">
        <v>129</v>
      </c>
      <c r="B65" s="9" t="s">
        <v>176</v>
      </c>
      <c r="C65" s="9" t="s">
        <v>177</v>
      </c>
      <c r="D65" s="20" t="s">
        <v>178</v>
      </c>
      <c r="E65" s="10" t="s">
        <v>694</v>
      </c>
      <c r="F65" s="10" t="s">
        <v>104</v>
      </c>
      <c r="G65" s="11">
        <v>1058</v>
      </c>
      <c r="H65" s="11">
        <v>787</v>
      </c>
      <c r="I65" s="11">
        <v>1149</v>
      </c>
      <c r="J65" s="11">
        <v>564</v>
      </c>
      <c r="K65" s="11">
        <v>2103</v>
      </c>
      <c r="L65" s="11">
        <v>1088</v>
      </c>
      <c r="M65" s="11">
        <v>1109</v>
      </c>
      <c r="N65" s="11">
        <v>1100</v>
      </c>
      <c r="O65" s="11">
        <v>0</v>
      </c>
      <c r="P65" s="11">
        <v>0</v>
      </c>
      <c r="Q65" s="11">
        <v>0</v>
      </c>
      <c r="R65" s="11">
        <v>0</v>
      </c>
      <c r="S65" s="12">
        <v>8958</v>
      </c>
    </row>
    <row r="66" spans="1:19" ht="17.5" thickBot="1" x14ac:dyDescent="0.65">
      <c r="A66" s="10" t="s">
        <v>179</v>
      </c>
      <c r="B66" s="9" t="s">
        <v>180</v>
      </c>
      <c r="C66" s="9" t="s">
        <v>181</v>
      </c>
      <c r="D66" s="20" t="s">
        <v>182</v>
      </c>
      <c r="E66" s="10" t="s">
        <v>694</v>
      </c>
      <c r="F66" s="10" t="s">
        <v>25</v>
      </c>
      <c r="G66" s="11">
        <v>4503</v>
      </c>
      <c r="H66" s="11">
        <v>2160</v>
      </c>
      <c r="I66" s="11">
        <v>2267</v>
      </c>
      <c r="J66" s="11">
        <v>1719</v>
      </c>
      <c r="K66" s="11">
        <v>1586</v>
      </c>
      <c r="L66" s="11">
        <v>2116</v>
      </c>
      <c r="M66" s="11">
        <v>1830</v>
      </c>
      <c r="N66" s="11">
        <v>2574</v>
      </c>
      <c r="O66" s="11">
        <v>0</v>
      </c>
      <c r="P66" s="11">
        <v>0</v>
      </c>
      <c r="Q66" s="11">
        <v>0</v>
      </c>
      <c r="R66" s="11">
        <v>0</v>
      </c>
      <c r="S66" s="12">
        <v>18755</v>
      </c>
    </row>
    <row r="67" spans="1:19" ht="17.5" thickBot="1" x14ac:dyDescent="0.65">
      <c r="A67" s="10" t="s">
        <v>179</v>
      </c>
      <c r="B67" s="9" t="s">
        <v>180</v>
      </c>
      <c r="C67" s="9" t="s">
        <v>183</v>
      </c>
      <c r="D67" s="20" t="s">
        <v>184</v>
      </c>
      <c r="E67" s="10" t="s">
        <v>694</v>
      </c>
      <c r="F67" s="10" t="s">
        <v>25</v>
      </c>
      <c r="G67" s="11">
        <v>1067</v>
      </c>
      <c r="H67" s="11">
        <v>266</v>
      </c>
      <c r="I67" s="11">
        <v>708</v>
      </c>
      <c r="J67" s="11">
        <v>1031</v>
      </c>
      <c r="K67" s="11">
        <v>989</v>
      </c>
      <c r="L67" s="11">
        <v>521</v>
      </c>
      <c r="M67" s="11">
        <v>634</v>
      </c>
      <c r="N67" s="11">
        <v>315</v>
      </c>
      <c r="O67" s="11">
        <v>0</v>
      </c>
      <c r="P67" s="11">
        <v>0</v>
      </c>
      <c r="Q67" s="11">
        <v>0</v>
      </c>
      <c r="R67" s="11">
        <v>0</v>
      </c>
      <c r="S67" s="12">
        <v>5531</v>
      </c>
    </row>
    <row r="68" spans="1:19" ht="17.5" thickBot="1" x14ac:dyDescent="0.65">
      <c r="A68" s="10" t="s">
        <v>179</v>
      </c>
      <c r="B68" s="9" t="s">
        <v>180</v>
      </c>
      <c r="C68" s="9" t="s">
        <v>185</v>
      </c>
      <c r="D68" s="20" t="s">
        <v>186</v>
      </c>
      <c r="E68" s="10" t="s">
        <v>694</v>
      </c>
      <c r="F68" s="10" t="s">
        <v>25</v>
      </c>
      <c r="G68" s="11">
        <v>2611</v>
      </c>
      <c r="H68" s="11">
        <v>2526</v>
      </c>
      <c r="I68" s="11">
        <v>1650</v>
      </c>
      <c r="J68" s="11">
        <v>1918</v>
      </c>
      <c r="K68" s="11">
        <v>1588</v>
      </c>
      <c r="L68" s="11">
        <v>1454</v>
      </c>
      <c r="M68" s="11">
        <v>1440</v>
      </c>
      <c r="N68" s="11">
        <v>1371</v>
      </c>
      <c r="O68" s="11">
        <v>0</v>
      </c>
      <c r="P68" s="11">
        <v>0</v>
      </c>
      <c r="Q68" s="11">
        <v>0</v>
      </c>
      <c r="R68" s="11">
        <v>0</v>
      </c>
      <c r="S68" s="12">
        <v>14558</v>
      </c>
    </row>
    <row r="69" spans="1:19" ht="17.5" thickBot="1" x14ac:dyDescent="0.65">
      <c r="A69" s="10" t="s">
        <v>179</v>
      </c>
      <c r="B69" s="9" t="s">
        <v>187</v>
      </c>
      <c r="C69" s="9" t="s">
        <v>188</v>
      </c>
      <c r="D69" s="20" t="s">
        <v>189</v>
      </c>
      <c r="E69" s="10" t="s">
        <v>694</v>
      </c>
      <c r="F69" s="10" t="s">
        <v>25</v>
      </c>
      <c r="G69" s="11">
        <v>1859</v>
      </c>
      <c r="H69" s="11">
        <v>1878</v>
      </c>
      <c r="I69" s="11">
        <v>1582</v>
      </c>
      <c r="J69" s="11">
        <v>1733</v>
      </c>
      <c r="K69" s="11">
        <v>1117</v>
      </c>
      <c r="L69" s="11">
        <v>1108</v>
      </c>
      <c r="M69" s="11">
        <v>722</v>
      </c>
      <c r="N69" s="11">
        <v>1319</v>
      </c>
      <c r="O69" s="11">
        <v>0</v>
      </c>
      <c r="P69" s="11">
        <v>0</v>
      </c>
      <c r="Q69" s="11">
        <v>0</v>
      </c>
      <c r="R69" s="11">
        <v>0</v>
      </c>
      <c r="S69" s="12">
        <v>11318</v>
      </c>
    </row>
    <row r="70" spans="1:19" ht="17.5" thickBot="1" x14ac:dyDescent="0.65">
      <c r="A70" s="10" t="s">
        <v>179</v>
      </c>
      <c r="B70" s="9" t="s">
        <v>190</v>
      </c>
      <c r="C70" s="9" t="s">
        <v>191</v>
      </c>
      <c r="D70" s="20" t="s">
        <v>192</v>
      </c>
      <c r="E70" s="10" t="s">
        <v>694</v>
      </c>
      <c r="F70" s="10" t="s">
        <v>28</v>
      </c>
      <c r="G70" s="11">
        <v>164</v>
      </c>
      <c r="H70" s="11">
        <v>591</v>
      </c>
      <c r="I70" s="11">
        <v>437</v>
      </c>
      <c r="J70" s="11">
        <v>226</v>
      </c>
      <c r="K70" s="11">
        <v>136</v>
      </c>
      <c r="L70" s="11">
        <v>514</v>
      </c>
      <c r="M70" s="11">
        <v>396</v>
      </c>
      <c r="N70" s="11">
        <v>326</v>
      </c>
      <c r="O70" s="11">
        <v>0</v>
      </c>
      <c r="P70" s="11">
        <v>0</v>
      </c>
      <c r="Q70" s="11">
        <v>0</v>
      </c>
      <c r="R70" s="11">
        <v>0</v>
      </c>
      <c r="S70" s="12">
        <v>2790</v>
      </c>
    </row>
    <row r="71" spans="1:19" ht="17.5" thickBot="1" x14ac:dyDescent="0.65">
      <c r="A71" s="10" t="s">
        <v>179</v>
      </c>
      <c r="B71" s="9" t="s">
        <v>193</v>
      </c>
      <c r="C71" s="9" t="s">
        <v>194</v>
      </c>
      <c r="D71" s="20" t="s">
        <v>195</v>
      </c>
      <c r="E71" s="10" t="s">
        <v>694</v>
      </c>
      <c r="F71" s="10" t="s">
        <v>104</v>
      </c>
      <c r="G71" s="11">
        <v>383</v>
      </c>
      <c r="H71" s="11">
        <v>821</v>
      </c>
      <c r="I71" s="11">
        <v>670</v>
      </c>
      <c r="J71" s="11">
        <v>531</v>
      </c>
      <c r="K71" s="11">
        <v>889</v>
      </c>
      <c r="L71" s="11">
        <v>1256</v>
      </c>
      <c r="M71" s="11">
        <v>1257</v>
      </c>
      <c r="N71" s="11">
        <v>501</v>
      </c>
      <c r="O71" s="11">
        <v>0</v>
      </c>
      <c r="P71" s="11">
        <v>0</v>
      </c>
      <c r="Q71" s="11">
        <v>0</v>
      </c>
      <c r="R71" s="11">
        <v>0</v>
      </c>
      <c r="S71" s="12">
        <v>6308</v>
      </c>
    </row>
    <row r="72" spans="1:19" ht="17.5" thickBot="1" x14ac:dyDescent="0.65">
      <c r="A72" s="10" t="s">
        <v>179</v>
      </c>
      <c r="B72" s="9" t="s">
        <v>196</v>
      </c>
      <c r="C72" s="9" t="s">
        <v>197</v>
      </c>
      <c r="D72" s="20" t="s">
        <v>198</v>
      </c>
      <c r="E72" s="10" t="s">
        <v>694</v>
      </c>
      <c r="F72" s="10" t="s">
        <v>104</v>
      </c>
      <c r="G72" s="11">
        <v>1484</v>
      </c>
      <c r="H72" s="11">
        <v>1741</v>
      </c>
      <c r="I72" s="11">
        <v>1953</v>
      </c>
      <c r="J72" s="11">
        <v>1338</v>
      </c>
      <c r="K72" s="11">
        <v>1855</v>
      </c>
      <c r="L72" s="11">
        <v>2415</v>
      </c>
      <c r="M72" s="11">
        <v>1601</v>
      </c>
      <c r="N72" s="11">
        <v>1333</v>
      </c>
      <c r="O72" s="11">
        <v>0</v>
      </c>
      <c r="P72" s="11">
        <v>0</v>
      </c>
      <c r="Q72" s="11">
        <v>0</v>
      </c>
      <c r="R72" s="11">
        <v>0</v>
      </c>
      <c r="S72" s="12">
        <v>13720</v>
      </c>
    </row>
    <row r="73" spans="1:19" ht="17.5" thickBot="1" x14ac:dyDescent="0.65">
      <c r="A73" s="10" t="s">
        <v>179</v>
      </c>
      <c r="B73" s="9" t="s">
        <v>196</v>
      </c>
      <c r="C73" s="9" t="s">
        <v>199</v>
      </c>
      <c r="D73" s="20" t="s">
        <v>200</v>
      </c>
      <c r="E73" s="10" t="s">
        <v>694</v>
      </c>
      <c r="F73" s="10" t="s">
        <v>104</v>
      </c>
      <c r="G73" s="11">
        <v>106</v>
      </c>
      <c r="H73" s="11">
        <v>464</v>
      </c>
      <c r="I73" s="11">
        <v>749</v>
      </c>
      <c r="J73" s="11">
        <v>426</v>
      </c>
      <c r="K73" s="11">
        <v>81</v>
      </c>
      <c r="L73" s="11">
        <v>130</v>
      </c>
      <c r="M73" s="11">
        <v>89</v>
      </c>
      <c r="N73" s="11">
        <v>210</v>
      </c>
      <c r="O73" s="11">
        <v>0</v>
      </c>
      <c r="P73" s="11">
        <v>0</v>
      </c>
      <c r="Q73" s="11">
        <v>0</v>
      </c>
      <c r="R73" s="11">
        <v>0</v>
      </c>
      <c r="S73" s="12">
        <v>2255</v>
      </c>
    </row>
    <row r="74" spans="1:19" ht="17.5" thickBot="1" x14ac:dyDescent="0.65">
      <c r="A74" s="10" t="s">
        <v>179</v>
      </c>
      <c r="B74" s="9" t="s">
        <v>201</v>
      </c>
      <c r="C74" s="9" t="s">
        <v>202</v>
      </c>
      <c r="D74" s="20" t="s">
        <v>203</v>
      </c>
      <c r="E74" s="10" t="s">
        <v>694</v>
      </c>
      <c r="F74" s="10" t="s">
        <v>21</v>
      </c>
      <c r="G74" s="11">
        <v>623</v>
      </c>
      <c r="H74" s="11">
        <v>657</v>
      </c>
      <c r="I74" s="11">
        <v>622</v>
      </c>
      <c r="J74" s="11">
        <v>416</v>
      </c>
      <c r="K74" s="11">
        <v>447</v>
      </c>
      <c r="L74" s="11">
        <v>300</v>
      </c>
      <c r="M74" s="11">
        <v>277</v>
      </c>
      <c r="N74" s="11">
        <v>154</v>
      </c>
      <c r="O74" s="11">
        <v>0</v>
      </c>
      <c r="P74" s="11">
        <v>0</v>
      </c>
      <c r="Q74" s="11">
        <v>0</v>
      </c>
      <c r="R74" s="11">
        <v>0</v>
      </c>
      <c r="S74" s="12">
        <v>3496</v>
      </c>
    </row>
    <row r="75" spans="1:19" ht="17.5" thickBot="1" x14ac:dyDescent="0.65">
      <c r="A75" s="10" t="s">
        <v>179</v>
      </c>
      <c r="B75" s="9" t="s">
        <v>201</v>
      </c>
      <c r="C75" s="9" t="s">
        <v>204</v>
      </c>
      <c r="D75" s="20" t="s">
        <v>205</v>
      </c>
      <c r="E75" s="10" t="s">
        <v>694</v>
      </c>
      <c r="F75" s="10" t="s">
        <v>21</v>
      </c>
      <c r="G75" s="11">
        <v>813</v>
      </c>
      <c r="H75" s="11">
        <v>875</v>
      </c>
      <c r="I75" s="11">
        <v>507</v>
      </c>
      <c r="J75" s="11">
        <v>372</v>
      </c>
      <c r="K75" s="11">
        <v>197</v>
      </c>
      <c r="L75" s="11">
        <v>840</v>
      </c>
      <c r="M75" s="11">
        <v>551</v>
      </c>
      <c r="N75" s="11">
        <v>1576</v>
      </c>
      <c r="O75" s="11">
        <v>0</v>
      </c>
      <c r="P75" s="11">
        <v>0</v>
      </c>
      <c r="Q75" s="11">
        <v>0</v>
      </c>
      <c r="R75" s="11">
        <v>0</v>
      </c>
      <c r="S75" s="12">
        <v>5731</v>
      </c>
    </row>
    <row r="76" spans="1:19" ht="17.5" thickBot="1" x14ac:dyDescent="0.65">
      <c r="A76" s="10" t="s">
        <v>179</v>
      </c>
      <c r="B76" s="9" t="s">
        <v>201</v>
      </c>
      <c r="C76" s="9" t="s">
        <v>206</v>
      </c>
      <c r="D76" s="20" t="s">
        <v>207</v>
      </c>
      <c r="E76" s="10" t="s">
        <v>694</v>
      </c>
      <c r="F76" s="10" t="s">
        <v>21</v>
      </c>
      <c r="G76" s="11">
        <v>0</v>
      </c>
      <c r="H76" s="11">
        <v>0</v>
      </c>
      <c r="I76" s="11">
        <v>0</v>
      </c>
      <c r="J76" s="11">
        <v>148</v>
      </c>
      <c r="K76" s="11">
        <v>875</v>
      </c>
      <c r="L76" s="11">
        <v>893</v>
      </c>
      <c r="M76" s="11">
        <v>492</v>
      </c>
      <c r="N76" s="11">
        <v>1664</v>
      </c>
      <c r="O76" s="11">
        <v>0</v>
      </c>
      <c r="P76" s="11">
        <v>0</v>
      </c>
      <c r="Q76" s="11">
        <v>0</v>
      </c>
      <c r="R76" s="11">
        <v>0</v>
      </c>
      <c r="S76" s="12">
        <v>4072</v>
      </c>
    </row>
    <row r="77" spans="1:19" ht="17.5" thickBot="1" x14ac:dyDescent="0.65">
      <c r="A77" s="10" t="s">
        <v>179</v>
      </c>
      <c r="B77" s="9" t="s">
        <v>201</v>
      </c>
      <c r="C77" s="9" t="s">
        <v>208</v>
      </c>
      <c r="D77" s="20" t="s">
        <v>209</v>
      </c>
      <c r="E77" s="10" t="s">
        <v>694</v>
      </c>
      <c r="F77" s="10" t="s">
        <v>21</v>
      </c>
      <c r="G77" s="11">
        <v>977</v>
      </c>
      <c r="H77" s="11">
        <v>945</v>
      </c>
      <c r="I77" s="11">
        <v>2019</v>
      </c>
      <c r="J77" s="11">
        <v>1499</v>
      </c>
      <c r="K77" s="11">
        <v>929</v>
      </c>
      <c r="L77" s="11">
        <v>2369</v>
      </c>
      <c r="M77" s="11">
        <v>1417</v>
      </c>
      <c r="N77" s="11">
        <v>986</v>
      </c>
      <c r="O77" s="11">
        <v>0</v>
      </c>
      <c r="P77" s="11">
        <v>0</v>
      </c>
      <c r="Q77" s="11">
        <v>0</v>
      </c>
      <c r="R77" s="11">
        <v>0</v>
      </c>
      <c r="S77" s="12">
        <v>11141</v>
      </c>
    </row>
    <row r="78" spans="1:19" ht="17.5" thickBot="1" x14ac:dyDescent="0.65">
      <c r="A78" s="10" t="s">
        <v>179</v>
      </c>
      <c r="B78" s="9" t="s">
        <v>201</v>
      </c>
      <c r="C78" s="9" t="s">
        <v>210</v>
      </c>
      <c r="D78" s="20" t="s">
        <v>211</v>
      </c>
      <c r="E78" s="10" t="s">
        <v>694</v>
      </c>
      <c r="F78" s="10" t="s">
        <v>21</v>
      </c>
      <c r="G78" s="11">
        <v>1023</v>
      </c>
      <c r="H78" s="11">
        <v>1318</v>
      </c>
      <c r="I78" s="11">
        <v>1866</v>
      </c>
      <c r="J78" s="11">
        <v>879</v>
      </c>
      <c r="K78" s="11">
        <v>830</v>
      </c>
      <c r="L78" s="11">
        <v>645</v>
      </c>
      <c r="M78" s="11">
        <v>261</v>
      </c>
      <c r="N78" s="11">
        <v>94</v>
      </c>
      <c r="O78" s="11">
        <v>0</v>
      </c>
      <c r="P78" s="11">
        <v>0</v>
      </c>
      <c r="Q78" s="11">
        <v>0</v>
      </c>
      <c r="R78" s="11">
        <v>0</v>
      </c>
      <c r="S78" s="12">
        <v>6916</v>
      </c>
    </row>
    <row r="79" spans="1:19" ht="17.5" thickBot="1" x14ac:dyDescent="0.65">
      <c r="A79" s="10" t="s">
        <v>179</v>
      </c>
      <c r="B79" s="9" t="s">
        <v>201</v>
      </c>
      <c r="C79" s="9" t="s">
        <v>212</v>
      </c>
      <c r="D79" s="20" t="s">
        <v>213</v>
      </c>
      <c r="E79" s="10" t="s">
        <v>694</v>
      </c>
      <c r="F79" s="10" t="s">
        <v>21</v>
      </c>
      <c r="G79" s="11">
        <v>303</v>
      </c>
      <c r="H79" s="11">
        <v>528</v>
      </c>
      <c r="I79" s="11">
        <v>585</v>
      </c>
      <c r="J79" s="11">
        <v>237</v>
      </c>
      <c r="K79" s="11">
        <v>344</v>
      </c>
      <c r="L79" s="11">
        <v>726</v>
      </c>
      <c r="M79" s="11">
        <v>2106</v>
      </c>
      <c r="N79" s="11">
        <v>2318</v>
      </c>
      <c r="O79" s="11">
        <v>0</v>
      </c>
      <c r="P79" s="11">
        <v>0</v>
      </c>
      <c r="Q79" s="11">
        <v>0</v>
      </c>
      <c r="R79" s="11">
        <v>0</v>
      </c>
      <c r="S79" s="12">
        <v>7147</v>
      </c>
    </row>
    <row r="80" spans="1:19" ht="17.5" thickBot="1" x14ac:dyDescent="0.65">
      <c r="A80" s="10" t="s">
        <v>179</v>
      </c>
      <c r="B80" s="9" t="s">
        <v>214</v>
      </c>
      <c r="C80" s="9" t="s">
        <v>215</v>
      </c>
      <c r="D80" s="20" t="s">
        <v>216</v>
      </c>
      <c r="E80" s="10" t="s">
        <v>694</v>
      </c>
      <c r="F80" s="10" t="s">
        <v>21</v>
      </c>
      <c r="G80" s="11">
        <v>894</v>
      </c>
      <c r="H80" s="11">
        <v>1470</v>
      </c>
      <c r="I80" s="11">
        <v>2031</v>
      </c>
      <c r="J80" s="11">
        <v>1115</v>
      </c>
      <c r="K80" s="11">
        <v>1584</v>
      </c>
      <c r="L80" s="11">
        <v>1477</v>
      </c>
      <c r="M80" s="11">
        <v>1090</v>
      </c>
      <c r="N80" s="11">
        <v>1392</v>
      </c>
      <c r="O80" s="11">
        <v>0</v>
      </c>
      <c r="P80" s="11">
        <v>0</v>
      </c>
      <c r="Q80" s="11">
        <v>0</v>
      </c>
      <c r="R80" s="11">
        <v>0</v>
      </c>
      <c r="S80" s="12">
        <v>11053</v>
      </c>
    </row>
    <row r="81" spans="1:19" ht="17.5" thickBot="1" x14ac:dyDescent="0.65">
      <c r="A81" s="10" t="s">
        <v>179</v>
      </c>
      <c r="B81" s="9" t="s">
        <v>217</v>
      </c>
      <c r="C81" s="9" t="s">
        <v>218</v>
      </c>
      <c r="D81" s="20" t="s">
        <v>219</v>
      </c>
      <c r="E81" s="10" t="s">
        <v>694</v>
      </c>
      <c r="F81" s="10" t="s">
        <v>25</v>
      </c>
      <c r="G81" s="11">
        <v>3393</v>
      </c>
      <c r="H81" s="11">
        <v>3718</v>
      </c>
      <c r="I81" s="11">
        <v>4854</v>
      </c>
      <c r="J81" s="11">
        <v>3483</v>
      </c>
      <c r="K81" s="11">
        <v>2969</v>
      </c>
      <c r="L81" s="11">
        <v>2426</v>
      </c>
      <c r="M81" s="11">
        <v>1961</v>
      </c>
      <c r="N81" s="11">
        <v>1736</v>
      </c>
      <c r="O81" s="11">
        <v>0</v>
      </c>
      <c r="P81" s="11">
        <v>0</v>
      </c>
      <c r="Q81" s="11">
        <v>0</v>
      </c>
      <c r="R81" s="11">
        <v>0</v>
      </c>
      <c r="S81" s="12">
        <v>24540</v>
      </c>
    </row>
    <row r="82" spans="1:19" ht="17.5" thickBot="1" x14ac:dyDescent="0.65">
      <c r="A82" s="10" t="s">
        <v>179</v>
      </c>
      <c r="B82" s="9" t="s">
        <v>217</v>
      </c>
      <c r="C82" s="9" t="s">
        <v>220</v>
      </c>
      <c r="D82" s="20" t="s">
        <v>221</v>
      </c>
      <c r="E82" s="10" t="s">
        <v>694</v>
      </c>
      <c r="F82" s="10" t="s">
        <v>25</v>
      </c>
      <c r="G82" s="11">
        <v>816</v>
      </c>
      <c r="H82" s="11">
        <v>1023</v>
      </c>
      <c r="I82" s="11">
        <v>1252</v>
      </c>
      <c r="J82" s="11">
        <v>593</v>
      </c>
      <c r="K82" s="11">
        <v>1614</v>
      </c>
      <c r="L82" s="11">
        <v>1521</v>
      </c>
      <c r="M82" s="11">
        <v>832</v>
      </c>
      <c r="N82" s="11">
        <v>1160</v>
      </c>
      <c r="O82" s="11">
        <v>0</v>
      </c>
      <c r="P82" s="11">
        <v>0</v>
      </c>
      <c r="Q82" s="11">
        <v>0</v>
      </c>
      <c r="R82" s="11">
        <v>0</v>
      </c>
      <c r="S82" s="12">
        <v>8811</v>
      </c>
    </row>
    <row r="83" spans="1:19" ht="17.5" thickBot="1" x14ac:dyDescent="0.65">
      <c r="A83" s="10" t="s">
        <v>179</v>
      </c>
      <c r="B83" s="9" t="s">
        <v>217</v>
      </c>
      <c r="C83" s="9" t="s">
        <v>222</v>
      </c>
      <c r="D83" s="20" t="s">
        <v>223</v>
      </c>
      <c r="E83" s="10" t="s">
        <v>694</v>
      </c>
      <c r="F83" s="10" t="s">
        <v>25</v>
      </c>
      <c r="G83" s="11">
        <v>870</v>
      </c>
      <c r="H83" s="11">
        <v>1220</v>
      </c>
      <c r="I83" s="11">
        <v>1296</v>
      </c>
      <c r="J83" s="11">
        <v>1028</v>
      </c>
      <c r="K83" s="11">
        <v>842</v>
      </c>
      <c r="L83" s="11">
        <v>796</v>
      </c>
      <c r="M83" s="11">
        <v>840</v>
      </c>
      <c r="N83" s="11">
        <v>644</v>
      </c>
      <c r="O83" s="11">
        <v>0</v>
      </c>
      <c r="P83" s="11">
        <v>0</v>
      </c>
      <c r="Q83" s="11">
        <v>0</v>
      </c>
      <c r="R83" s="11">
        <v>0</v>
      </c>
      <c r="S83" s="12">
        <v>7536</v>
      </c>
    </row>
    <row r="84" spans="1:19" ht="17.5" thickBot="1" x14ac:dyDescent="0.65">
      <c r="A84" s="10" t="s">
        <v>179</v>
      </c>
      <c r="B84" s="9" t="s">
        <v>224</v>
      </c>
      <c r="C84" s="15" t="s">
        <v>225</v>
      </c>
      <c r="D84" s="21" t="s">
        <v>226</v>
      </c>
      <c r="E84" s="10" t="s">
        <v>694</v>
      </c>
      <c r="F84" s="16" t="s">
        <v>21</v>
      </c>
      <c r="G84" s="11">
        <v>2687</v>
      </c>
      <c r="H84" s="11">
        <v>1788</v>
      </c>
      <c r="I84" s="11">
        <v>1850</v>
      </c>
      <c r="J84" s="11">
        <v>1060</v>
      </c>
      <c r="K84" s="11">
        <v>1628</v>
      </c>
      <c r="L84" s="11">
        <v>2368</v>
      </c>
      <c r="M84" s="11">
        <v>1079</v>
      </c>
      <c r="N84" s="11">
        <v>1013</v>
      </c>
      <c r="O84" s="11">
        <v>0</v>
      </c>
      <c r="P84" s="11">
        <v>0</v>
      </c>
      <c r="Q84" s="11">
        <v>0</v>
      </c>
      <c r="R84" s="11">
        <v>0</v>
      </c>
      <c r="S84" s="12">
        <v>13473</v>
      </c>
    </row>
    <row r="85" spans="1:19" ht="17.5" thickBot="1" x14ac:dyDescent="0.65">
      <c r="A85" s="10" t="s">
        <v>179</v>
      </c>
      <c r="B85" s="9" t="s">
        <v>227</v>
      </c>
      <c r="C85" s="9" t="s">
        <v>228</v>
      </c>
      <c r="D85" s="20" t="s">
        <v>229</v>
      </c>
      <c r="E85" s="10" t="s">
        <v>694</v>
      </c>
      <c r="F85" s="10" t="s">
        <v>104</v>
      </c>
      <c r="G85" s="11">
        <v>957</v>
      </c>
      <c r="H85" s="11">
        <v>1107</v>
      </c>
      <c r="I85" s="11">
        <v>1693</v>
      </c>
      <c r="J85" s="11">
        <v>836</v>
      </c>
      <c r="K85" s="11">
        <v>1279</v>
      </c>
      <c r="L85" s="11">
        <v>811</v>
      </c>
      <c r="M85" s="11">
        <v>731</v>
      </c>
      <c r="N85" s="11">
        <v>447</v>
      </c>
      <c r="O85" s="11">
        <v>0</v>
      </c>
      <c r="P85" s="11">
        <v>0</v>
      </c>
      <c r="Q85" s="11">
        <v>0</v>
      </c>
      <c r="R85" s="11">
        <v>0</v>
      </c>
      <c r="S85" s="12">
        <v>7861</v>
      </c>
    </row>
    <row r="86" spans="1:19" ht="17.5" thickBot="1" x14ac:dyDescent="0.65">
      <c r="A86" s="10" t="s">
        <v>179</v>
      </c>
      <c r="B86" s="9" t="s">
        <v>230</v>
      </c>
      <c r="C86" s="9" t="s">
        <v>231</v>
      </c>
      <c r="D86" s="20" t="s">
        <v>232</v>
      </c>
      <c r="E86" s="10" t="s">
        <v>694</v>
      </c>
      <c r="F86" s="10" t="s">
        <v>104</v>
      </c>
      <c r="G86" s="11">
        <v>546</v>
      </c>
      <c r="H86" s="11">
        <v>1442</v>
      </c>
      <c r="I86" s="11">
        <v>1873</v>
      </c>
      <c r="J86" s="11">
        <v>1352</v>
      </c>
      <c r="K86" s="11">
        <v>1031</v>
      </c>
      <c r="L86" s="11">
        <v>995</v>
      </c>
      <c r="M86" s="11">
        <v>649</v>
      </c>
      <c r="N86" s="11">
        <v>523</v>
      </c>
      <c r="O86" s="11">
        <v>0</v>
      </c>
      <c r="P86" s="11">
        <v>0</v>
      </c>
      <c r="Q86" s="11">
        <v>0</v>
      </c>
      <c r="R86" s="11">
        <v>0</v>
      </c>
      <c r="S86" s="12">
        <v>8411</v>
      </c>
    </row>
    <row r="87" spans="1:19" ht="17.5" thickBot="1" x14ac:dyDescent="0.65">
      <c r="A87" s="10" t="s">
        <v>179</v>
      </c>
      <c r="B87" s="9" t="s">
        <v>233</v>
      </c>
      <c r="C87" s="9" t="s">
        <v>234</v>
      </c>
      <c r="D87" s="20" t="s">
        <v>235</v>
      </c>
      <c r="E87" s="10" t="s">
        <v>694</v>
      </c>
      <c r="F87" s="10" t="s">
        <v>21</v>
      </c>
      <c r="G87" s="11">
        <v>436</v>
      </c>
      <c r="H87" s="11">
        <v>338</v>
      </c>
      <c r="I87" s="11">
        <v>847</v>
      </c>
      <c r="J87" s="11">
        <v>868</v>
      </c>
      <c r="K87" s="11">
        <v>842</v>
      </c>
      <c r="L87" s="11">
        <v>475</v>
      </c>
      <c r="M87" s="11">
        <v>422</v>
      </c>
      <c r="N87" s="11">
        <v>278</v>
      </c>
      <c r="O87" s="11">
        <v>0</v>
      </c>
      <c r="P87" s="11">
        <v>0</v>
      </c>
      <c r="Q87" s="11">
        <v>0</v>
      </c>
      <c r="R87" s="11">
        <v>0</v>
      </c>
      <c r="S87" s="12">
        <v>4506</v>
      </c>
    </row>
    <row r="88" spans="1:19" ht="17.5" thickBot="1" x14ac:dyDescent="0.65">
      <c r="A88" s="10" t="s">
        <v>179</v>
      </c>
      <c r="B88" s="9" t="s">
        <v>236</v>
      </c>
      <c r="C88" s="9" t="s">
        <v>237</v>
      </c>
      <c r="D88" s="20" t="s">
        <v>238</v>
      </c>
      <c r="E88" s="10" t="s">
        <v>694</v>
      </c>
      <c r="F88" s="10" t="s">
        <v>21</v>
      </c>
      <c r="G88" s="11">
        <v>767</v>
      </c>
      <c r="H88" s="11">
        <v>1193</v>
      </c>
      <c r="I88" s="11">
        <v>1663</v>
      </c>
      <c r="J88" s="11">
        <v>585</v>
      </c>
      <c r="K88" s="11">
        <v>1183</v>
      </c>
      <c r="L88" s="11">
        <v>1710</v>
      </c>
      <c r="M88" s="11">
        <v>1032</v>
      </c>
      <c r="N88" s="11">
        <v>2277</v>
      </c>
      <c r="O88" s="11">
        <v>0</v>
      </c>
      <c r="P88" s="11">
        <v>0</v>
      </c>
      <c r="Q88" s="11">
        <v>0</v>
      </c>
      <c r="R88" s="11">
        <v>0</v>
      </c>
      <c r="S88" s="12">
        <v>10410</v>
      </c>
    </row>
    <row r="89" spans="1:19" ht="17.5" thickBot="1" x14ac:dyDescent="0.65">
      <c r="A89" s="10" t="s">
        <v>179</v>
      </c>
      <c r="B89" s="9" t="s">
        <v>239</v>
      </c>
      <c r="C89" s="15" t="s">
        <v>240</v>
      </c>
      <c r="D89" s="21" t="s">
        <v>241</v>
      </c>
      <c r="E89" s="10" t="s">
        <v>694</v>
      </c>
      <c r="F89" s="16" t="s">
        <v>104</v>
      </c>
      <c r="G89" s="11">
        <v>603</v>
      </c>
      <c r="H89" s="11">
        <v>805</v>
      </c>
      <c r="I89" s="11">
        <v>1222</v>
      </c>
      <c r="J89" s="11">
        <v>1031</v>
      </c>
      <c r="K89" s="11">
        <v>619</v>
      </c>
      <c r="L89" s="11">
        <v>780</v>
      </c>
      <c r="M89" s="11">
        <v>784</v>
      </c>
      <c r="N89" s="11">
        <v>919</v>
      </c>
      <c r="O89" s="11">
        <v>0</v>
      </c>
      <c r="P89" s="11">
        <v>0</v>
      </c>
      <c r="Q89" s="11">
        <v>0</v>
      </c>
      <c r="R89" s="11">
        <v>0</v>
      </c>
      <c r="S89" s="12">
        <v>6763</v>
      </c>
    </row>
    <row r="90" spans="1:19" ht="17.5" thickBot="1" x14ac:dyDescent="0.65">
      <c r="A90" s="10" t="s">
        <v>179</v>
      </c>
      <c r="B90" s="9" t="s">
        <v>242</v>
      </c>
      <c r="C90" s="9" t="s">
        <v>243</v>
      </c>
      <c r="D90" s="20" t="s">
        <v>244</v>
      </c>
      <c r="E90" s="10" t="s">
        <v>694</v>
      </c>
      <c r="F90" s="10" t="s">
        <v>21</v>
      </c>
      <c r="G90" s="11">
        <v>645</v>
      </c>
      <c r="H90" s="11">
        <v>1013</v>
      </c>
      <c r="I90" s="11">
        <v>860</v>
      </c>
      <c r="J90" s="11">
        <v>707</v>
      </c>
      <c r="K90" s="11">
        <v>1277</v>
      </c>
      <c r="L90" s="11">
        <v>980</v>
      </c>
      <c r="M90" s="11">
        <v>838</v>
      </c>
      <c r="N90" s="11">
        <v>691</v>
      </c>
      <c r="O90" s="11">
        <v>0</v>
      </c>
      <c r="P90" s="11">
        <v>0</v>
      </c>
      <c r="Q90" s="11">
        <v>0</v>
      </c>
      <c r="R90" s="11">
        <v>0</v>
      </c>
      <c r="S90" s="12">
        <v>7011</v>
      </c>
    </row>
    <row r="91" spans="1:19" ht="17.5" thickBot="1" x14ac:dyDescent="0.65">
      <c r="A91" s="10" t="s">
        <v>179</v>
      </c>
      <c r="B91" s="9" t="s">
        <v>245</v>
      </c>
      <c r="C91" s="9" t="s">
        <v>246</v>
      </c>
      <c r="D91" s="20" t="s">
        <v>247</v>
      </c>
      <c r="E91" s="10" t="s">
        <v>694</v>
      </c>
      <c r="F91" s="10" t="s">
        <v>28</v>
      </c>
      <c r="G91" s="11">
        <v>280</v>
      </c>
      <c r="H91" s="11">
        <v>300</v>
      </c>
      <c r="I91" s="11">
        <v>361</v>
      </c>
      <c r="J91" s="11">
        <v>321</v>
      </c>
      <c r="K91" s="11">
        <v>282</v>
      </c>
      <c r="L91" s="11">
        <v>130</v>
      </c>
      <c r="M91" s="11">
        <v>271</v>
      </c>
      <c r="N91" s="11">
        <v>147</v>
      </c>
      <c r="O91" s="11">
        <v>0</v>
      </c>
      <c r="P91" s="11">
        <v>0</v>
      </c>
      <c r="Q91" s="11">
        <v>0</v>
      </c>
      <c r="R91" s="11">
        <v>0</v>
      </c>
      <c r="S91" s="12">
        <v>2092</v>
      </c>
    </row>
    <row r="92" spans="1:19" ht="17.5" thickBot="1" x14ac:dyDescent="0.65">
      <c r="A92" s="10" t="s">
        <v>179</v>
      </c>
      <c r="B92" s="17" t="s">
        <v>248</v>
      </c>
      <c r="C92" s="9" t="s">
        <v>249</v>
      </c>
      <c r="D92" s="20" t="s">
        <v>250</v>
      </c>
      <c r="E92" s="10" t="s">
        <v>694</v>
      </c>
      <c r="F92" s="10" t="s">
        <v>21</v>
      </c>
      <c r="G92" s="11">
        <v>435</v>
      </c>
      <c r="H92" s="11">
        <v>718</v>
      </c>
      <c r="I92" s="11">
        <v>829</v>
      </c>
      <c r="J92" s="11">
        <v>1050</v>
      </c>
      <c r="K92" s="11">
        <v>1606</v>
      </c>
      <c r="L92" s="11">
        <v>771</v>
      </c>
      <c r="M92" s="11">
        <v>737</v>
      </c>
      <c r="N92" s="11">
        <v>954</v>
      </c>
      <c r="O92" s="11">
        <v>0</v>
      </c>
      <c r="P92" s="11">
        <v>0</v>
      </c>
      <c r="Q92" s="11">
        <v>0</v>
      </c>
      <c r="R92" s="11">
        <v>0</v>
      </c>
      <c r="S92" s="12">
        <v>7100</v>
      </c>
    </row>
    <row r="93" spans="1:19" ht="17.5" thickBot="1" x14ac:dyDescent="0.65">
      <c r="A93" s="10" t="s">
        <v>179</v>
      </c>
      <c r="B93" s="17" t="s">
        <v>248</v>
      </c>
      <c r="C93" s="9" t="s">
        <v>251</v>
      </c>
      <c r="D93" s="20" t="s">
        <v>252</v>
      </c>
      <c r="E93" s="10" t="s">
        <v>694</v>
      </c>
      <c r="F93" s="10" t="s">
        <v>21</v>
      </c>
      <c r="G93" s="11">
        <v>972</v>
      </c>
      <c r="H93" s="11">
        <v>794</v>
      </c>
      <c r="I93" s="11">
        <v>859</v>
      </c>
      <c r="J93" s="11">
        <v>546</v>
      </c>
      <c r="K93" s="11">
        <v>530</v>
      </c>
      <c r="L93" s="11">
        <v>497</v>
      </c>
      <c r="M93" s="11">
        <v>749</v>
      </c>
      <c r="N93" s="11">
        <v>1125</v>
      </c>
      <c r="O93" s="11">
        <v>0</v>
      </c>
      <c r="P93" s="11">
        <v>0</v>
      </c>
      <c r="Q93" s="11">
        <v>0</v>
      </c>
      <c r="R93" s="11">
        <v>0</v>
      </c>
      <c r="S93" s="12">
        <v>6072</v>
      </c>
    </row>
    <row r="94" spans="1:19" ht="17.5" thickBot="1" x14ac:dyDescent="0.65">
      <c r="A94" s="10" t="s">
        <v>179</v>
      </c>
      <c r="B94" s="9" t="s">
        <v>253</v>
      </c>
      <c r="C94" s="9" t="s">
        <v>254</v>
      </c>
      <c r="D94" s="20" t="s">
        <v>255</v>
      </c>
      <c r="E94" s="10" t="s">
        <v>694</v>
      </c>
      <c r="F94" s="10" t="s">
        <v>21</v>
      </c>
      <c r="G94" s="11">
        <v>585</v>
      </c>
      <c r="H94" s="11">
        <v>762</v>
      </c>
      <c r="I94" s="11">
        <v>947</v>
      </c>
      <c r="J94" s="11">
        <v>1071</v>
      </c>
      <c r="K94" s="11">
        <v>1270</v>
      </c>
      <c r="L94" s="11">
        <v>1078</v>
      </c>
      <c r="M94" s="11">
        <v>1241</v>
      </c>
      <c r="N94" s="11">
        <v>1128</v>
      </c>
      <c r="O94" s="11">
        <v>0</v>
      </c>
      <c r="P94" s="11">
        <v>0</v>
      </c>
      <c r="Q94" s="11">
        <v>0</v>
      </c>
      <c r="R94" s="11">
        <v>0</v>
      </c>
      <c r="S94" s="12">
        <v>8082</v>
      </c>
    </row>
    <row r="95" spans="1:19" ht="17.5" thickBot="1" x14ac:dyDescent="0.65">
      <c r="A95" s="10" t="s">
        <v>179</v>
      </c>
      <c r="B95" s="9" t="s">
        <v>256</v>
      </c>
      <c r="C95" s="9" t="s">
        <v>257</v>
      </c>
      <c r="D95" s="20" t="s">
        <v>258</v>
      </c>
      <c r="E95" s="10" t="s">
        <v>694</v>
      </c>
      <c r="F95" s="10" t="s">
        <v>21</v>
      </c>
      <c r="G95" s="11">
        <v>40</v>
      </c>
      <c r="H95" s="11">
        <v>0</v>
      </c>
      <c r="I95" s="11">
        <v>229</v>
      </c>
      <c r="J95" s="11">
        <v>86</v>
      </c>
      <c r="K95" s="11">
        <v>754</v>
      </c>
      <c r="L95" s="11">
        <v>693</v>
      </c>
      <c r="M95" s="11">
        <v>112</v>
      </c>
      <c r="N95" s="11">
        <v>309</v>
      </c>
      <c r="O95" s="11">
        <v>0</v>
      </c>
      <c r="P95" s="11">
        <v>0</v>
      </c>
      <c r="Q95" s="11">
        <v>0</v>
      </c>
      <c r="R95" s="11">
        <v>0</v>
      </c>
      <c r="S95" s="12">
        <v>2223</v>
      </c>
    </row>
    <row r="96" spans="1:19" ht="17.5" thickBot="1" x14ac:dyDescent="0.65">
      <c r="A96" s="10" t="s">
        <v>179</v>
      </c>
      <c r="B96" s="9" t="s">
        <v>256</v>
      </c>
      <c r="C96" s="9" t="s">
        <v>259</v>
      </c>
      <c r="D96" s="20" t="s">
        <v>260</v>
      </c>
      <c r="E96" s="10" t="s">
        <v>694</v>
      </c>
      <c r="F96" s="10" t="s">
        <v>21</v>
      </c>
      <c r="G96" s="11">
        <v>1387</v>
      </c>
      <c r="H96" s="11">
        <v>1592</v>
      </c>
      <c r="I96" s="11">
        <v>2499</v>
      </c>
      <c r="J96" s="11">
        <v>1819</v>
      </c>
      <c r="K96" s="11">
        <v>1041</v>
      </c>
      <c r="L96" s="11">
        <v>2454</v>
      </c>
      <c r="M96" s="11">
        <v>2151</v>
      </c>
      <c r="N96" s="11">
        <v>2173</v>
      </c>
      <c r="O96" s="11">
        <v>0</v>
      </c>
      <c r="P96" s="11">
        <v>0</v>
      </c>
      <c r="Q96" s="11">
        <v>0</v>
      </c>
      <c r="R96" s="11">
        <v>0</v>
      </c>
      <c r="S96" s="12">
        <v>15116</v>
      </c>
    </row>
    <row r="97" spans="1:19" ht="17.5" thickBot="1" x14ac:dyDescent="0.65">
      <c r="A97" s="10" t="s">
        <v>179</v>
      </c>
      <c r="B97" s="9" t="s">
        <v>256</v>
      </c>
      <c r="C97" s="9" t="s">
        <v>261</v>
      </c>
      <c r="D97" s="20" t="s">
        <v>262</v>
      </c>
      <c r="E97" s="10" t="s">
        <v>694</v>
      </c>
      <c r="F97" s="10" t="s">
        <v>21</v>
      </c>
      <c r="G97" s="11">
        <v>1920</v>
      </c>
      <c r="H97" s="11">
        <v>2868</v>
      </c>
      <c r="I97" s="11">
        <v>2242</v>
      </c>
      <c r="J97" s="11">
        <v>1327</v>
      </c>
      <c r="K97" s="11">
        <v>1815</v>
      </c>
      <c r="L97" s="11">
        <v>1326</v>
      </c>
      <c r="M97" s="11">
        <v>1559</v>
      </c>
      <c r="N97" s="11">
        <v>658</v>
      </c>
      <c r="O97" s="11">
        <v>0</v>
      </c>
      <c r="P97" s="11">
        <v>0</v>
      </c>
      <c r="Q97" s="11">
        <v>0</v>
      </c>
      <c r="R97" s="11">
        <v>0</v>
      </c>
      <c r="S97" s="12">
        <v>13715</v>
      </c>
    </row>
    <row r="98" spans="1:19" ht="17.5" thickBot="1" x14ac:dyDescent="0.65">
      <c r="A98" s="10" t="s">
        <v>179</v>
      </c>
      <c r="B98" s="9" t="s">
        <v>256</v>
      </c>
      <c r="C98" s="9" t="s">
        <v>263</v>
      </c>
      <c r="D98" s="20" t="s">
        <v>264</v>
      </c>
      <c r="E98" s="10" t="s">
        <v>694</v>
      </c>
      <c r="F98" s="10" t="s">
        <v>21</v>
      </c>
      <c r="G98" s="11">
        <v>1193</v>
      </c>
      <c r="H98" s="11">
        <v>772</v>
      </c>
      <c r="I98" s="11">
        <v>1435</v>
      </c>
      <c r="J98" s="11">
        <v>764</v>
      </c>
      <c r="K98" s="11">
        <v>553</v>
      </c>
      <c r="L98" s="11">
        <v>833</v>
      </c>
      <c r="M98" s="11">
        <v>738</v>
      </c>
      <c r="N98" s="11">
        <v>385</v>
      </c>
      <c r="O98" s="11">
        <v>0</v>
      </c>
      <c r="P98" s="11">
        <v>0</v>
      </c>
      <c r="Q98" s="11">
        <v>0</v>
      </c>
      <c r="R98" s="11">
        <v>0</v>
      </c>
      <c r="S98" s="12">
        <v>6673</v>
      </c>
    </row>
    <row r="99" spans="1:19" ht="17.5" thickBot="1" x14ac:dyDescent="0.65">
      <c r="A99" s="10" t="s">
        <v>179</v>
      </c>
      <c r="B99" s="9" t="s">
        <v>265</v>
      </c>
      <c r="C99" s="9" t="s">
        <v>266</v>
      </c>
      <c r="D99" s="20" t="s">
        <v>267</v>
      </c>
      <c r="E99" s="10" t="s">
        <v>694</v>
      </c>
      <c r="F99" s="10" t="s">
        <v>104</v>
      </c>
      <c r="G99" s="11">
        <v>832</v>
      </c>
      <c r="H99" s="11">
        <v>679</v>
      </c>
      <c r="I99" s="11">
        <v>1446</v>
      </c>
      <c r="J99" s="11">
        <v>612</v>
      </c>
      <c r="K99" s="11">
        <v>542</v>
      </c>
      <c r="L99" s="11">
        <v>482</v>
      </c>
      <c r="M99" s="11">
        <v>1081</v>
      </c>
      <c r="N99" s="11">
        <v>1431</v>
      </c>
      <c r="O99" s="11">
        <v>0</v>
      </c>
      <c r="P99" s="11">
        <v>0</v>
      </c>
      <c r="Q99" s="11">
        <v>0</v>
      </c>
      <c r="R99" s="11">
        <v>0</v>
      </c>
      <c r="S99" s="12">
        <v>7105</v>
      </c>
    </row>
    <row r="100" spans="1:19" ht="17.5" thickBot="1" x14ac:dyDescent="0.65">
      <c r="A100" s="10" t="s">
        <v>179</v>
      </c>
      <c r="B100" s="9" t="s">
        <v>265</v>
      </c>
      <c r="C100" s="9" t="s">
        <v>268</v>
      </c>
      <c r="D100" s="20" t="s">
        <v>269</v>
      </c>
      <c r="E100" s="10" t="s">
        <v>694</v>
      </c>
      <c r="F100" s="10" t="s">
        <v>104</v>
      </c>
      <c r="G100" s="11">
        <v>104</v>
      </c>
      <c r="H100" s="11">
        <v>329</v>
      </c>
      <c r="I100" s="11">
        <v>122</v>
      </c>
      <c r="J100" s="11">
        <v>127</v>
      </c>
      <c r="K100" s="11">
        <v>178</v>
      </c>
      <c r="L100" s="11">
        <v>785</v>
      </c>
      <c r="M100" s="11">
        <v>864</v>
      </c>
      <c r="N100" s="11">
        <v>285</v>
      </c>
      <c r="O100" s="11">
        <v>0</v>
      </c>
      <c r="P100" s="11">
        <v>0</v>
      </c>
      <c r="Q100" s="11">
        <v>0</v>
      </c>
      <c r="R100" s="11">
        <v>0</v>
      </c>
      <c r="S100" s="12">
        <v>2794</v>
      </c>
    </row>
    <row r="101" spans="1:19" ht="17.5" thickBot="1" x14ac:dyDescent="0.65">
      <c r="A101" s="10" t="s">
        <v>179</v>
      </c>
      <c r="B101" s="9" t="s">
        <v>270</v>
      </c>
      <c r="C101" s="9" t="s">
        <v>271</v>
      </c>
      <c r="D101" s="20" t="s">
        <v>272</v>
      </c>
      <c r="E101" s="10" t="s">
        <v>694</v>
      </c>
      <c r="F101" s="10" t="s">
        <v>21</v>
      </c>
      <c r="G101" s="11">
        <v>944</v>
      </c>
      <c r="H101" s="11">
        <v>1629</v>
      </c>
      <c r="I101" s="11">
        <v>2109</v>
      </c>
      <c r="J101" s="11">
        <v>2149</v>
      </c>
      <c r="K101" s="11">
        <v>3646</v>
      </c>
      <c r="L101" s="11">
        <v>3134</v>
      </c>
      <c r="M101" s="11">
        <v>2839</v>
      </c>
      <c r="N101" s="11">
        <v>2240</v>
      </c>
      <c r="O101" s="11">
        <v>0</v>
      </c>
      <c r="P101" s="11">
        <v>0</v>
      </c>
      <c r="Q101" s="11">
        <v>0</v>
      </c>
      <c r="R101" s="11">
        <v>0</v>
      </c>
      <c r="S101" s="12">
        <v>18690</v>
      </c>
    </row>
    <row r="102" spans="1:19" ht="17.5" thickBot="1" x14ac:dyDescent="0.65">
      <c r="A102" s="10" t="s">
        <v>179</v>
      </c>
      <c r="B102" s="9" t="s">
        <v>270</v>
      </c>
      <c r="C102" s="9" t="s">
        <v>273</v>
      </c>
      <c r="D102" s="20" t="s">
        <v>274</v>
      </c>
      <c r="E102" s="10" t="s">
        <v>694</v>
      </c>
      <c r="F102" s="10" t="s">
        <v>21</v>
      </c>
      <c r="G102" s="11">
        <v>466</v>
      </c>
      <c r="H102" s="11">
        <v>767</v>
      </c>
      <c r="I102" s="11">
        <v>1399</v>
      </c>
      <c r="J102" s="11">
        <v>1202</v>
      </c>
      <c r="K102" s="11">
        <v>833</v>
      </c>
      <c r="L102" s="11">
        <v>1557</v>
      </c>
      <c r="M102" s="11">
        <v>1266</v>
      </c>
      <c r="N102" s="11">
        <v>765</v>
      </c>
      <c r="O102" s="11">
        <v>0</v>
      </c>
      <c r="P102" s="11">
        <v>0</v>
      </c>
      <c r="Q102" s="11">
        <v>0</v>
      </c>
      <c r="R102" s="11">
        <v>0</v>
      </c>
      <c r="S102" s="12">
        <v>8255</v>
      </c>
    </row>
    <row r="103" spans="1:19" ht="17.5" thickBot="1" x14ac:dyDescent="0.65">
      <c r="A103" s="10" t="s">
        <v>179</v>
      </c>
      <c r="B103" s="17" t="s">
        <v>275</v>
      </c>
      <c r="C103" s="9" t="s">
        <v>276</v>
      </c>
      <c r="D103" s="20" t="s">
        <v>277</v>
      </c>
      <c r="E103" s="10" t="s">
        <v>694</v>
      </c>
      <c r="F103" s="10" t="s">
        <v>25</v>
      </c>
      <c r="G103" s="11">
        <v>1014</v>
      </c>
      <c r="H103" s="11">
        <v>2450</v>
      </c>
      <c r="I103" s="11">
        <v>3866</v>
      </c>
      <c r="J103" s="11">
        <v>1744</v>
      </c>
      <c r="K103" s="11">
        <v>2481</v>
      </c>
      <c r="L103" s="11">
        <v>2214</v>
      </c>
      <c r="M103" s="11">
        <v>2501</v>
      </c>
      <c r="N103" s="11">
        <v>4015</v>
      </c>
      <c r="O103" s="11">
        <v>0</v>
      </c>
      <c r="P103" s="11">
        <v>0</v>
      </c>
      <c r="Q103" s="11">
        <v>0</v>
      </c>
      <c r="R103" s="11">
        <v>0</v>
      </c>
      <c r="S103" s="12">
        <v>20285</v>
      </c>
    </row>
    <row r="104" spans="1:19" ht="17.5" thickBot="1" x14ac:dyDescent="0.65">
      <c r="A104" s="10" t="s">
        <v>179</v>
      </c>
      <c r="B104" s="17" t="s">
        <v>275</v>
      </c>
      <c r="C104" s="9" t="s">
        <v>278</v>
      </c>
      <c r="D104" s="20" t="s">
        <v>279</v>
      </c>
      <c r="E104" s="10" t="s">
        <v>694</v>
      </c>
      <c r="F104" s="10" t="s">
        <v>25</v>
      </c>
      <c r="G104" s="11">
        <v>2633</v>
      </c>
      <c r="H104" s="11">
        <v>3539</v>
      </c>
      <c r="I104" s="11">
        <v>5013</v>
      </c>
      <c r="J104" s="11">
        <v>3509</v>
      </c>
      <c r="K104" s="11">
        <v>3667</v>
      </c>
      <c r="L104" s="11">
        <v>3284</v>
      </c>
      <c r="M104" s="11">
        <v>3778</v>
      </c>
      <c r="N104" s="11">
        <v>3252</v>
      </c>
      <c r="O104" s="11">
        <v>0</v>
      </c>
      <c r="P104" s="11">
        <v>0</v>
      </c>
      <c r="Q104" s="11">
        <v>0</v>
      </c>
      <c r="R104" s="11">
        <v>0</v>
      </c>
      <c r="S104" s="12">
        <v>28675</v>
      </c>
    </row>
    <row r="105" spans="1:19" ht="17.5" thickBot="1" x14ac:dyDescent="0.65">
      <c r="A105" s="10" t="s">
        <v>179</v>
      </c>
      <c r="B105" s="17" t="s">
        <v>275</v>
      </c>
      <c r="C105" s="9" t="s">
        <v>280</v>
      </c>
      <c r="D105" s="20" t="s">
        <v>281</v>
      </c>
      <c r="E105" s="10" t="s">
        <v>694</v>
      </c>
      <c r="F105" s="10" t="s">
        <v>25</v>
      </c>
      <c r="G105" s="11">
        <v>1362</v>
      </c>
      <c r="H105" s="11">
        <v>1482</v>
      </c>
      <c r="I105" s="11">
        <v>2235</v>
      </c>
      <c r="J105" s="11">
        <v>1323</v>
      </c>
      <c r="K105" s="11">
        <v>1257</v>
      </c>
      <c r="L105" s="11">
        <v>1328</v>
      </c>
      <c r="M105" s="11">
        <v>1051</v>
      </c>
      <c r="N105" s="11">
        <v>1624</v>
      </c>
      <c r="O105" s="11">
        <v>0</v>
      </c>
      <c r="P105" s="11">
        <v>0</v>
      </c>
      <c r="Q105" s="11">
        <v>0</v>
      </c>
      <c r="R105" s="11">
        <v>0</v>
      </c>
      <c r="S105" s="12">
        <v>11662</v>
      </c>
    </row>
    <row r="106" spans="1:19" ht="17.5" thickBot="1" x14ac:dyDescent="0.65">
      <c r="A106" s="10" t="s">
        <v>179</v>
      </c>
      <c r="B106" s="17" t="s">
        <v>275</v>
      </c>
      <c r="C106" s="9" t="s">
        <v>282</v>
      </c>
      <c r="D106" s="20" t="s">
        <v>283</v>
      </c>
      <c r="E106" s="10" t="s">
        <v>694</v>
      </c>
      <c r="F106" s="10" t="s">
        <v>25</v>
      </c>
      <c r="G106" s="11">
        <v>657</v>
      </c>
      <c r="H106" s="11">
        <v>693</v>
      </c>
      <c r="I106" s="11">
        <v>415</v>
      </c>
      <c r="J106" s="11">
        <v>130</v>
      </c>
      <c r="K106" s="11">
        <v>194</v>
      </c>
      <c r="L106" s="11">
        <v>1014</v>
      </c>
      <c r="M106" s="11">
        <v>830</v>
      </c>
      <c r="N106" s="11">
        <v>1173</v>
      </c>
      <c r="O106" s="11">
        <v>0</v>
      </c>
      <c r="P106" s="11">
        <v>0</v>
      </c>
      <c r="Q106" s="11">
        <v>0</v>
      </c>
      <c r="R106" s="11">
        <v>0</v>
      </c>
      <c r="S106" s="12">
        <v>5106</v>
      </c>
    </row>
    <row r="107" spans="1:19" ht="17.5" thickBot="1" x14ac:dyDescent="0.65">
      <c r="A107" s="10" t="s">
        <v>179</v>
      </c>
      <c r="B107" s="9" t="s">
        <v>284</v>
      </c>
      <c r="C107" s="9" t="s">
        <v>285</v>
      </c>
      <c r="D107" s="20" t="s">
        <v>286</v>
      </c>
      <c r="E107" s="10" t="s">
        <v>694</v>
      </c>
      <c r="F107" s="10" t="s">
        <v>21</v>
      </c>
      <c r="G107" s="11">
        <v>617</v>
      </c>
      <c r="H107" s="11">
        <v>1849</v>
      </c>
      <c r="I107" s="11">
        <v>1169</v>
      </c>
      <c r="J107" s="11">
        <v>571</v>
      </c>
      <c r="K107" s="11">
        <v>968</v>
      </c>
      <c r="L107" s="11">
        <v>1219</v>
      </c>
      <c r="M107" s="11">
        <v>1098</v>
      </c>
      <c r="N107" s="11">
        <v>683</v>
      </c>
      <c r="O107" s="11">
        <v>0</v>
      </c>
      <c r="P107" s="11">
        <v>0</v>
      </c>
      <c r="Q107" s="11">
        <v>0</v>
      </c>
      <c r="R107" s="11">
        <v>0</v>
      </c>
      <c r="S107" s="12">
        <v>8174</v>
      </c>
    </row>
    <row r="108" spans="1:19" ht="17.5" thickBot="1" x14ac:dyDescent="0.65">
      <c r="A108" s="10" t="s">
        <v>179</v>
      </c>
      <c r="B108" s="9" t="s">
        <v>284</v>
      </c>
      <c r="C108" s="9" t="s">
        <v>287</v>
      </c>
      <c r="D108" s="20" t="s">
        <v>288</v>
      </c>
      <c r="E108" s="10" t="s">
        <v>694</v>
      </c>
      <c r="F108" s="10" t="s">
        <v>21</v>
      </c>
      <c r="G108" s="11">
        <v>1181</v>
      </c>
      <c r="H108" s="11">
        <v>1794</v>
      </c>
      <c r="I108" s="11">
        <v>1726</v>
      </c>
      <c r="J108" s="11">
        <v>1023</v>
      </c>
      <c r="K108" s="11">
        <v>1314</v>
      </c>
      <c r="L108" s="11">
        <v>554</v>
      </c>
      <c r="M108" s="11">
        <v>937</v>
      </c>
      <c r="N108" s="11">
        <v>1023</v>
      </c>
      <c r="O108" s="11">
        <v>0</v>
      </c>
      <c r="P108" s="11">
        <v>0</v>
      </c>
      <c r="Q108" s="11">
        <v>0</v>
      </c>
      <c r="R108" s="11">
        <v>0</v>
      </c>
      <c r="S108" s="12">
        <v>9552</v>
      </c>
    </row>
    <row r="109" spans="1:19" ht="17.5" thickBot="1" x14ac:dyDescent="0.65">
      <c r="A109" s="10" t="s">
        <v>179</v>
      </c>
      <c r="B109" s="9" t="s">
        <v>284</v>
      </c>
      <c r="C109" s="9" t="s">
        <v>289</v>
      </c>
      <c r="D109" s="20" t="s">
        <v>290</v>
      </c>
      <c r="E109" s="10" t="s">
        <v>694</v>
      </c>
      <c r="F109" s="10" t="s">
        <v>21</v>
      </c>
      <c r="G109" s="11">
        <v>1023</v>
      </c>
      <c r="H109" s="11">
        <v>831</v>
      </c>
      <c r="I109" s="11">
        <v>1647</v>
      </c>
      <c r="J109" s="11">
        <v>1094</v>
      </c>
      <c r="K109" s="11">
        <v>1249</v>
      </c>
      <c r="L109" s="11">
        <v>1360</v>
      </c>
      <c r="M109" s="11">
        <v>1464</v>
      </c>
      <c r="N109" s="11">
        <v>1751</v>
      </c>
      <c r="O109" s="11">
        <v>0</v>
      </c>
      <c r="P109" s="11">
        <v>0</v>
      </c>
      <c r="Q109" s="11">
        <v>0</v>
      </c>
      <c r="R109" s="11">
        <v>0</v>
      </c>
      <c r="S109" s="12">
        <v>10419</v>
      </c>
    </row>
    <row r="110" spans="1:19" ht="17.5" thickBot="1" x14ac:dyDescent="0.65">
      <c r="A110" s="10" t="s">
        <v>179</v>
      </c>
      <c r="B110" s="9" t="s">
        <v>284</v>
      </c>
      <c r="C110" s="9" t="s">
        <v>291</v>
      </c>
      <c r="D110" s="20" t="s">
        <v>292</v>
      </c>
      <c r="E110" s="10" t="s">
        <v>694</v>
      </c>
      <c r="F110" s="10" t="s">
        <v>21</v>
      </c>
      <c r="G110" s="11">
        <v>681</v>
      </c>
      <c r="H110" s="11">
        <v>622</v>
      </c>
      <c r="I110" s="11">
        <v>941</v>
      </c>
      <c r="J110" s="11">
        <v>501</v>
      </c>
      <c r="K110" s="11">
        <v>297</v>
      </c>
      <c r="L110" s="11">
        <v>570</v>
      </c>
      <c r="M110" s="11">
        <v>58</v>
      </c>
      <c r="N110" s="11">
        <v>96</v>
      </c>
      <c r="O110" s="11">
        <v>0</v>
      </c>
      <c r="P110" s="11">
        <v>0</v>
      </c>
      <c r="Q110" s="11">
        <v>0</v>
      </c>
      <c r="R110" s="11">
        <v>0</v>
      </c>
      <c r="S110" s="12">
        <v>3766</v>
      </c>
    </row>
    <row r="111" spans="1:19" ht="17.5" thickBot="1" x14ac:dyDescent="0.65">
      <c r="A111" s="10" t="s">
        <v>179</v>
      </c>
      <c r="B111" s="9" t="s">
        <v>293</v>
      </c>
      <c r="C111" s="9" t="s">
        <v>294</v>
      </c>
      <c r="D111" s="20" t="s">
        <v>295</v>
      </c>
      <c r="E111" s="10" t="s">
        <v>694</v>
      </c>
      <c r="F111" s="10" t="s">
        <v>21</v>
      </c>
      <c r="G111" s="11">
        <v>1587</v>
      </c>
      <c r="H111" s="11">
        <v>1132</v>
      </c>
      <c r="I111" s="11">
        <v>1724</v>
      </c>
      <c r="J111" s="11">
        <v>1524</v>
      </c>
      <c r="K111" s="11">
        <v>2077</v>
      </c>
      <c r="L111" s="11">
        <v>1276</v>
      </c>
      <c r="M111" s="11">
        <v>1340</v>
      </c>
      <c r="N111" s="11">
        <v>1718</v>
      </c>
      <c r="O111" s="11">
        <v>0</v>
      </c>
      <c r="P111" s="11">
        <v>0</v>
      </c>
      <c r="Q111" s="11">
        <v>0</v>
      </c>
      <c r="R111" s="11">
        <v>0</v>
      </c>
      <c r="S111" s="12">
        <v>12378</v>
      </c>
    </row>
    <row r="112" spans="1:19" ht="17.5" thickBot="1" x14ac:dyDescent="0.65">
      <c r="A112" s="10" t="s">
        <v>179</v>
      </c>
      <c r="B112" s="9" t="s">
        <v>296</v>
      </c>
      <c r="C112" s="9" t="s">
        <v>297</v>
      </c>
      <c r="D112" s="20" t="s">
        <v>298</v>
      </c>
      <c r="E112" s="10" t="s">
        <v>694</v>
      </c>
      <c r="F112" s="10" t="s">
        <v>25</v>
      </c>
      <c r="G112" s="11">
        <v>1357</v>
      </c>
      <c r="H112" s="11">
        <v>1001</v>
      </c>
      <c r="I112" s="11">
        <v>1596</v>
      </c>
      <c r="J112" s="11">
        <v>641</v>
      </c>
      <c r="K112" s="11">
        <v>1219</v>
      </c>
      <c r="L112" s="11">
        <v>764</v>
      </c>
      <c r="M112" s="11">
        <v>1240</v>
      </c>
      <c r="N112" s="11">
        <v>1894</v>
      </c>
      <c r="O112" s="11">
        <v>0</v>
      </c>
      <c r="P112" s="11">
        <v>0</v>
      </c>
      <c r="Q112" s="11">
        <v>0</v>
      </c>
      <c r="R112" s="11">
        <v>0</v>
      </c>
      <c r="S112" s="12">
        <v>9712</v>
      </c>
    </row>
    <row r="113" spans="1:19" ht="17.5" thickBot="1" x14ac:dyDescent="0.65">
      <c r="A113" s="10" t="s">
        <v>179</v>
      </c>
      <c r="B113" s="9" t="s">
        <v>296</v>
      </c>
      <c r="C113" s="9" t="s">
        <v>299</v>
      </c>
      <c r="D113" s="20" t="s">
        <v>300</v>
      </c>
      <c r="E113" s="10" t="s">
        <v>694</v>
      </c>
      <c r="F113" s="10" t="s">
        <v>25</v>
      </c>
      <c r="G113" s="11">
        <v>3298</v>
      </c>
      <c r="H113" s="11">
        <v>3586</v>
      </c>
      <c r="I113" s="11">
        <v>4000</v>
      </c>
      <c r="J113" s="11">
        <v>3507</v>
      </c>
      <c r="K113" s="11">
        <v>5363</v>
      </c>
      <c r="L113" s="11">
        <v>4714</v>
      </c>
      <c r="M113" s="11">
        <v>2458</v>
      </c>
      <c r="N113" s="11">
        <v>1788</v>
      </c>
      <c r="O113" s="11">
        <v>0</v>
      </c>
      <c r="P113" s="11">
        <v>0</v>
      </c>
      <c r="Q113" s="11">
        <v>0</v>
      </c>
      <c r="R113" s="11">
        <v>0</v>
      </c>
      <c r="S113" s="12">
        <v>28714</v>
      </c>
    </row>
    <row r="114" spans="1:19" ht="17.5" thickBot="1" x14ac:dyDescent="0.65">
      <c r="A114" s="10" t="s">
        <v>179</v>
      </c>
      <c r="B114" s="9" t="s">
        <v>296</v>
      </c>
      <c r="C114" s="9" t="s">
        <v>301</v>
      </c>
      <c r="D114" s="20" t="s">
        <v>302</v>
      </c>
      <c r="E114" s="10" t="s">
        <v>694</v>
      </c>
      <c r="F114" s="10" t="s">
        <v>25</v>
      </c>
      <c r="G114" s="11">
        <v>2843</v>
      </c>
      <c r="H114" s="11">
        <v>1747</v>
      </c>
      <c r="I114" s="11">
        <v>2641</v>
      </c>
      <c r="J114" s="11">
        <v>2319</v>
      </c>
      <c r="K114" s="11">
        <v>3045</v>
      </c>
      <c r="L114" s="11">
        <v>2768</v>
      </c>
      <c r="M114" s="11">
        <v>1864</v>
      </c>
      <c r="N114" s="11">
        <v>2275</v>
      </c>
      <c r="O114" s="11">
        <v>0</v>
      </c>
      <c r="P114" s="11">
        <v>0</v>
      </c>
      <c r="Q114" s="11">
        <v>0</v>
      </c>
      <c r="R114" s="11">
        <v>0</v>
      </c>
      <c r="S114" s="12">
        <v>19502</v>
      </c>
    </row>
    <row r="115" spans="1:19" ht="17.5" thickBot="1" x14ac:dyDescent="0.65">
      <c r="A115" s="10" t="s">
        <v>179</v>
      </c>
      <c r="B115" s="9" t="s">
        <v>296</v>
      </c>
      <c r="C115" s="9" t="s">
        <v>303</v>
      </c>
      <c r="D115" s="20" t="s">
        <v>304</v>
      </c>
      <c r="E115" s="10" t="s">
        <v>694</v>
      </c>
      <c r="F115" s="10" t="s">
        <v>25</v>
      </c>
      <c r="G115" s="11">
        <v>1156</v>
      </c>
      <c r="H115" s="11">
        <v>1792</v>
      </c>
      <c r="I115" s="11">
        <v>1545</v>
      </c>
      <c r="J115" s="11">
        <v>897</v>
      </c>
      <c r="K115" s="11">
        <v>1096</v>
      </c>
      <c r="L115" s="11">
        <v>664</v>
      </c>
      <c r="M115" s="11">
        <v>1555</v>
      </c>
      <c r="N115" s="11">
        <v>1877</v>
      </c>
      <c r="O115" s="11">
        <v>0</v>
      </c>
      <c r="P115" s="11">
        <v>0</v>
      </c>
      <c r="Q115" s="11">
        <v>0</v>
      </c>
      <c r="R115" s="11">
        <v>0</v>
      </c>
      <c r="S115" s="12">
        <v>10582</v>
      </c>
    </row>
    <row r="116" spans="1:19" ht="17.5" thickBot="1" x14ac:dyDescent="0.65">
      <c r="A116" s="10" t="s">
        <v>179</v>
      </c>
      <c r="B116" s="9" t="s">
        <v>296</v>
      </c>
      <c r="C116" s="9" t="s">
        <v>305</v>
      </c>
      <c r="D116" s="20" t="s">
        <v>306</v>
      </c>
      <c r="E116" s="10" t="s">
        <v>694</v>
      </c>
      <c r="F116" s="10" t="s">
        <v>25</v>
      </c>
      <c r="G116" s="11">
        <v>1581</v>
      </c>
      <c r="H116" s="11">
        <v>1965</v>
      </c>
      <c r="I116" s="11">
        <v>2643</v>
      </c>
      <c r="J116" s="11">
        <v>1993</v>
      </c>
      <c r="K116" s="11">
        <v>1945</v>
      </c>
      <c r="L116" s="11">
        <v>1898</v>
      </c>
      <c r="M116" s="11">
        <v>2283</v>
      </c>
      <c r="N116" s="11">
        <v>2288</v>
      </c>
      <c r="O116" s="11">
        <v>0</v>
      </c>
      <c r="P116" s="11">
        <v>0</v>
      </c>
      <c r="Q116" s="11">
        <v>0</v>
      </c>
      <c r="R116" s="11">
        <v>0</v>
      </c>
      <c r="S116" s="12">
        <v>16596</v>
      </c>
    </row>
    <row r="117" spans="1:19" ht="17.5" thickBot="1" x14ac:dyDescent="0.65">
      <c r="A117" s="10" t="s">
        <v>179</v>
      </c>
      <c r="B117" s="9" t="s">
        <v>307</v>
      </c>
      <c r="C117" s="9" t="s">
        <v>308</v>
      </c>
      <c r="D117" s="20" t="s">
        <v>309</v>
      </c>
      <c r="E117" s="10" t="s">
        <v>694</v>
      </c>
      <c r="F117" s="10" t="s">
        <v>21</v>
      </c>
      <c r="G117" s="11">
        <v>903</v>
      </c>
      <c r="H117" s="11">
        <v>1111</v>
      </c>
      <c r="I117" s="11">
        <v>1544</v>
      </c>
      <c r="J117" s="11">
        <v>835</v>
      </c>
      <c r="K117" s="11">
        <v>1186</v>
      </c>
      <c r="L117" s="11">
        <v>1267</v>
      </c>
      <c r="M117" s="11">
        <v>1085</v>
      </c>
      <c r="N117" s="11">
        <v>1271</v>
      </c>
      <c r="O117" s="11">
        <v>0</v>
      </c>
      <c r="P117" s="11">
        <v>0</v>
      </c>
      <c r="Q117" s="11">
        <v>0</v>
      </c>
      <c r="R117" s="11">
        <v>0</v>
      </c>
      <c r="S117" s="12">
        <v>9202</v>
      </c>
    </row>
    <row r="118" spans="1:19" ht="17.5" thickBot="1" x14ac:dyDescent="0.65">
      <c r="A118" s="10" t="s">
        <v>179</v>
      </c>
      <c r="B118" s="9" t="s">
        <v>310</v>
      </c>
      <c r="C118" s="9" t="s">
        <v>311</v>
      </c>
      <c r="D118" s="20" t="s">
        <v>738</v>
      </c>
      <c r="E118" s="10" t="s">
        <v>694</v>
      </c>
      <c r="F118" s="10" t="s">
        <v>28</v>
      </c>
      <c r="G118" s="11">
        <v>1275</v>
      </c>
      <c r="H118" s="11">
        <v>1070</v>
      </c>
      <c r="I118" s="11">
        <v>2063</v>
      </c>
      <c r="J118" s="11">
        <v>595</v>
      </c>
      <c r="K118" s="11">
        <v>476</v>
      </c>
      <c r="L118" s="11">
        <v>292</v>
      </c>
      <c r="M118" s="11">
        <v>245</v>
      </c>
      <c r="N118" s="11">
        <v>765</v>
      </c>
      <c r="O118" s="11">
        <v>0</v>
      </c>
      <c r="P118" s="11">
        <v>0</v>
      </c>
      <c r="Q118" s="11">
        <v>0</v>
      </c>
      <c r="R118" s="11">
        <v>0</v>
      </c>
      <c r="S118" s="12">
        <v>6781</v>
      </c>
    </row>
    <row r="119" spans="1:19" ht="17.5" thickBot="1" x14ac:dyDescent="0.65">
      <c r="A119" s="10" t="s">
        <v>179</v>
      </c>
      <c r="B119" s="9" t="s">
        <v>312</v>
      </c>
      <c r="C119" s="9" t="s">
        <v>313</v>
      </c>
      <c r="D119" s="20" t="s">
        <v>314</v>
      </c>
      <c r="E119" s="10" t="s">
        <v>694</v>
      </c>
      <c r="F119" s="10" t="s">
        <v>25</v>
      </c>
      <c r="G119" s="11">
        <v>4177</v>
      </c>
      <c r="H119" s="11">
        <v>4295</v>
      </c>
      <c r="I119" s="11">
        <v>4140</v>
      </c>
      <c r="J119" s="11">
        <v>2900</v>
      </c>
      <c r="K119" s="11">
        <v>3128</v>
      </c>
      <c r="L119" s="11">
        <v>3535</v>
      </c>
      <c r="M119" s="11">
        <v>1984</v>
      </c>
      <c r="N119" s="11">
        <v>2228</v>
      </c>
      <c r="O119" s="11">
        <v>0</v>
      </c>
      <c r="P119" s="11">
        <v>0</v>
      </c>
      <c r="Q119" s="11">
        <v>0</v>
      </c>
      <c r="R119" s="11">
        <v>0</v>
      </c>
      <c r="S119" s="12">
        <v>26387</v>
      </c>
    </row>
    <row r="120" spans="1:19" ht="17.5" thickBot="1" x14ac:dyDescent="0.65">
      <c r="A120" s="10" t="s">
        <v>179</v>
      </c>
      <c r="B120" s="9" t="s">
        <v>315</v>
      </c>
      <c r="C120" s="9" t="s">
        <v>316</v>
      </c>
      <c r="D120" s="20" t="s">
        <v>317</v>
      </c>
      <c r="E120" s="10" t="s">
        <v>694</v>
      </c>
      <c r="F120" s="10" t="s">
        <v>21</v>
      </c>
      <c r="G120" s="11">
        <v>631</v>
      </c>
      <c r="H120" s="11">
        <v>694</v>
      </c>
      <c r="I120" s="11">
        <v>463</v>
      </c>
      <c r="J120" s="11">
        <v>369</v>
      </c>
      <c r="K120" s="11">
        <v>459</v>
      </c>
      <c r="L120" s="11">
        <v>683</v>
      </c>
      <c r="M120" s="11">
        <v>256</v>
      </c>
      <c r="N120" s="11">
        <v>428</v>
      </c>
      <c r="O120" s="11">
        <v>0</v>
      </c>
      <c r="P120" s="11">
        <v>0</v>
      </c>
      <c r="Q120" s="11">
        <v>0</v>
      </c>
      <c r="R120" s="11">
        <v>0</v>
      </c>
      <c r="S120" s="12">
        <v>3983</v>
      </c>
    </row>
    <row r="121" spans="1:19" ht="17.5" thickBot="1" x14ac:dyDescent="0.65">
      <c r="A121" s="10" t="s">
        <v>179</v>
      </c>
      <c r="B121" s="9" t="s">
        <v>318</v>
      </c>
      <c r="C121" s="9" t="s">
        <v>319</v>
      </c>
      <c r="D121" s="20" t="s">
        <v>779</v>
      </c>
      <c r="E121" s="10" t="s">
        <v>694</v>
      </c>
      <c r="F121" s="10" t="s">
        <v>104</v>
      </c>
      <c r="G121" s="11">
        <v>2372</v>
      </c>
      <c r="H121" s="11">
        <v>1870</v>
      </c>
      <c r="I121" s="11">
        <v>3118</v>
      </c>
      <c r="J121" s="11">
        <v>1385</v>
      </c>
      <c r="K121" s="11">
        <v>1978</v>
      </c>
      <c r="L121" s="11">
        <v>1486</v>
      </c>
      <c r="M121" s="11">
        <v>1172</v>
      </c>
      <c r="N121" s="11">
        <v>989</v>
      </c>
      <c r="O121" s="11">
        <v>0</v>
      </c>
      <c r="P121" s="11">
        <v>0</v>
      </c>
      <c r="Q121" s="11">
        <v>0</v>
      </c>
      <c r="R121" s="11">
        <v>0</v>
      </c>
      <c r="S121" s="12">
        <v>14370</v>
      </c>
    </row>
    <row r="122" spans="1:19" ht="17.5" thickBot="1" x14ac:dyDescent="0.65">
      <c r="A122" s="10" t="s">
        <v>179</v>
      </c>
      <c r="B122" s="9" t="s">
        <v>320</v>
      </c>
      <c r="C122" s="9" t="s">
        <v>321</v>
      </c>
      <c r="D122" s="20" t="s">
        <v>780</v>
      </c>
      <c r="E122" s="10" t="s">
        <v>694</v>
      </c>
      <c r="F122" s="10" t="s">
        <v>21</v>
      </c>
      <c r="G122" s="11">
        <v>900</v>
      </c>
      <c r="H122" s="11">
        <v>575</v>
      </c>
      <c r="I122" s="11">
        <v>1359</v>
      </c>
      <c r="J122" s="11">
        <v>1098</v>
      </c>
      <c r="K122" s="11">
        <v>297</v>
      </c>
      <c r="L122" s="11">
        <v>489</v>
      </c>
      <c r="M122" s="11">
        <v>192</v>
      </c>
      <c r="N122" s="11">
        <v>245</v>
      </c>
      <c r="O122" s="11">
        <v>0</v>
      </c>
      <c r="P122" s="11">
        <v>0</v>
      </c>
      <c r="Q122" s="11">
        <v>0</v>
      </c>
      <c r="R122" s="11">
        <v>0</v>
      </c>
      <c r="S122" s="12">
        <v>5155</v>
      </c>
    </row>
    <row r="123" spans="1:19" ht="17.5" thickBot="1" x14ac:dyDescent="0.65">
      <c r="A123" s="10" t="s">
        <v>179</v>
      </c>
      <c r="B123" s="9" t="s">
        <v>322</v>
      </c>
      <c r="C123" s="9" t="s">
        <v>323</v>
      </c>
      <c r="D123" s="20" t="s">
        <v>781</v>
      </c>
      <c r="E123" s="10" t="s">
        <v>694</v>
      </c>
      <c r="F123" s="10" t="s">
        <v>28</v>
      </c>
      <c r="G123" s="11">
        <v>576</v>
      </c>
      <c r="H123" s="11">
        <v>616</v>
      </c>
      <c r="I123" s="11">
        <v>1085</v>
      </c>
      <c r="J123" s="11">
        <v>384</v>
      </c>
      <c r="K123" s="11">
        <v>753</v>
      </c>
      <c r="L123" s="11">
        <v>673</v>
      </c>
      <c r="M123" s="11">
        <v>678</v>
      </c>
      <c r="N123" s="11">
        <v>732</v>
      </c>
      <c r="O123" s="11">
        <v>0</v>
      </c>
      <c r="P123" s="11">
        <v>0</v>
      </c>
      <c r="Q123" s="11">
        <v>0</v>
      </c>
      <c r="R123" s="11">
        <v>0</v>
      </c>
      <c r="S123" s="12">
        <v>5497</v>
      </c>
    </row>
    <row r="124" spans="1:19" ht="17.5" thickBot="1" x14ac:dyDescent="0.65">
      <c r="A124" s="10" t="s">
        <v>179</v>
      </c>
      <c r="B124" s="9" t="s">
        <v>322</v>
      </c>
      <c r="C124" s="9" t="s">
        <v>324</v>
      </c>
      <c r="D124" s="20" t="s">
        <v>782</v>
      </c>
      <c r="E124" s="10" t="s">
        <v>694</v>
      </c>
      <c r="F124" s="10" t="s">
        <v>28</v>
      </c>
      <c r="G124" s="11">
        <v>0</v>
      </c>
      <c r="H124" s="11">
        <v>0</v>
      </c>
      <c r="I124" s="11">
        <v>0</v>
      </c>
      <c r="J124" s="11">
        <v>11</v>
      </c>
      <c r="K124" s="11">
        <v>77</v>
      </c>
      <c r="L124" s="11">
        <v>112</v>
      </c>
      <c r="M124" s="11">
        <v>34</v>
      </c>
      <c r="N124" s="11">
        <v>108</v>
      </c>
      <c r="O124" s="11">
        <v>0</v>
      </c>
      <c r="P124" s="11">
        <v>0</v>
      </c>
      <c r="Q124" s="11">
        <v>0</v>
      </c>
      <c r="R124" s="11">
        <v>0</v>
      </c>
      <c r="S124" s="12">
        <v>342</v>
      </c>
    </row>
    <row r="125" spans="1:19" ht="17.5" thickBot="1" x14ac:dyDescent="0.65">
      <c r="A125" s="10" t="s">
        <v>179</v>
      </c>
      <c r="B125" s="9" t="s">
        <v>325</v>
      </c>
      <c r="C125" s="9" t="s">
        <v>326</v>
      </c>
      <c r="D125" s="20" t="s">
        <v>783</v>
      </c>
      <c r="E125" s="10" t="s">
        <v>694</v>
      </c>
      <c r="F125" s="10" t="s">
        <v>21</v>
      </c>
      <c r="G125" s="11">
        <v>802</v>
      </c>
      <c r="H125" s="11">
        <v>1026</v>
      </c>
      <c r="I125" s="11">
        <v>1496</v>
      </c>
      <c r="J125" s="11">
        <v>862</v>
      </c>
      <c r="K125" s="11">
        <v>791</v>
      </c>
      <c r="L125" s="11">
        <v>1149</v>
      </c>
      <c r="M125" s="11">
        <v>1656</v>
      </c>
      <c r="N125" s="11">
        <v>1096</v>
      </c>
      <c r="O125" s="11">
        <v>0</v>
      </c>
      <c r="P125" s="11">
        <v>0</v>
      </c>
      <c r="Q125" s="11">
        <v>0</v>
      </c>
      <c r="R125" s="11">
        <v>0</v>
      </c>
      <c r="S125" s="12">
        <v>8878</v>
      </c>
    </row>
    <row r="126" spans="1:19" ht="17.5" thickBot="1" x14ac:dyDescent="0.65">
      <c r="A126" s="10" t="s">
        <v>179</v>
      </c>
      <c r="B126" s="8" t="s">
        <v>327</v>
      </c>
      <c r="C126" s="9" t="s">
        <v>328</v>
      </c>
      <c r="D126" s="20" t="s">
        <v>784</v>
      </c>
      <c r="E126" s="10" t="s">
        <v>694</v>
      </c>
      <c r="F126" s="10" t="s">
        <v>21</v>
      </c>
      <c r="G126" s="11">
        <v>542</v>
      </c>
      <c r="H126" s="11">
        <v>383</v>
      </c>
      <c r="I126" s="11">
        <v>989</v>
      </c>
      <c r="J126" s="11">
        <v>827</v>
      </c>
      <c r="K126" s="11">
        <v>1156</v>
      </c>
      <c r="L126" s="11">
        <v>556</v>
      </c>
      <c r="M126" s="11">
        <v>768</v>
      </c>
      <c r="N126" s="11">
        <v>627</v>
      </c>
      <c r="O126" s="11">
        <v>0</v>
      </c>
      <c r="P126" s="11">
        <v>0</v>
      </c>
      <c r="Q126" s="11">
        <v>0</v>
      </c>
      <c r="R126" s="11">
        <v>0</v>
      </c>
      <c r="S126" s="12">
        <v>5848</v>
      </c>
    </row>
    <row r="127" spans="1:19" ht="17.5" thickBot="1" x14ac:dyDescent="0.65">
      <c r="A127" s="10" t="s">
        <v>179</v>
      </c>
      <c r="B127" s="8" t="s">
        <v>329</v>
      </c>
      <c r="C127" s="9" t="s">
        <v>330</v>
      </c>
      <c r="D127" s="20" t="s">
        <v>730</v>
      </c>
      <c r="E127" s="10" t="s">
        <v>694</v>
      </c>
      <c r="F127" s="10" t="s">
        <v>28</v>
      </c>
      <c r="G127" s="11">
        <v>260</v>
      </c>
      <c r="H127" s="11">
        <v>307</v>
      </c>
      <c r="I127" s="11">
        <v>896</v>
      </c>
      <c r="J127" s="11">
        <v>505</v>
      </c>
      <c r="K127" s="11">
        <v>284</v>
      </c>
      <c r="L127" s="11">
        <v>280</v>
      </c>
      <c r="M127" s="11">
        <v>134</v>
      </c>
      <c r="N127" s="11">
        <v>121</v>
      </c>
      <c r="O127" s="11">
        <v>0</v>
      </c>
      <c r="P127" s="11">
        <v>0</v>
      </c>
      <c r="Q127" s="11">
        <v>0</v>
      </c>
      <c r="R127" s="11">
        <v>0</v>
      </c>
      <c r="S127" s="12">
        <v>2787</v>
      </c>
    </row>
    <row r="128" spans="1:19" ht="17.5" thickBot="1" x14ac:dyDescent="0.65">
      <c r="A128" s="10" t="s">
        <v>179</v>
      </c>
      <c r="B128" s="9" t="s">
        <v>331</v>
      </c>
      <c r="C128" s="9" t="s">
        <v>332</v>
      </c>
      <c r="D128" s="20" t="s">
        <v>725</v>
      </c>
      <c r="E128" s="10" t="s">
        <v>695</v>
      </c>
      <c r="F128" s="10" t="s">
        <v>28</v>
      </c>
      <c r="G128" s="11">
        <v>162</v>
      </c>
      <c r="H128" s="11">
        <v>120</v>
      </c>
      <c r="I128" s="11">
        <v>810</v>
      </c>
      <c r="J128" s="11">
        <v>304</v>
      </c>
      <c r="K128" s="11">
        <v>247</v>
      </c>
      <c r="L128" s="11">
        <v>264</v>
      </c>
      <c r="M128" s="11">
        <v>506</v>
      </c>
      <c r="N128" s="11">
        <v>313</v>
      </c>
      <c r="O128" s="11">
        <v>0</v>
      </c>
      <c r="P128" s="11">
        <v>0</v>
      </c>
      <c r="Q128" s="11">
        <v>0</v>
      </c>
      <c r="R128" s="11">
        <v>0</v>
      </c>
      <c r="S128" s="12">
        <v>2726</v>
      </c>
    </row>
    <row r="129" spans="1:19" ht="17.5" thickBot="1" x14ac:dyDescent="0.65">
      <c r="A129" s="10" t="s">
        <v>179</v>
      </c>
      <c r="B129" s="9" t="s">
        <v>331</v>
      </c>
      <c r="C129" s="9" t="s">
        <v>333</v>
      </c>
      <c r="D129" s="20" t="s">
        <v>733</v>
      </c>
      <c r="E129" s="10" t="s">
        <v>694</v>
      </c>
      <c r="F129" s="10" t="s">
        <v>28</v>
      </c>
      <c r="G129" s="11">
        <v>1359</v>
      </c>
      <c r="H129" s="11">
        <v>1398</v>
      </c>
      <c r="I129" s="11">
        <v>2493</v>
      </c>
      <c r="J129" s="11">
        <v>1132</v>
      </c>
      <c r="K129" s="11">
        <v>1590</v>
      </c>
      <c r="L129" s="11">
        <v>1788</v>
      </c>
      <c r="M129" s="11">
        <v>643</v>
      </c>
      <c r="N129" s="11">
        <v>2236</v>
      </c>
      <c r="O129" s="11">
        <v>0</v>
      </c>
      <c r="P129" s="11">
        <v>0</v>
      </c>
      <c r="Q129" s="11">
        <v>0</v>
      </c>
      <c r="R129" s="11">
        <v>0</v>
      </c>
      <c r="S129" s="12">
        <v>12639</v>
      </c>
    </row>
    <row r="130" spans="1:19" ht="17.5" thickBot="1" x14ac:dyDescent="0.65">
      <c r="A130" s="10" t="s">
        <v>179</v>
      </c>
      <c r="B130" s="9" t="s">
        <v>334</v>
      </c>
      <c r="C130" s="9" t="s">
        <v>335</v>
      </c>
      <c r="D130" s="20" t="s">
        <v>785</v>
      </c>
      <c r="E130" s="10" t="s">
        <v>694</v>
      </c>
      <c r="F130" s="10" t="s">
        <v>25</v>
      </c>
      <c r="G130" s="11">
        <v>810</v>
      </c>
      <c r="H130" s="11">
        <v>686</v>
      </c>
      <c r="I130" s="11">
        <v>857</v>
      </c>
      <c r="J130" s="11">
        <v>790</v>
      </c>
      <c r="K130" s="11">
        <v>1109</v>
      </c>
      <c r="L130" s="11">
        <v>1108</v>
      </c>
      <c r="M130" s="11">
        <v>591</v>
      </c>
      <c r="N130" s="11">
        <v>929</v>
      </c>
      <c r="O130" s="11">
        <v>0</v>
      </c>
      <c r="P130" s="11">
        <v>0</v>
      </c>
      <c r="Q130" s="11">
        <v>0</v>
      </c>
      <c r="R130" s="11">
        <v>0</v>
      </c>
      <c r="S130" s="12">
        <v>6880</v>
      </c>
    </row>
    <row r="131" spans="1:19" ht="17.5" thickBot="1" x14ac:dyDescent="0.65">
      <c r="A131" s="10" t="s">
        <v>179</v>
      </c>
      <c r="B131" s="9" t="s">
        <v>336</v>
      </c>
      <c r="C131" s="9" t="s">
        <v>337</v>
      </c>
      <c r="D131" s="20" t="s">
        <v>726</v>
      </c>
      <c r="E131" s="10" t="s">
        <v>695</v>
      </c>
      <c r="F131" s="10" t="s">
        <v>28</v>
      </c>
      <c r="G131" s="11">
        <v>1013</v>
      </c>
      <c r="H131" s="11">
        <v>1112</v>
      </c>
      <c r="I131" s="11">
        <v>1249</v>
      </c>
      <c r="J131" s="11">
        <v>1011</v>
      </c>
      <c r="K131" s="11">
        <v>1202</v>
      </c>
      <c r="L131" s="11">
        <v>978</v>
      </c>
      <c r="M131" s="11">
        <v>935</v>
      </c>
      <c r="N131" s="11">
        <v>814</v>
      </c>
      <c r="O131" s="11">
        <v>0</v>
      </c>
      <c r="P131" s="11">
        <v>0</v>
      </c>
      <c r="Q131" s="11">
        <v>0</v>
      </c>
      <c r="R131" s="11">
        <v>0</v>
      </c>
      <c r="S131" s="12">
        <v>8314</v>
      </c>
    </row>
    <row r="132" spans="1:19" ht="17.5" thickBot="1" x14ac:dyDescent="0.65">
      <c r="A132" s="10" t="s">
        <v>179</v>
      </c>
      <c r="B132" s="9" t="s">
        <v>336</v>
      </c>
      <c r="C132" s="9" t="s">
        <v>338</v>
      </c>
      <c r="D132" s="20" t="s">
        <v>727</v>
      </c>
      <c r="E132" s="10" t="s">
        <v>695</v>
      </c>
      <c r="F132" s="10" t="s">
        <v>28</v>
      </c>
      <c r="G132" s="11">
        <v>979</v>
      </c>
      <c r="H132" s="11">
        <v>1227</v>
      </c>
      <c r="I132" s="11">
        <v>1514</v>
      </c>
      <c r="J132" s="11">
        <v>1124</v>
      </c>
      <c r="K132" s="11">
        <v>1808</v>
      </c>
      <c r="L132" s="11">
        <v>1890</v>
      </c>
      <c r="M132" s="11">
        <v>995</v>
      </c>
      <c r="N132" s="11">
        <v>862</v>
      </c>
      <c r="O132" s="11">
        <v>0</v>
      </c>
      <c r="P132" s="11">
        <v>0</v>
      </c>
      <c r="Q132" s="11">
        <v>0</v>
      </c>
      <c r="R132" s="11">
        <v>0</v>
      </c>
      <c r="S132" s="12">
        <v>10399</v>
      </c>
    </row>
    <row r="133" spans="1:19" ht="17.5" thickBot="1" x14ac:dyDescent="0.65">
      <c r="A133" s="10" t="s">
        <v>179</v>
      </c>
      <c r="B133" s="9" t="s">
        <v>336</v>
      </c>
      <c r="C133" s="9" t="s">
        <v>339</v>
      </c>
      <c r="D133" s="20" t="s">
        <v>340</v>
      </c>
      <c r="E133" s="10" t="s">
        <v>694</v>
      </c>
      <c r="F133" s="10" t="s">
        <v>28</v>
      </c>
      <c r="G133" s="11">
        <v>711</v>
      </c>
      <c r="H133" s="11">
        <v>1186</v>
      </c>
      <c r="I133" s="11">
        <v>756</v>
      </c>
      <c r="J133" s="11">
        <v>712</v>
      </c>
      <c r="K133" s="11">
        <v>1023</v>
      </c>
      <c r="L133" s="11">
        <v>449</v>
      </c>
      <c r="M133" s="11">
        <v>504</v>
      </c>
      <c r="N133" s="11">
        <v>560</v>
      </c>
      <c r="O133" s="11">
        <v>0</v>
      </c>
      <c r="P133" s="11">
        <v>0</v>
      </c>
      <c r="Q133" s="11">
        <v>0</v>
      </c>
      <c r="R133" s="11">
        <v>0</v>
      </c>
      <c r="S133" s="12">
        <v>5901</v>
      </c>
    </row>
    <row r="134" spans="1:19" ht="17.5" thickBot="1" x14ac:dyDescent="0.65">
      <c r="A134" s="10" t="s">
        <v>179</v>
      </c>
      <c r="B134" s="9" t="s">
        <v>341</v>
      </c>
      <c r="C134" s="9" t="s">
        <v>342</v>
      </c>
      <c r="D134" s="20" t="s">
        <v>343</v>
      </c>
      <c r="E134" s="10" t="s">
        <v>694</v>
      </c>
      <c r="F134" s="10" t="s">
        <v>104</v>
      </c>
      <c r="G134" s="11">
        <v>758</v>
      </c>
      <c r="H134" s="11">
        <v>907</v>
      </c>
      <c r="I134" s="11">
        <v>1377</v>
      </c>
      <c r="J134" s="11">
        <v>646</v>
      </c>
      <c r="K134" s="11">
        <v>1013</v>
      </c>
      <c r="L134" s="11">
        <v>1017</v>
      </c>
      <c r="M134" s="11">
        <v>723</v>
      </c>
      <c r="N134" s="11">
        <v>634</v>
      </c>
      <c r="O134" s="11">
        <v>0</v>
      </c>
      <c r="P134" s="11">
        <v>0</v>
      </c>
      <c r="Q134" s="11">
        <v>0</v>
      </c>
      <c r="R134" s="11">
        <v>0</v>
      </c>
      <c r="S134" s="12">
        <v>7075</v>
      </c>
    </row>
    <row r="135" spans="1:19" ht="17.5" thickBot="1" x14ac:dyDescent="0.65">
      <c r="A135" s="10" t="s">
        <v>179</v>
      </c>
      <c r="B135" s="9" t="s">
        <v>344</v>
      </c>
      <c r="C135" s="9" t="s">
        <v>345</v>
      </c>
      <c r="D135" s="20" t="s">
        <v>728</v>
      </c>
      <c r="E135" s="10" t="s">
        <v>695</v>
      </c>
      <c r="F135" s="10" t="s">
        <v>28</v>
      </c>
      <c r="G135" s="11">
        <v>1061</v>
      </c>
      <c r="H135" s="11">
        <v>712</v>
      </c>
      <c r="I135" s="11">
        <v>1347</v>
      </c>
      <c r="J135" s="11">
        <v>1080</v>
      </c>
      <c r="K135" s="11">
        <v>1052</v>
      </c>
      <c r="L135" s="11">
        <v>1034</v>
      </c>
      <c r="M135" s="11">
        <v>827</v>
      </c>
      <c r="N135" s="11">
        <v>771</v>
      </c>
      <c r="O135" s="11">
        <v>0</v>
      </c>
      <c r="P135" s="11">
        <v>0</v>
      </c>
      <c r="Q135" s="11">
        <v>0</v>
      </c>
      <c r="R135" s="11">
        <v>0</v>
      </c>
      <c r="S135" s="12">
        <v>7884</v>
      </c>
    </row>
    <row r="136" spans="1:19" ht="17.5" thickBot="1" x14ac:dyDescent="0.65">
      <c r="A136" s="10" t="s">
        <v>179</v>
      </c>
      <c r="B136" s="9" t="s">
        <v>346</v>
      </c>
      <c r="C136" s="9" t="s">
        <v>347</v>
      </c>
      <c r="D136" s="20" t="s">
        <v>786</v>
      </c>
      <c r="E136" s="10" t="s">
        <v>694</v>
      </c>
      <c r="F136" s="10" t="s">
        <v>104</v>
      </c>
      <c r="G136" s="11">
        <v>103</v>
      </c>
      <c r="H136" s="11">
        <v>201</v>
      </c>
      <c r="I136" s="11">
        <v>290</v>
      </c>
      <c r="J136" s="11">
        <v>126</v>
      </c>
      <c r="K136" s="11">
        <v>106</v>
      </c>
      <c r="L136" s="11">
        <v>158</v>
      </c>
      <c r="M136" s="11">
        <v>190</v>
      </c>
      <c r="N136" s="11">
        <v>522</v>
      </c>
      <c r="O136" s="11">
        <v>0</v>
      </c>
      <c r="P136" s="11">
        <v>0</v>
      </c>
      <c r="Q136" s="11">
        <v>0</v>
      </c>
      <c r="R136" s="11">
        <v>0</v>
      </c>
      <c r="S136" s="12">
        <v>1696</v>
      </c>
    </row>
    <row r="137" spans="1:19" ht="17.5" thickBot="1" x14ac:dyDescent="0.65">
      <c r="A137" s="10" t="s">
        <v>348</v>
      </c>
      <c r="B137" s="9" t="s">
        <v>349</v>
      </c>
      <c r="C137" s="9" t="s">
        <v>350</v>
      </c>
      <c r="D137" s="20" t="s">
        <v>351</v>
      </c>
      <c r="E137" s="10" t="s">
        <v>694</v>
      </c>
      <c r="F137" s="10" t="s">
        <v>104</v>
      </c>
      <c r="G137" s="11">
        <v>762</v>
      </c>
      <c r="H137" s="11">
        <v>545</v>
      </c>
      <c r="I137" s="11">
        <v>914</v>
      </c>
      <c r="J137" s="11">
        <v>762</v>
      </c>
      <c r="K137" s="11">
        <v>803</v>
      </c>
      <c r="L137" s="11">
        <v>1325</v>
      </c>
      <c r="M137" s="11">
        <v>1519</v>
      </c>
      <c r="N137" s="11">
        <v>1926</v>
      </c>
      <c r="O137" s="11">
        <v>0</v>
      </c>
      <c r="P137" s="11">
        <v>0</v>
      </c>
      <c r="Q137" s="11">
        <v>0</v>
      </c>
      <c r="R137" s="11">
        <v>0</v>
      </c>
      <c r="S137" s="12">
        <v>8556</v>
      </c>
    </row>
    <row r="138" spans="1:19" ht="17.5" thickBot="1" x14ac:dyDescent="0.65">
      <c r="A138" s="10" t="s">
        <v>348</v>
      </c>
      <c r="B138" s="9" t="s">
        <v>349</v>
      </c>
      <c r="C138" s="9" t="s">
        <v>352</v>
      </c>
      <c r="D138" s="20" t="s">
        <v>353</v>
      </c>
      <c r="E138" s="10" t="s">
        <v>694</v>
      </c>
      <c r="F138" s="10" t="s">
        <v>104</v>
      </c>
      <c r="G138" s="11">
        <v>60</v>
      </c>
      <c r="H138" s="11">
        <v>647</v>
      </c>
      <c r="I138" s="11">
        <v>321</v>
      </c>
      <c r="J138" s="11">
        <v>57</v>
      </c>
      <c r="K138" s="11">
        <v>73</v>
      </c>
      <c r="L138" s="11">
        <v>172</v>
      </c>
      <c r="M138" s="11">
        <v>152</v>
      </c>
      <c r="N138" s="11">
        <v>344</v>
      </c>
      <c r="O138" s="11">
        <v>0</v>
      </c>
      <c r="P138" s="11">
        <v>0</v>
      </c>
      <c r="Q138" s="11">
        <v>0</v>
      </c>
      <c r="R138" s="11">
        <v>0</v>
      </c>
      <c r="S138" s="12">
        <v>1826</v>
      </c>
    </row>
    <row r="139" spans="1:19" ht="17.5" thickBot="1" x14ac:dyDescent="0.65">
      <c r="A139" s="10" t="s">
        <v>348</v>
      </c>
      <c r="B139" s="9" t="s">
        <v>354</v>
      </c>
      <c r="C139" s="9" t="s">
        <v>355</v>
      </c>
      <c r="D139" s="20" t="s">
        <v>356</v>
      </c>
      <c r="E139" s="10" t="s">
        <v>694</v>
      </c>
      <c r="F139" s="10" t="s">
        <v>21</v>
      </c>
      <c r="G139" s="11">
        <v>825</v>
      </c>
      <c r="H139" s="11">
        <v>1271</v>
      </c>
      <c r="I139" s="11">
        <v>2252</v>
      </c>
      <c r="J139" s="11">
        <v>1166</v>
      </c>
      <c r="K139" s="11">
        <v>1066</v>
      </c>
      <c r="L139" s="11">
        <v>1438</v>
      </c>
      <c r="M139" s="11">
        <v>1556</v>
      </c>
      <c r="N139" s="11">
        <v>1387</v>
      </c>
      <c r="O139" s="11">
        <v>0</v>
      </c>
      <c r="P139" s="11">
        <v>0</v>
      </c>
      <c r="Q139" s="11">
        <v>0</v>
      </c>
      <c r="R139" s="11">
        <v>0</v>
      </c>
      <c r="S139" s="12">
        <v>10961</v>
      </c>
    </row>
    <row r="140" spans="1:19" ht="17.5" thickBot="1" x14ac:dyDescent="0.65">
      <c r="A140" s="10" t="s">
        <v>348</v>
      </c>
      <c r="B140" s="9" t="s">
        <v>357</v>
      </c>
      <c r="C140" s="9" t="s">
        <v>358</v>
      </c>
      <c r="D140" s="20" t="s">
        <v>359</v>
      </c>
      <c r="E140" s="10" t="s">
        <v>694</v>
      </c>
      <c r="F140" s="10" t="s">
        <v>25</v>
      </c>
      <c r="G140" s="11">
        <v>2243</v>
      </c>
      <c r="H140" s="11">
        <v>2609</v>
      </c>
      <c r="I140" s="11">
        <v>3792</v>
      </c>
      <c r="J140" s="11">
        <v>3915</v>
      </c>
      <c r="K140" s="11">
        <v>3329</v>
      </c>
      <c r="L140" s="11">
        <v>2369</v>
      </c>
      <c r="M140" s="11">
        <v>2303</v>
      </c>
      <c r="N140" s="11">
        <v>1735</v>
      </c>
      <c r="O140" s="11">
        <v>0</v>
      </c>
      <c r="P140" s="11">
        <v>0</v>
      </c>
      <c r="Q140" s="11">
        <v>0</v>
      </c>
      <c r="R140" s="11">
        <v>0</v>
      </c>
      <c r="S140" s="12">
        <v>22295</v>
      </c>
    </row>
    <row r="141" spans="1:19" ht="17.5" thickBot="1" x14ac:dyDescent="0.65">
      <c r="A141" s="10" t="s">
        <v>348</v>
      </c>
      <c r="B141" s="9" t="s">
        <v>357</v>
      </c>
      <c r="C141" s="9" t="s">
        <v>360</v>
      </c>
      <c r="D141" s="20" t="s">
        <v>361</v>
      </c>
      <c r="E141" s="10" t="s">
        <v>694</v>
      </c>
      <c r="F141" s="10" t="s">
        <v>25</v>
      </c>
      <c r="G141" s="11">
        <v>660</v>
      </c>
      <c r="H141" s="11">
        <v>1439</v>
      </c>
      <c r="I141" s="11">
        <v>2092</v>
      </c>
      <c r="J141" s="11">
        <v>768</v>
      </c>
      <c r="K141" s="11">
        <v>590</v>
      </c>
      <c r="L141" s="11">
        <v>975</v>
      </c>
      <c r="M141" s="11">
        <v>712</v>
      </c>
      <c r="N141" s="11">
        <v>2338</v>
      </c>
      <c r="O141" s="11">
        <v>0</v>
      </c>
      <c r="P141" s="11">
        <v>0</v>
      </c>
      <c r="Q141" s="11">
        <v>0</v>
      </c>
      <c r="R141" s="11">
        <v>0</v>
      </c>
      <c r="S141" s="12">
        <v>9574</v>
      </c>
    </row>
    <row r="142" spans="1:19" ht="17.5" thickBot="1" x14ac:dyDescent="0.65">
      <c r="A142" s="10" t="s">
        <v>348</v>
      </c>
      <c r="B142" s="9" t="s">
        <v>357</v>
      </c>
      <c r="C142" s="9" t="s">
        <v>362</v>
      </c>
      <c r="D142" s="20" t="s">
        <v>363</v>
      </c>
      <c r="E142" s="10" t="s">
        <v>694</v>
      </c>
      <c r="F142" s="10" t="s">
        <v>25</v>
      </c>
      <c r="G142" s="11">
        <v>2891</v>
      </c>
      <c r="H142" s="11">
        <v>1241</v>
      </c>
      <c r="I142" s="11">
        <v>1867</v>
      </c>
      <c r="J142" s="11">
        <v>2003</v>
      </c>
      <c r="K142" s="11">
        <v>1138</v>
      </c>
      <c r="L142" s="11">
        <v>979</v>
      </c>
      <c r="M142" s="11">
        <v>960</v>
      </c>
      <c r="N142" s="11">
        <v>1102</v>
      </c>
      <c r="O142" s="11">
        <v>0</v>
      </c>
      <c r="P142" s="11">
        <v>0</v>
      </c>
      <c r="Q142" s="11">
        <v>0</v>
      </c>
      <c r="R142" s="11">
        <v>0</v>
      </c>
      <c r="S142" s="12">
        <v>12181</v>
      </c>
    </row>
    <row r="143" spans="1:19" ht="17.5" thickBot="1" x14ac:dyDescent="0.65">
      <c r="A143" s="10" t="s">
        <v>348</v>
      </c>
      <c r="B143" s="9" t="s">
        <v>357</v>
      </c>
      <c r="C143" s="9" t="s">
        <v>364</v>
      </c>
      <c r="D143" s="20" t="s">
        <v>365</v>
      </c>
      <c r="E143" s="10" t="s">
        <v>694</v>
      </c>
      <c r="F143" s="10" t="s">
        <v>25</v>
      </c>
      <c r="G143" s="11">
        <v>1508</v>
      </c>
      <c r="H143" s="11">
        <v>1248</v>
      </c>
      <c r="I143" s="11">
        <v>1112</v>
      </c>
      <c r="J143" s="11">
        <v>1081</v>
      </c>
      <c r="K143" s="11">
        <v>826</v>
      </c>
      <c r="L143" s="11">
        <v>2595</v>
      </c>
      <c r="M143" s="11">
        <v>1889</v>
      </c>
      <c r="N143" s="11">
        <v>1877</v>
      </c>
      <c r="O143" s="11">
        <v>0</v>
      </c>
      <c r="P143" s="11">
        <v>0</v>
      </c>
      <c r="Q143" s="11">
        <v>0</v>
      </c>
      <c r="R143" s="11">
        <v>0</v>
      </c>
      <c r="S143" s="12">
        <v>12136</v>
      </c>
    </row>
    <row r="144" spans="1:19" ht="17.5" thickBot="1" x14ac:dyDescent="0.65">
      <c r="A144" s="10" t="s">
        <v>348</v>
      </c>
      <c r="B144" s="9" t="s">
        <v>357</v>
      </c>
      <c r="C144" s="9" t="s">
        <v>366</v>
      </c>
      <c r="D144" s="20" t="s">
        <v>367</v>
      </c>
      <c r="E144" s="10" t="s">
        <v>694</v>
      </c>
      <c r="F144" s="10" t="s">
        <v>25</v>
      </c>
      <c r="G144" s="11">
        <v>1835</v>
      </c>
      <c r="H144" s="11">
        <v>1733</v>
      </c>
      <c r="I144" s="11">
        <v>1585</v>
      </c>
      <c r="J144" s="11">
        <v>2003</v>
      </c>
      <c r="K144" s="11">
        <v>1040</v>
      </c>
      <c r="L144" s="11">
        <v>957</v>
      </c>
      <c r="M144" s="11">
        <v>1104</v>
      </c>
      <c r="N144" s="11">
        <v>1427</v>
      </c>
      <c r="O144" s="11">
        <v>0</v>
      </c>
      <c r="P144" s="11">
        <v>0</v>
      </c>
      <c r="Q144" s="11">
        <v>0</v>
      </c>
      <c r="R144" s="11">
        <v>0</v>
      </c>
      <c r="S144" s="12">
        <v>11684</v>
      </c>
    </row>
    <row r="145" spans="1:19" ht="17.5" thickBot="1" x14ac:dyDescent="0.65">
      <c r="A145" s="10" t="s">
        <v>348</v>
      </c>
      <c r="B145" s="9" t="s">
        <v>357</v>
      </c>
      <c r="C145" s="9" t="s">
        <v>368</v>
      </c>
      <c r="D145" s="20" t="s">
        <v>369</v>
      </c>
      <c r="E145" s="10" t="s">
        <v>694</v>
      </c>
      <c r="F145" s="10" t="s">
        <v>25</v>
      </c>
      <c r="G145" s="11">
        <v>723</v>
      </c>
      <c r="H145" s="11">
        <v>1522</v>
      </c>
      <c r="I145" s="11">
        <v>1041</v>
      </c>
      <c r="J145" s="11">
        <v>1370</v>
      </c>
      <c r="K145" s="11">
        <v>1388</v>
      </c>
      <c r="L145" s="11">
        <v>1072</v>
      </c>
      <c r="M145" s="11">
        <v>952</v>
      </c>
      <c r="N145" s="11">
        <v>516</v>
      </c>
      <c r="O145" s="11">
        <v>0</v>
      </c>
      <c r="P145" s="11">
        <v>0</v>
      </c>
      <c r="Q145" s="11">
        <v>0</v>
      </c>
      <c r="R145" s="11">
        <v>0</v>
      </c>
      <c r="S145" s="12">
        <v>8584</v>
      </c>
    </row>
    <row r="146" spans="1:19" ht="17.5" thickBot="1" x14ac:dyDescent="0.65">
      <c r="A146" s="10" t="s">
        <v>348</v>
      </c>
      <c r="B146" s="9" t="s">
        <v>357</v>
      </c>
      <c r="C146" s="9" t="s">
        <v>370</v>
      </c>
      <c r="D146" s="20" t="s">
        <v>371</v>
      </c>
      <c r="E146" s="10" t="s">
        <v>694</v>
      </c>
      <c r="F146" s="10" t="s">
        <v>25</v>
      </c>
      <c r="G146" s="11">
        <v>1312</v>
      </c>
      <c r="H146" s="11">
        <v>2552</v>
      </c>
      <c r="I146" s="11">
        <v>1137</v>
      </c>
      <c r="J146" s="11">
        <v>1266</v>
      </c>
      <c r="K146" s="11">
        <v>1029</v>
      </c>
      <c r="L146" s="11">
        <v>1310</v>
      </c>
      <c r="M146" s="11">
        <v>1781</v>
      </c>
      <c r="N146" s="11">
        <v>1634</v>
      </c>
      <c r="O146" s="11">
        <v>0</v>
      </c>
      <c r="P146" s="11">
        <v>0</v>
      </c>
      <c r="Q146" s="11">
        <v>0</v>
      </c>
      <c r="R146" s="11">
        <v>0</v>
      </c>
      <c r="S146" s="12">
        <v>12021</v>
      </c>
    </row>
    <row r="147" spans="1:19" ht="17.5" thickBot="1" x14ac:dyDescent="0.65">
      <c r="A147" s="10" t="s">
        <v>348</v>
      </c>
      <c r="B147" s="9" t="s">
        <v>357</v>
      </c>
      <c r="C147" s="9" t="s">
        <v>372</v>
      </c>
      <c r="D147" s="20" t="s">
        <v>761</v>
      </c>
      <c r="E147" s="10" t="s">
        <v>694</v>
      </c>
      <c r="F147" s="10" t="s">
        <v>25</v>
      </c>
      <c r="G147" s="11">
        <v>2902</v>
      </c>
      <c r="H147" s="11">
        <v>2498</v>
      </c>
      <c r="I147" s="11">
        <v>1744</v>
      </c>
      <c r="J147" s="11">
        <v>2576</v>
      </c>
      <c r="K147" s="11">
        <v>4084</v>
      </c>
      <c r="L147" s="11">
        <v>2830</v>
      </c>
      <c r="M147" s="11">
        <v>3976</v>
      </c>
      <c r="N147" s="11">
        <v>5408</v>
      </c>
      <c r="O147" s="11">
        <v>0</v>
      </c>
      <c r="P147" s="11">
        <v>0</v>
      </c>
      <c r="Q147" s="11">
        <v>0</v>
      </c>
      <c r="R147" s="11">
        <v>0</v>
      </c>
      <c r="S147" s="12">
        <v>26018</v>
      </c>
    </row>
    <row r="148" spans="1:19" ht="17.5" thickBot="1" x14ac:dyDescent="0.65">
      <c r="A148" s="10" t="s">
        <v>348</v>
      </c>
      <c r="B148" s="9" t="s">
        <v>357</v>
      </c>
      <c r="C148" s="9" t="s">
        <v>373</v>
      </c>
      <c r="D148" s="20" t="s">
        <v>374</v>
      </c>
      <c r="E148" s="10" t="s">
        <v>694</v>
      </c>
      <c r="F148" s="10" t="s">
        <v>25</v>
      </c>
      <c r="G148" s="11">
        <v>0</v>
      </c>
      <c r="H148" s="11">
        <v>0</v>
      </c>
      <c r="I148" s="11">
        <v>0</v>
      </c>
      <c r="J148" s="11">
        <v>0</v>
      </c>
      <c r="K148" s="11">
        <v>0</v>
      </c>
      <c r="L148" s="11">
        <v>609</v>
      </c>
      <c r="M148" s="11">
        <v>1431</v>
      </c>
      <c r="N148" s="11">
        <v>585</v>
      </c>
      <c r="O148" s="11">
        <v>0</v>
      </c>
      <c r="P148" s="11">
        <v>0</v>
      </c>
      <c r="Q148" s="11">
        <v>0</v>
      </c>
      <c r="R148" s="11">
        <v>0</v>
      </c>
      <c r="S148" s="12">
        <v>2625</v>
      </c>
    </row>
    <row r="149" spans="1:19" ht="17.5" thickBot="1" x14ac:dyDescent="0.65">
      <c r="A149" s="10" t="s">
        <v>348</v>
      </c>
      <c r="B149" s="9" t="s">
        <v>375</v>
      </c>
      <c r="C149" s="9" t="s">
        <v>376</v>
      </c>
      <c r="D149" s="20" t="s">
        <v>377</v>
      </c>
      <c r="E149" s="10" t="s">
        <v>694</v>
      </c>
      <c r="F149" s="10" t="s">
        <v>21</v>
      </c>
      <c r="G149" s="11">
        <v>1197</v>
      </c>
      <c r="H149" s="11">
        <v>1564</v>
      </c>
      <c r="I149" s="11">
        <v>1349</v>
      </c>
      <c r="J149" s="11">
        <v>760</v>
      </c>
      <c r="K149" s="11">
        <v>1283</v>
      </c>
      <c r="L149" s="11">
        <v>1545</v>
      </c>
      <c r="M149" s="11">
        <v>1617</v>
      </c>
      <c r="N149" s="11">
        <v>1549</v>
      </c>
      <c r="O149" s="11">
        <v>0</v>
      </c>
      <c r="P149" s="11">
        <v>0</v>
      </c>
      <c r="Q149" s="11">
        <v>0</v>
      </c>
      <c r="R149" s="11">
        <v>0</v>
      </c>
      <c r="S149" s="12">
        <v>10864</v>
      </c>
    </row>
    <row r="150" spans="1:19" ht="17.5" thickBot="1" x14ac:dyDescent="0.65">
      <c r="A150" s="10" t="s">
        <v>348</v>
      </c>
      <c r="B150" s="9" t="s">
        <v>375</v>
      </c>
      <c r="C150" s="9" t="s">
        <v>378</v>
      </c>
      <c r="D150" s="20" t="s">
        <v>379</v>
      </c>
      <c r="E150" s="10" t="s">
        <v>694</v>
      </c>
      <c r="F150" s="10" t="s">
        <v>21</v>
      </c>
      <c r="G150" s="11">
        <v>1390</v>
      </c>
      <c r="H150" s="11">
        <v>1656</v>
      </c>
      <c r="I150" s="11">
        <v>1492</v>
      </c>
      <c r="J150" s="11">
        <v>1341</v>
      </c>
      <c r="K150" s="11">
        <v>1707</v>
      </c>
      <c r="L150" s="11">
        <v>1019</v>
      </c>
      <c r="M150" s="11">
        <v>1846</v>
      </c>
      <c r="N150" s="11">
        <v>1617</v>
      </c>
      <c r="O150" s="11">
        <v>0</v>
      </c>
      <c r="P150" s="11">
        <v>0</v>
      </c>
      <c r="Q150" s="11">
        <v>0</v>
      </c>
      <c r="R150" s="11">
        <v>0</v>
      </c>
      <c r="S150" s="12">
        <v>12068</v>
      </c>
    </row>
    <row r="151" spans="1:19" ht="17.5" thickBot="1" x14ac:dyDescent="0.65">
      <c r="A151" s="10" t="s">
        <v>348</v>
      </c>
      <c r="B151" s="9" t="s">
        <v>380</v>
      </c>
      <c r="C151" s="9" t="s">
        <v>381</v>
      </c>
      <c r="D151" s="20" t="s">
        <v>740</v>
      </c>
      <c r="E151" s="10" t="s">
        <v>695</v>
      </c>
      <c r="F151" s="10" t="s">
        <v>28</v>
      </c>
      <c r="G151" s="11">
        <v>29</v>
      </c>
      <c r="H151" s="11">
        <v>202</v>
      </c>
      <c r="I151" s="11">
        <v>0</v>
      </c>
      <c r="J151" s="11">
        <v>13</v>
      </c>
      <c r="K151" s="11">
        <v>0</v>
      </c>
      <c r="L151" s="11">
        <v>9</v>
      </c>
      <c r="M151" s="11">
        <v>0</v>
      </c>
      <c r="N151" s="11">
        <v>17</v>
      </c>
      <c r="O151" s="11">
        <v>0</v>
      </c>
      <c r="P151" s="11">
        <v>0</v>
      </c>
      <c r="Q151" s="11">
        <v>0</v>
      </c>
      <c r="R151" s="11">
        <v>0</v>
      </c>
      <c r="S151" s="12">
        <v>270</v>
      </c>
    </row>
    <row r="152" spans="1:19" ht="17.5" thickBot="1" x14ac:dyDescent="0.65">
      <c r="A152" s="10" t="s">
        <v>348</v>
      </c>
      <c r="B152" s="9" t="s">
        <v>382</v>
      </c>
      <c r="C152" s="9" t="s">
        <v>383</v>
      </c>
      <c r="D152" s="20" t="s">
        <v>384</v>
      </c>
      <c r="E152" s="10" t="s">
        <v>694</v>
      </c>
      <c r="F152" s="10" t="s">
        <v>104</v>
      </c>
      <c r="G152" s="11">
        <v>171</v>
      </c>
      <c r="H152" s="11">
        <v>188</v>
      </c>
      <c r="I152" s="11">
        <v>429</v>
      </c>
      <c r="J152" s="11">
        <v>213</v>
      </c>
      <c r="K152" s="11">
        <v>68</v>
      </c>
      <c r="L152" s="11">
        <v>177</v>
      </c>
      <c r="M152" s="11">
        <v>255</v>
      </c>
      <c r="N152" s="11">
        <v>221</v>
      </c>
      <c r="O152" s="11">
        <v>0</v>
      </c>
      <c r="P152" s="11">
        <v>0</v>
      </c>
      <c r="Q152" s="11">
        <v>0</v>
      </c>
      <c r="R152" s="11">
        <v>0</v>
      </c>
      <c r="S152" s="12">
        <v>1722</v>
      </c>
    </row>
    <row r="153" spans="1:19" ht="17.5" thickBot="1" x14ac:dyDescent="0.65">
      <c r="A153" s="10" t="s">
        <v>348</v>
      </c>
      <c r="B153" s="9" t="s">
        <v>382</v>
      </c>
      <c r="C153" s="9" t="s">
        <v>385</v>
      </c>
      <c r="D153" s="20" t="s">
        <v>386</v>
      </c>
      <c r="E153" s="10" t="s">
        <v>694</v>
      </c>
      <c r="F153" s="10" t="s">
        <v>104</v>
      </c>
      <c r="G153" s="11">
        <v>1147</v>
      </c>
      <c r="H153" s="11">
        <v>980</v>
      </c>
      <c r="I153" s="11">
        <v>1063</v>
      </c>
      <c r="J153" s="11">
        <v>1344</v>
      </c>
      <c r="K153" s="11">
        <v>1096</v>
      </c>
      <c r="L153" s="11">
        <v>1128</v>
      </c>
      <c r="M153" s="11">
        <v>1016</v>
      </c>
      <c r="N153" s="11">
        <v>1293</v>
      </c>
      <c r="O153" s="11">
        <v>0</v>
      </c>
      <c r="P153" s="11">
        <v>0</v>
      </c>
      <c r="Q153" s="11">
        <v>0</v>
      </c>
      <c r="R153" s="11">
        <v>0</v>
      </c>
      <c r="S153" s="12">
        <v>9067</v>
      </c>
    </row>
    <row r="154" spans="1:19" ht="17.5" thickBot="1" x14ac:dyDescent="0.65">
      <c r="A154" s="10" t="s">
        <v>348</v>
      </c>
      <c r="B154" s="9" t="s">
        <v>387</v>
      </c>
      <c r="C154" s="9" t="s">
        <v>388</v>
      </c>
      <c r="D154" s="20" t="s">
        <v>389</v>
      </c>
      <c r="E154" s="10" t="s">
        <v>694</v>
      </c>
      <c r="F154" s="10" t="s">
        <v>21</v>
      </c>
      <c r="G154" s="11">
        <v>860</v>
      </c>
      <c r="H154" s="11">
        <v>934</v>
      </c>
      <c r="I154" s="11">
        <v>1981</v>
      </c>
      <c r="J154" s="11">
        <v>2367</v>
      </c>
      <c r="K154" s="11">
        <v>1331</v>
      </c>
      <c r="L154" s="11">
        <v>1190</v>
      </c>
      <c r="M154" s="11">
        <v>2144</v>
      </c>
      <c r="N154" s="11">
        <v>2708</v>
      </c>
      <c r="O154" s="11">
        <v>0</v>
      </c>
      <c r="P154" s="11">
        <v>0</v>
      </c>
      <c r="Q154" s="11">
        <v>0</v>
      </c>
      <c r="R154" s="11">
        <v>0</v>
      </c>
      <c r="S154" s="12">
        <v>13515</v>
      </c>
    </row>
    <row r="155" spans="1:19" ht="17.5" thickBot="1" x14ac:dyDescent="0.65">
      <c r="A155" s="10" t="s">
        <v>348</v>
      </c>
      <c r="B155" s="8" t="s">
        <v>390</v>
      </c>
      <c r="C155" s="9" t="s">
        <v>391</v>
      </c>
      <c r="D155" s="20" t="s">
        <v>392</v>
      </c>
      <c r="E155" s="10" t="s">
        <v>694</v>
      </c>
      <c r="F155" s="10" t="s">
        <v>28</v>
      </c>
      <c r="G155" s="11">
        <v>716</v>
      </c>
      <c r="H155" s="11">
        <v>1031</v>
      </c>
      <c r="I155" s="11">
        <v>861</v>
      </c>
      <c r="J155" s="11">
        <v>977</v>
      </c>
      <c r="K155" s="11">
        <v>610</v>
      </c>
      <c r="L155" s="11">
        <v>490</v>
      </c>
      <c r="M155" s="11">
        <v>597</v>
      </c>
      <c r="N155" s="11">
        <v>1233</v>
      </c>
      <c r="O155" s="11">
        <v>0</v>
      </c>
      <c r="P155" s="11">
        <v>0</v>
      </c>
      <c r="Q155" s="11">
        <v>0</v>
      </c>
      <c r="R155" s="11">
        <v>0</v>
      </c>
      <c r="S155" s="12">
        <v>6515</v>
      </c>
    </row>
    <row r="156" spans="1:19" ht="17.5" thickBot="1" x14ac:dyDescent="0.65">
      <c r="A156" s="10" t="s">
        <v>348</v>
      </c>
      <c r="B156" s="8" t="s">
        <v>390</v>
      </c>
      <c r="C156" s="9" t="s">
        <v>393</v>
      </c>
      <c r="D156" s="20" t="s">
        <v>741</v>
      </c>
      <c r="E156" s="10" t="s">
        <v>695</v>
      </c>
      <c r="F156" s="10" t="s">
        <v>28</v>
      </c>
      <c r="G156" s="11">
        <v>531</v>
      </c>
      <c r="H156" s="11">
        <v>405</v>
      </c>
      <c r="I156" s="11">
        <v>364</v>
      </c>
      <c r="J156" s="11">
        <v>214</v>
      </c>
      <c r="K156" s="11">
        <v>706</v>
      </c>
      <c r="L156" s="11">
        <v>624</v>
      </c>
      <c r="M156" s="11">
        <v>751</v>
      </c>
      <c r="N156" s="11">
        <v>441</v>
      </c>
      <c r="O156" s="11">
        <v>0</v>
      </c>
      <c r="P156" s="11">
        <v>0</v>
      </c>
      <c r="Q156" s="11">
        <v>0</v>
      </c>
      <c r="R156" s="11">
        <v>0</v>
      </c>
      <c r="S156" s="12">
        <v>4036</v>
      </c>
    </row>
    <row r="157" spans="1:19" ht="17.5" thickBot="1" x14ac:dyDescent="0.65">
      <c r="A157" s="10" t="s">
        <v>348</v>
      </c>
      <c r="B157" s="8" t="s">
        <v>390</v>
      </c>
      <c r="C157" s="9" t="s">
        <v>394</v>
      </c>
      <c r="D157" s="20" t="s">
        <v>395</v>
      </c>
      <c r="E157" s="10" t="s">
        <v>694</v>
      </c>
      <c r="F157" s="10" t="s">
        <v>28</v>
      </c>
      <c r="G157" s="11">
        <v>490</v>
      </c>
      <c r="H157" s="11">
        <v>292</v>
      </c>
      <c r="I157" s="11">
        <v>539</v>
      </c>
      <c r="J157" s="11">
        <v>435</v>
      </c>
      <c r="K157" s="11">
        <v>302</v>
      </c>
      <c r="L157" s="11">
        <v>620</v>
      </c>
      <c r="M157" s="11">
        <v>435</v>
      </c>
      <c r="N157" s="11">
        <v>302</v>
      </c>
      <c r="O157" s="11">
        <v>0</v>
      </c>
      <c r="P157" s="11">
        <v>0</v>
      </c>
      <c r="Q157" s="11">
        <v>0</v>
      </c>
      <c r="R157" s="11">
        <v>0</v>
      </c>
      <c r="S157" s="12">
        <v>3415</v>
      </c>
    </row>
    <row r="158" spans="1:19" ht="17.5" thickBot="1" x14ac:dyDescent="0.65">
      <c r="A158" s="10" t="s">
        <v>348</v>
      </c>
      <c r="B158" s="9" t="s">
        <v>396</v>
      </c>
      <c r="C158" s="9" t="s">
        <v>397</v>
      </c>
      <c r="D158" s="20" t="s">
        <v>398</v>
      </c>
      <c r="E158" s="10" t="s">
        <v>694</v>
      </c>
      <c r="F158" s="10" t="s">
        <v>21</v>
      </c>
      <c r="G158" s="11">
        <v>1125</v>
      </c>
      <c r="H158" s="11">
        <v>1509</v>
      </c>
      <c r="I158" s="11">
        <v>1669</v>
      </c>
      <c r="J158" s="11">
        <v>1213</v>
      </c>
      <c r="K158" s="11">
        <v>869</v>
      </c>
      <c r="L158" s="11">
        <v>997</v>
      </c>
      <c r="M158" s="11">
        <v>1002</v>
      </c>
      <c r="N158" s="11">
        <v>988</v>
      </c>
      <c r="O158" s="11">
        <v>0</v>
      </c>
      <c r="P158" s="11">
        <v>0</v>
      </c>
      <c r="Q158" s="11">
        <v>0</v>
      </c>
      <c r="R158" s="11">
        <v>0</v>
      </c>
      <c r="S158" s="12">
        <v>9372</v>
      </c>
    </row>
    <row r="159" spans="1:19" ht="17.5" thickBot="1" x14ac:dyDescent="0.65">
      <c r="A159" s="10" t="s">
        <v>348</v>
      </c>
      <c r="B159" s="9" t="s">
        <v>399</v>
      </c>
      <c r="C159" s="9" t="s">
        <v>400</v>
      </c>
      <c r="D159" s="20" t="s">
        <v>401</v>
      </c>
      <c r="E159" s="10" t="s">
        <v>694</v>
      </c>
      <c r="F159" s="10" t="s">
        <v>25</v>
      </c>
      <c r="G159" s="11">
        <v>1093</v>
      </c>
      <c r="H159" s="11">
        <v>1403</v>
      </c>
      <c r="I159" s="11">
        <v>2076</v>
      </c>
      <c r="J159" s="11">
        <v>2053</v>
      </c>
      <c r="K159" s="11">
        <v>1845</v>
      </c>
      <c r="L159" s="11">
        <v>1812</v>
      </c>
      <c r="M159" s="11">
        <v>1570</v>
      </c>
      <c r="N159" s="11">
        <v>1280</v>
      </c>
      <c r="O159" s="11">
        <v>0</v>
      </c>
      <c r="P159" s="11">
        <v>0</v>
      </c>
      <c r="Q159" s="11">
        <v>0</v>
      </c>
      <c r="R159" s="11">
        <v>0</v>
      </c>
      <c r="S159" s="12">
        <v>13132</v>
      </c>
    </row>
    <row r="160" spans="1:19" ht="17.5" thickBot="1" x14ac:dyDescent="0.65">
      <c r="A160" s="10" t="s">
        <v>348</v>
      </c>
      <c r="B160" s="9" t="s">
        <v>399</v>
      </c>
      <c r="C160" s="9" t="s">
        <v>402</v>
      </c>
      <c r="D160" s="20" t="s">
        <v>403</v>
      </c>
      <c r="E160" s="10" t="s">
        <v>694</v>
      </c>
      <c r="F160" s="10" t="s">
        <v>25</v>
      </c>
      <c r="G160" s="11">
        <v>292</v>
      </c>
      <c r="H160" s="11">
        <v>641</v>
      </c>
      <c r="I160" s="11">
        <v>341</v>
      </c>
      <c r="J160" s="11">
        <v>391</v>
      </c>
      <c r="K160" s="11">
        <v>421</v>
      </c>
      <c r="L160" s="11">
        <v>225</v>
      </c>
      <c r="M160" s="11">
        <v>477</v>
      </c>
      <c r="N160" s="11">
        <v>449</v>
      </c>
      <c r="O160" s="11">
        <v>0</v>
      </c>
      <c r="P160" s="11">
        <v>0</v>
      </c>
      <c r="Q160" s="11">
        <v>0</v>
      </c>
      <c r="R160" s="11">
        <v>0</v>
      </c>
      <c r="S160" s="12">
        <v>3237</v>
      </c>
    </row>
    <row r="161" spans="1:19" ht="17.5" thickBot="1" x14ac:dyDescent="0.65">
      <c r="A161" s="10" t="s">
        <v>348</v>
      </c>
      <c r="B161" s="9" t="s">
        <v>399</v>
      </c>
      <c r="C161" s="9" t="s">
        <v>404</v>
      </c>
      <c r="D161" s="20" t="s">
        <v>405</v>
      </c>
      <c r="E161" s="10" t="s">
        <v>694</v>
      </c>
      <c r="F161" s="10" t="s">
        <v>25</v>
      </c>
      <c r="G161" s="11">
        <v>546</v>
      </c>
      <c r="H161" s="11">
        <v>583</v>
      </c>
      <c r="I161" s="11">
        <v>702</v>
      </c>
      <c r="J161" s="11">
        <v>1117</v>
      </c>
      <c r="K161" s="11">
        <v>746</v>
      </c>
      <c r="L161" s="11">
        <v>1103</v>
      </c>
      <c r="M161" s="11">
        <v>903</v>
      </c>
      <c r="N161" s="11">
        <v>673</v>
      </c>
      <c r="O161" s="11">
        <v>0</v>
      </c>
      <c r="P161" s="11">
        <v>0</v>
      </c>
      <c r="Q161" s="11">
        <v>0</v>
      </c>
      <c r="R161" s="11">
        <v>0</v>
      </c>
      <c r="S161" s="12">
        <v>6373</v>
      </c>
    </row>
    <row r="162" spans="1:19" ht="17.5" thickBot="1" x14ac:dyDescent="0.65">
      <c r="A162" s="10" t="s">
        <v>348</v>
      </c>
      <c r="B162" s="9" t="s">
        <v>399</v>
      </c>
      <c r="C162" s="9" t="s">
        <v>406</v>
      </c>
      <c r="D162" s="20" t="s">
        <v>407</v>
      </c>
      <c r="E162" s="10" t="s">
        <v>694</v>
      </c>
      <c r="F162" s="10" t="s">
        <v>25</v>
      </c>
      <c r="G162" s="11">
        <v>645</v>
      </c>
      <c r="H162" s="11">
        <v>630</v>
      </c>
      <c r="I162" s="11">
        <v>1249</v>
      </c>
      <c r="J162" s="11">
        <v>660</v>
      </c>
      <c r="K162" s="11">
        <v>604</v>
      </c>
      <c r="L162" s="11">
        <v>632</v>
      </c>
      <c r="M162" s="11">
        <v>641</v>
      </c>
      <c r="N162" s="11">
        <v>703</v>
      </c>
      <c r="O162" s="11">
        <v>0</v>
      </c>
      <c r="P162" s="11">
        <v>0</v>
      </c>
      <c r="Q162" s="11">
        <v>0</v>
      </c>
      <c r="R162" s="11">
        <v>0</v>
      </c>
      <c r="S162" s="12">
        <v>5764</v>
      </c>
    </row>
    <row r="163" spans="1:19" ht="17.5" thickBot="1" x14ac:dyDescent="0.65">
      <c r="A163" s="10" t="s">
        <v>348</v>
      </c>
      <c r="B163" s="9" t="s">
        <v>399</v>
      </c>
      <c r="C163" s="9" t="s">
        <v>408</v>
      </c>
      <c r="D163" s="20" t="s">
        <v>754</v>
      </c>
      <c r="E163" s="10" t="s">
        <v>694</v>
      </c>
      <c r="F163" s="10" t="s">
        <v>25</v>
      </c>
      <c r="G163" s="11">
        <v>570</v>
      </c>
      <c r="H163" s="11">
        <v>798</v>
      </c>
      <c r="I163" s="11">
        <v>831</v>
      </c>
      <c r="J163" s="11">
        <v>825</v>
      </c>
      <c r="K163" s="11">
        <v>868</v>
      </c>
      <c r="L163" s="11">
        <v>1116</v>
      </c>
      <c r="M163" s="11">
        <v>1404</v>
      </c>
      <c r="N163" s="11">
        <v>1395</v>
      </c>
      <c r="O163" s="11">
        <v>0</v>
      </c>
      <c r="P163" s="11">
        <v>0</v>
      </c>
      <c r="Q163" s="11">
        <v>0</v>
      </c>
      <c r="R163" s="11">
        <v>0</v>
      </c>
      <c r="S163" s="12">
        <v>7807</v>
      </c>
    </row>
    <row r="164" spans="1:19" ht="17.5" thickBot="1" x14ac:dyDescent="0.65">
      <c r="A164" s="10" t="s">
        <v>348</v>
      </c>
      <c r="B164" s="9" t="s">
        <v>399</v>
      </c>
      <c r="C164" s="9" t="s">
        <v>409</v>
      </c>
      <c r="D164" s="20" t="s">
        <v>765</v>
      </c>
      <c r="E164" s="10" t="s">
        <v>695</v>
      </c>
      <c r="F164" s="10" t="s">
        <v>25</v>
      </c>
      <c r="G164" s="11">
        <v>905</v>
      </c>
      <c r="H164" s="11">
        <v>1198</v>
      </c>
      <c r="I164" s="11">
        <v>1145</v>
      </c>
      <c r="J164" s="11">
        <v>732</v>
      </c>
      <c r="K164" s="11">
        <v>279</v>
      </c>
      <c r="L164" s="11">
        <v>1032</v>
      </c>
      <c r="M164" s="11">
        <v>278</v>
      </c>
      <c r="N164" s="11">
        <v>171</v>
      </c>
      <c r="O164" s="11">
        <v>0</v>
      </c>
      <c r="P164" s="11">
        <v>0</v>
      </c>
      <c r="Q164" s="11">
        <v>0</v>
      </c>
      <c r="R164" s="11">
        <v>0</v>
      </c>
      <c r="S164" s="12">
        <v>5740</v>
      </c>
    </row>
    <row r="165" spans="1:19" ht="17.5" thickBot="1" x14ac:dyDescent="0.65">
      <c r="A165" s="10" t="s">
        <v>348</v>
      </c>
      <c r="B165" s="9" t="s">
        <v>410</v>
      </c>
      <c r="C165" s="9" t="s">
        <v>411</v>
      </c>
      <c r="D165" s="20" t="s">
        <v>766</v>
      </c>
      <c r="E165" s="10" t="s">
        <v>695</v>
      </c>
      <c r="F165" s="10" t="s">
        <v>104</v>
      </c>
      <c r="G165" s="11">
        <v>870</v>
      </c>
      <c r="H165" s="11">
        <v>741</v>
      </c>
      <c r="I165" s="11">
        <v>595</v>
      </c>
      <c r="J165" s="11">
        <v>568</v>
      </c>
      <c r="K165" s="11">
        <v>627</v>
      </c>
      <c r="L165" s="11">
        <v>565</v>
      </c>
      <c r="M165" s="11">
        <v>383</v>
      </c>
      <c r="N165" s="11">
        <v>671</v>
      </c>
      <c r="O165" s="11">
        <v>0</v>
      </c>
      <c r="P165" s="11">
        <v>0</v>
      </c>
      <c r="Q165" s="11">
        <v>0</v>
      </c>
      <c r="R165" s="11">
        <v>0</v>
      </c>
      <c r="S165" s="12">
        <v>5020</v>
      </c>
    </row>
    <row r="166" spans="1:19" ht="17.5" thickBot="1" x14ac:dyDescent="0.65">
      <c r="A166" s="10" t="s">
        <v>348</v>
      </c>
      <c r="B166" s="9" t="s">
        <v>412</v>
      </c>
      <c r="C166" s="9" t="s">
        <v>413</v>
      </c>
      <c r="D166" s="20" t="s">
        <v>414</v>
      </c>
      <c r="E166" s="10" t="s">
        <v>694</v>
      </c>
      <c r="F166" s="10" t="s">
        <v>25</v>
      </c>
      <c r="G166" s="11">
        <v>365</v>
      </c>
      <c r="H166" s="11">
        <v>431</v>
      </c>
      <c r="I166" s="11">
        <v>398</v>
      </c>
      <c r="J166" s="11">
        <v>368</v>
      </c>
      <c r="K166" s="11">
        <v>474</v>
      </c>
      <c r="L166" s="11">
        <v>475</v>
      </c>
      <c r="M166" s="11">
        <v>447</v>
      </c>
      <c r="N166" s="11">
        <v>104</v>
      </c>
      <c r="O166" s="11">
        <v>0</v>
      </c>
      <c r="P166" s="11">
        <v>0</v>
      </c>
      <c r="Q166" s="11">
        <v>0</v>
      </c>
      <c r="R166" s="11">
        <v>0</v>
      </c>
      <c r="S166" s="12">
        <v>3062</v>
      </c>
    </row>
    <row r="167" spans="1:19" ht="17.5" thickBot="1" x14ac:dyDescent="0.65">
      <c r="A167" s="10" t="s">
        <v>348</v>
      </c>
      <c r="B167" s="9" t="s">
        <v>412</v>
      </c>
      <c r="C167" s="9" t="s">
        <v>415</v>
      </c>
      <c r="D167" s="20" t="s">
        <v>416</v>
      </c>
      <c r="E167" s="10" t="s">
        <v>694</v>
      </c>
      <c r="F167" s="10" t="s">
        <v>25</v>
      </c>
      <c r="G167" s="11">
        <v>295</v>
      </c>
      <c r="H167" s="11">
        <v>161</v>
      </c>
      <c r="I167" s="11">
        <v>632</v>
      </c>
      <c r="J167" s="11">
        <v>553</v>
      </c>
      <c r="K167" s="11">
        <v>262</v>
      </c>
      <c r="L167" s="11">
        <v>208</v>
      </c>
      <c r="M167" s="11">
        <v>231</v>
      </c>
      <c r="N167" s="11">
        <v>452</v>
      </c>
      <c r="O167" s="11">
        <v>0</v>
      </c>
      <c r="P167" s="11">
        <v>0</v>
      </c>
      <c r="Q167" s="11">
        <v>0</v>
      </c>
      <c r="R167" s="11">
        <v>0</v>
      </c>
      <c r="S167" s="12">
        <v>2794</v>
      </c>
    </row>
    <row r="168" spans="1:19" ht="17.5" thickBot="1" x14ac:dyDescent="0.65">
      <c r="A168" s="10" t="s">
        <v>348</v>
      </c>
      <c r="B168" s="9" t="s">
        <v>412</v>
      </c>
      <c r="C168" s="9" t="s">
        <v>417</v>
      </c>
      <c r="D168" s="20" t="s">
        <v>418</v>
      </c>
      <c r="E168" s="10" t="s">
        <v>694</v>
      </c>
      <c r="F168" s="10" t="s">
        <v>25</v>
      </c>
      <c r="G168" s="11">
        <v>884</v>
      </c>
      <c r="H168" s="11">
        <v>757</v>
      </c>
      <c r="I168" s="11">
        <v>639</v>
      </c>
      <c r="J168" s="11">
        <v>1023</v>
      </c>
      <c r="K168" s="11">
        <v>300</v>
      </c>
      <c r="L168" s="11">
        <v>399</v>
      </c>
      <c r="M168" s="11">
        <v>326</v>
      </c>
      <c r="N168" s="11">
        <v>437</v>
      </c>
      <c r="O168" s="11">
        <v>0</v>
      </c>
      <c r="P168" s="11">
        <v>0</v>
      </c>
      <c r="Q168" s="11">
        <v>0</v>
      </c>
      <c r="R168" s="11">
        <v>0</v>
      </c>
      <c r="S168" s="12">
        <v>4765</v>
      </c>
    </row>
    <row r="169" spans="1:19" ht="17.5" thickBot="1" x14ac:dyDescent="0.65">
      <c r="A169" s="10" t="s">
        <v>348</v>
      </c>
      <c r="B169" s="9" t="s">
        <v>412</v>
      </c>
      <c r="C169" s="9" t="s">
        <v>419</v>
      </c>
      <c r="D169" s="20" t="s">
        <v>420</v>
      </c>
      <c r="E169" s="10" t="s">
        <v>694</v>
      </c>
      <c r="F169" s="10" t="s">
        <v>25</v>
      </c>
      <c r="G169" s="11">
        <v>464</v>
      </c>
      <c r="H169" s="11">
        <v>592</v>
      </c>
      <c r="I169" s="11">
        <v>530</v>
      </c>
      <c r="J169" s="11">
        <v>909</v>
      </c>
      <c r="K169" s="11">
        <v>1065</v>
      </c>
      <c r="L169" s="11">
        <v>1726</v>
      </c>
      <c r="M169" s="11">
        <v>1244</v>
      </c>
      <c r="N169" s="11">
        <v>612</v>
      </c>
      <c r="O169" s="11">
        <v>0</v>
      </c>
      <c r="P169" s="11">
        <v>0</v>
      </c>
      <c r="Q169" s="11">
        <v>0</v>
      </c>
      <c r="R169" s="11">
        <v>0</v>
      </c>
      <c r="S169" s="12">
        <v>7142</v>
      </c>
    </row>
    <row r="170" spans="1:19" ht="17.5" thickBot="1" x14ac:dyDescent="0.65">
      <c r="A170" s="10" t="s">
        <v>348</v>
      </c>
      <c r="B170" s="9" t="s">
        <v>412</v>
      </c>
      <c r="C170" s="9" t="s">
        <v>421</v>
      </c>
      <c r="D170" s="20" t="s">
        <v>422</v>
      </c>
      <c r="E170" s="10" t="s">
        <v>694</v>
      </c>
      <c r="F170" s="10" t="s">
        <v>25</v>
      </c>
      <c r="G170" s="11">
        <v>235</v>
      </c>
      <c r="H170" s="11">
        <v>876</v>
      </c>
      <c r="I170" s="11">
        <v>555</v>
      </c>
      <c r="J170" s="11">
        <v>399</v>
      </c>
      <c r="K170" s="11">
        <v>200</v>
      </c>
      <c r="L170" s="11">
        <v>611</v>
      </c>
      <c r="M170" s="11">
        <v>337</v>
      </c>
      <c r="N170" s="11">
        <v>167</v>
      </c>
      <c r="O170" s="11">
        <v>0</v>
      </c>
      <c r="P170" s="11">
        <v>0</v>
      </c>
      <c r="Q170" s="11">
        <v>0</v>
      </c>
      <c r="R170" s="11">
        <v>0</v>
      </c>
      <c r="S170" s="12">
        <v>3380</v>
      </c>
    </row>
    <row r="171" spans="1:19" ht="17.5" thickBot="1" x14ac:dyDescent="0.65">
      <c r="A171" s="10" t="s">
        <v>348</v>
      </c>
      <c r="B171" s="9" t="s">
        <v>425</v>
      </c>
      <c r="C171" s="9" t="s">
        <v>426</v>
      </c>
      <c r="D171" s="20" t="s">
        <v>427</v>
      </c>
      <c r="E171" s="10" t="s">
        <v>695</v>
      </c>
      <c r="F171" s="10" t="s">
        <v>104</v>
      </c>
      <c r="G171" s="11">
        <v>2072</v>
      </c>
      <c r="H171" s="11">
        <v>2128</v>
      </c>
      <c r="I171" s="11">
        <v>652</v>
      </c>
      <c r="J171" s="11">
        <v>843</v>
      </c>
      <c r="K171" s="11">
        <v>797</v>
      </c>
      <c r="L171" s="11">
        <v>1331</v>
      </c>
      <c r="M171" s="11">
        <v>5061</v>
      </c>
      <c r="N171" s="11">
        <v>2947</v>
      </c>
      <c r="O171" s="11">
        <v>0</v>
      </c>
      <c r="P171" s="11">
        <v>0</v>
      </c>
      <c r="Q171" s="11">
        <v>0</v>
      </c>
      <c r="R171" s="11">
        <v>0</v>
      </c>
      <c r="S171" s="12">
        <v>15831</v>
      </c>
    </row>
    <row r="172" spans="1:19" ht="17.5" thickBot="1" x14ac:dyDescent="0.65">
      <c r="A172" s="10" t="s">
        <v>348</v>
      </c>
      <c r="B172" s="9" t="s">
        <v>425</v>
      </c>
      <c r="C172" s="9" t="s">
        <v>428</v>
      </c>
      <c r="D172" s="20" t="s">
        <v>429</v>
      </c>
      <c r="E172" s="10" t="s">
        <v>695</v>
      </c>
      <c r="F172" s="10" t="s">
        <v>104</v>
      </c>
      <c r="G172" s="11">
        <v>4000</v>
      </c>
      <c r="H172" s="11">
        <v>4183</v>
      </c>
      <c r="I172" s="11">
        <v>5347</v>
      </c>
      <c r="J172" s="11">
        <v>4697</v>
      </c>
      <c r="K172" s="11">
        <v>5605</v>
      </c>
      <c r="L172" s="11">
        <v>6580</v>
      </c>
      <c r="M172" s="11">
        <v>5490</v>
      </c>
      <c r="N172" s="11">
        <v>5444</v>
      </c>
      <c r="O172" s="11">
        <v>0</v>
      </c>
      <c r="P172" s="11">
        <v>0</v>
      </c>
      <c r="Q172" s="11">
        <v>0</v>
      </c>
      <c r="R172" s="11">
        <v>0</v>
      </c>
      <c r="S172" s="12">
        <v>41346</v>
      </c>
    </row>
    <row r="173" spans="1:19" ht="17.5" thickBot="1" x14ac:dyDescent="0.65">
      <c r="A173" s="10" t="s">
        <v>348</v>
      </c>
      <c r="B173" s="9" t="s">
        <v>425</v>
      </c>
      <c r="C173" s="9" t="s">
        <v>430</v>
      </c>
      <c r="D173" s="20" t="s">
        <v>431</v>
      </c>
      <c r="E173" s="10" t="s">
        <v>695</v>
      </c>
      <c r="F173" s="10" t="s">
        <v>104</v>
      </c>
      <c r="G173" s="11">
        <v>1784</v>
      </c>
      <c r="H173" s="11">
        <v>2357</v>
      </c>
      <c r="I173" s="11">
        <v>2139</v>
      </c>
      <c r="J173" s="11">
        <v>2607</v>
      </c>
      <c r="K173" s="11">
        <v>2845</v>
      </c>
      <c r="L173" s="11">
        <v>2649</v>
      </c>
      <c r="M173" s="11">
        <v>3460</v>
      </c>
      <c r="N173" s="11">
        <v>1542</v>
      </c>
      <c r="O173" s="11">
        <v>0</v>
      </c>
      <c r="P173" s="11">
        <v>0</v>
      </c>
      <c r="Q173" s="11">
        <v>0</v>
      </c>
      <c r="R173" s="11">
        <v>0</v>
      </c>
      <c r="S173" s="12">
        <v>19383</v>
      </c>
    </row>
    <row r="174" spans="1:19" ht="17.5" thickBot="1" x14ac:dyDescent="0.65">
      <c r="A174" s="10" t="s">
        <v>348</v>
      </c>
      <c r="B174" s="9" t="s">
        <v>425</v>
      </c>
      <c r="C174" s="9" t="s">
        <v>432</v>
      </c>
      <c r="D174" s="20" t="s">
        <v>433</v>
      </c>
      <c r="E174" s="10" t="s">
        <v>695</v>
      </c>
      <c r="F174" s="10" t="s">
        <v>104</v>
      </c>
      <c r="G174" s="11">
        <v>909</v>
      </c>
      <c r="H174" s="11">
        <v>244</v>
      </c>
      <c r="I174" s="11">
        <v>1666</v>
      </c>
      <c r="J174" s="11">
        <v>1808</v>
      </c>
      <c r="K174" s="11">
        <v>973</v>
      </c>
      <c r="L174" s="11">
        <v>280</v>
      </c>
      <c r="M174" s="11">
        <v>821</v>
      </c>
      <c r="N174" s="11">
        <v>1182</v>
      </c>
      <c r="O174" s="11">
        <v>0</v>
      </c>
      <c r="P174" s="11">
        <v>0</v>
      </c>
      <c r="Q174" s="11">
        <v>0</v>
      </c>
      <c r="R174" s="11">
        <v>0</v>
      </c>
      <c r="S174" s="12">
        <v>7883</v>
      </c>
    </row>
    <row r="175" spans="1:19" ht="17.5" thickBot="1" x14ac:dyDescent="0.65">
      <c r="A175" s="10" t="s">
        <v>348</v>
      </c>
      <c r="B175" s="9" t="s">
        <v>425</v>
      </c>
      <c r="C175" s="9" t="s">
        <v>434</v>
      </c>
      <c r="D175" s="20" t="s">
        <v>435</v>
      </c>
      <c r="E175" s="10" t="s">
        <v>695</v>
      </c>
      <c r="F175" s="10" t="s">
        <v>104</v>
      </c>
      <c r="G175" s="11">
        <v>347</v>
      </c>
      <c r="H175" s="11">
        <v>1112</v>
      </c>
      <c r="I175" s="11">
        <v>1619</v>
      </c>
      <c r="J175" s="11">
        <v>2078</v>
      </c>
      <c r="K175" s="11">
        <v>1348</v>
      </c>
      <c r="L175" s="11">
        <v>358</v>
      </c>
      <c r="M175" s="11">
        <v>792</v>
      </c>
      <c r="N175" s="11">
        <v>380</v>
      </c>
      <c r="O175" s="11">
        <v>0</v>
      </c>
      <c r="P175" s="11">
        <v>0</v>
      </c>
      <c r="Q175" s="11">
        <v>0</v>
      </c>
      <c r="R175" s="11">
        <v>0</v>
      </c>
      <c r="S175" s="12">
        <v>8034</v>
      </c>
    </row>
    <row r="176" spans="1:19" ht="17.5" thickBot="1" x14ac:dyDescent="0.65">
      <c r="A176" s="10" t="s">
        <v>348</v>
      </c>
      <c r="B176" s="9" t="s">
        <v>425</v>
      </c>
      <c r="C176" s="9" t="s">
        <v>436</v>
      </c>
      <c r="D176" s="20" t="s">
        <v>757</v>
      </c>
      <c r="E176" s="10" t="s">
        <v>695</v>
      </c>
      <c r="F176" s="10" t="s">
        <v>104</v>
      </c>
      <c r="G176" s="11">
        <v>569</v>
      </c>
      <c r="H176" s="11">
        <v>1391</v>
      </c>
      <c r="I176" s="11">
        <v>2121</v>
      </c>
      <c r="J176" s="11">
        <v>1044</v>
      </c>
      <c r="K176" s="11">
        <v>503</v>
      </c>
      <c r="L176" s="11">
        <v>883</v>
      </c>
      <c r="M176" s="11">
        <v>845</v>
      </c>
      <c r="N176" s="11">
        <v>673</v>
      </c>
      <c r="O176" s="11">
        <v>0</v>
      </c>
      <c r="P176" s="11">
        <v>0</v>
      </c>
      <c r="Q176" s="11">
        <v>0</v>
      </c>
      <c r="R176" s="11">
        <v>0</v>
      </c>
      <c r="S176" s="12">
        <v>8029</v>
      </c>
    </row>
    <row r="177" spans="1:19" ht="17.5" thickBot="1" x14ac:dyDescent="0.65">
      <c r="A177" s="10" t="s">
        <v>348</v>
      </c>
      <c r="B177" s="9" t="s">
        <v>425</v>
      </c>
      <c r="C177" s="9" t="s">
        <v>437</v>
      </c>
      <c r="D177" s="20" t="s">
        <v>771</v>
      </c>
      <c r="E177" s="10" t="s">
        <v>695</v>
      </c>
      <c r="F177" s="10" t="s">
        <v>104</v>
      </c>
      <c r="G177" s="11">
        <v>1199</v>
      </c>
      <c r="H177" s="11">
        <v>2007</v>
      </c>
      <c r="I177" s="11">
        <v>2944</v>
      </c>
      <c r="J177" s="11">
        <v>794</v>
      </c>
      <c r="K177" s="11">
        <v>1571</v>
      </c>
      <c r="L177" s="11">
        <v>3515</v>
      </c>
      <c r="M177" s="11">
        <v>4412</v>
      </c>
      <c r="N177" s="11">
        <v>2629</v>
      </c>
      <c r="O177" s="11">
        <v>0</v>
      </c>
      <c r="P177" s="11">
        <v>0</v>
      </c>
      <c r="Q177" s="11">
        <v>0</v>
      </c>
      <c r="R177" s="11">
        <v>0</v>
      </c>
      <c r="S177" s="12">
        <v>19071</v>
      </c>
    </row>
    <row r="178" spans="1:19" ht="17.5" thickBot="1" x14ac:dyDescent="0.65">
      <c r="A178" s="10" t="s">
        <v>348</v>
      </c>
      <c r="B178" s="9" t="s">
        <v>438</v>
      </c>
      <c r="C178" s="9" t="s">
        <v>439</v>
      </c>
      <c r="D178" s="20" t="s">
        <v>440</v>
      </c>
      <c r="E178" s="10" t="s">
        <v>694</v>
      </c>
      <c r="F178" s="10" t="s">
        <v>21</v>
      </c>
      <c r="G178" s="11">
        <v>879</v>
      </c>
      <c r="H178" s="11">
        <v>864</v>
      </c>
      <c r="I178" s="11">
        <v>1108</v>
      </c>
      <c r="J178" s="11">
        <v>583</v>
      </c>
      <c r="K178" s="11">
        <v>532</v>
      </c>
      <c r="L178" s="11">
        <v>706</v>
      </c>
      <c r="M178" s="11">
        <v>210</v>
      </c>
      <c r="N178" s="11">
        <v>370</v>
      </c>
      <c r="O178" s="11">
        <v>0</v>
      </c>
      <c r="P178" s="11">
        <v>0</v>
      </c>
      <c r="Q178" s="11">
        <v>0</v>
      </c>
      <c r="R178" s="11">
        <v>0</v>
      </c>
      <c r="S178" s="12">
        <v>5252</v>
      </c>
    </row>
    <row r="179" spans="1:19" ht="17.5" thickBot="1" x14ac:dyDescent="0.65">
      <c r="A179" s="10" t="s">
        <v>348</v>
      </c>
      <c r="B179" s="9" t="s">
        <v>438</v>
      </c>
      <c r="C179" s="9" t="s">
        <v>441</v>
      </c>
      <c r="D179" s="20" t="s">
        <v>744</v>
      </c>
      <c r="E179" s="10" t="s">
        <v>694</v>
      </c>
      <c r="F179" s="10" t="s">
        <v>21</v>
      </c>
      <c r="G179" s="11">
        <v>375</v>
      </c>
      <c r="H179" s="11">
        <v>289</v>
      </c>
      <c r="I179" s="11">
        <v>765</v>
      </c>
      <c r="J179" s="11">
        <v>525</v>
      </c>
      <c r="K179" s="11">
        <v>322</v>
      </c>
      <c r="L179" s="11">
        <v>510</v>
      </c>
      <c r="M179" s="11">
        <v>492</v>
      </c>
      <c r="N179" s="11">
        <v>614</v>
      </c>
      <c r="O179" s="11">
        <v>0</v>
      </c>
      <c r="P179" s="11">
        <v>0</v>
      </c>
      <c r="Q179" s="11">
        <v>0</v>
      </c>
      <c r="R179" s="11">
        <v>0</v>
      </c>
      <c r="S179" s="12">
        <v>3892</v>
      </c>
    </row>
    <row r="180" spans="1:19" ht="17.5" thickBot="1" x14ac:dyDescent="0.65">
      <c r="A180" s="10" t="s">
        <v>348</v>
      </c>
      <c r="B180" s="9" t="s">
        <v>442</v>
      </c>
      <c r="C180" s="9" t="s">
        <v>443</v>
      </c>
      <c r="D180" s="20" t="s">
        <v>444</v>
      </c>
      <c r="E180" s="10" t="s">
        <v>694</v>
      </c>
      <c r="F180" s="10" t="s">
        <v>21</v>
      </c>
      <c r="G180" s="11">
        <v>343</v>
      </c>
      <c r="H180" s="11">
        <v>346</v>
      </c>
      <c r="I180" s="11">
        <v>431</v>
      </c>
      <c r="J180" s="11">
        <v>356</v>
      </c>
      <c r="K180" s="11">
        <v>311</v>
      </c>
      <c r="L180" s="11">
        <v>209</v>
      </c>
      <c r="M180" s="11">
        <v>274</v>
      </c>
      <c r="N180" s="11">
        <v>184</v>
      </c>
      <c r="O180" s="11">
        <v>0</v>
      </c>
      <c r="P180" s="11">
        <v>0</v>
      </c>
      <c r="Q180" s="11">
        <v>0</v>
      </c>
      <c r="R180" s="11">
        <v>0</v>
      </c>
      <c r="S180" s="12">
        <v>2454</v>
      </c>
    </row>
    <row r="181" spans="1:19" ht="17.5" thickBot="1" x14ac:dyDescent="0.65">
      <c r="A181" s="10" t="s">
        <v>348</v>
      </c>
      <c r="B181" s="9" t="s">
        <v>442</v>
      </c>
      <c r="C181" s="9" t="s">
        <v>445</v>
      </c>
      <c r="D181" s="20" t="s">
        <v>446</v>
      </c>
      <c r="E181" s="10" t="s">
        <v>694</v>
      </c>
      <c r="F181" s="10" t="s">
        <v>21</v>
      </c>
      <c r="G181" s="11">
        <v>281</v>
      </c>
      <c r="H181" s="11">
        <v>167</v>
      </c>
      <c r="I181" s="11">
        <v>222</v>
      </c>
      <c r="J181" s="11">
        <v>160</v>
      </c>
      <c r="K181" s="11">
        <v>209</v>
      </c>
      <c r="L181" s="11">
        <v>231</v>
      </c>
      <c r="M181" s="11">
        <v>221</v>
      </c>
      <c r="N181" s="11">
        <v>99</v>
      </c>
      <c r="O181" s="11">
        <v>0</v>
      </c>
      <c r="P181" s="11">
        <v>0</v>
      </c>
      <c r="Q181" s="11">
        <v>0</v>
      </c>
      <c r="R181" s="11">
        <v>0</v>
      </c>
      <c r="S181" s="12">
        <v>1590</v>
      </c>
    </row>
    <row r="182" spans="1:19" ht="17.5" thickBot="1" x14ac:dyDescent="0.65">
      <c r="A182" s="10" t="s">
        <v>348</v>
      </c>
      <c r="B182" s="9" t="s">
        <v>447</v>
      </c>
      <c r="C182" s="9" t="s">
        <v>448</v>
      </c>
      <c r="D182" s="20" t="s">
        <v>449</v>
      </c>
      <c r="E182" s="10" t="s">
        <v>694</v>
      </c>
      <c r="F182" s="10" t="s">
        <v>25</v>
      </c>
      <c r="G182" s="11">
        <v>3367</v>
      </c>
      <c r="H182" s="11">
        <v>3742</v>
      </c>
      <c r="I182" s="11">
        <v>4108</v>
      </c>
      <c r="J182" s="11">
        <v>3198</v>
      </c>
      <c r="K182" s="11">
        <v>2616</v>
      </c>
      <c r="L182" s="11">
        <v>3576</v>
      </c>
      <c r="M182" s="11">
        <v>2200</v>
      </c>
      <c r="N182" s="11">
        <v>2700</v>
      </c>
      <c r="O182" s="11">
        <v>0</v>
      </c>
      <c r="P182" s="11">
        <v>0</v>
      </c>
      <c r="Q182" s="11">
        <v>0</v>
      </c>
      <c r="R182" s="11">
        <v>0</v>
      </c>
      <c r="S182" s="12">
        <v>25507</v>
      </c>
    </row>
    <row r="183" spans="1:19" ht="17.5" thickBot="1" x14ac:dyDescent="0.65">
      <c r="A183" s="10" t="s">
        <v>348</v>
      </c>
      <c r="B183" s="9" t="s">
        <v>447</v>
      </c>
      <c r="C183" s="9" t="s">
        <v>450</v>
      </c>
      <c r="D183" s="20" t="s">
        <v>451</v>
      </c>
      <c r="E183" s="10" t="s">
        <v>694</v>
      </c>
      <c r="F183" s="10" t="s">
        <v>25</v>
      </c>
      <c r="G183" s="11">
        <v>1146</v>
      </c>
      <c r="H183" s="11">
        <v>899</v>
      </c>
      <c r="I183" s="11">
        <v>790</v>
      </c>
      <c r="J183" s="11">
        <v>801</v>
      </c>
      <c r="K183" s="11">
        <v>1392</v>
      </c>
      <c r="L183" s="11">
        <v>1148</v>
      </c>
      <c r="M183" s="11">
        <v>839</v>
      </c>
      <c r="N183" s="11">
        <v>754</v>
      </c>
      <c r="O183" s="11">
        <v>0</v>
      </c>
      <c r="P183" s="11">
        <v>0</v>
      </c>
      <c r="Q183" s="11">
        <v>0</v>
      </c>
      <c r="R183" s="11">
        <v>0</v>
      </c>
      <c r="S183" s="12">
        <v>7769</v>
      </c>
    </row>
    <row r="184" spans="1:19" ht="17.5" thickBot="1" x14ac:dyDescent="0.65">
      <c r="A184" s="10" t="s">
        <v>348</v>
      </c>
      <c r="B184" s="9" t="s">
        <v>447</v>
      </c>
      <c r="C184" s="9" t="s">
        <v>452</v>
      </c>
      <c r="D184" s="20" t="s">
        <v>453</v>
      </c>
      <c r="E184" s="10" t="s">
        <v>694</v>
      </c>
      <c r="F184" s="10" t="s">
        <v>25</v>
      </c>
      <c r="G184" s="11">
        <v>2289</v>
      </c>
      <c r="H184" s="11">
        <v>1885</v>
      </c>
      <c r="I184" s="11">
        <v>1512</v>
      </c>
      <c r="J184" s="11">
        <v>1298</v>
      </c>
      <c r="K184" s="11">
        <v>1031</v>
      </c>
      <c r="L184" s="11">
        <v>896</v>
      </c>
      <c r="M184" s="11">
        <v>699</v>
      </c>
      <c r="N184" s="11">
        <v>1117</v>
      </c>
      <c r="O184" s="11">
        <v>0</v>
      </c>
      <c r="P184" s="11">
        <v>0</v>
      </c>
      <c r="Q184" s="11">
        <v>0</v>
      </c>
      <c r="R184" s="11">
        <v>0</v>
      </c>
      <c r="S184" s="12">
        <v>10727</v>
      </c>
    </row>
    <row r="185" spans="1:19" ht="17.5" thickBot="1" x14ac:dyDescent="0.65">
      <c r="A185" s="10" t="s">
        <v>348</v>
      </c>
      <c r="B185" s="9" t="s">
        <v>447</v>
      </c>
      <c r="C185" s="9" t="s">
        <v>454</v>
      </c>
      <c r="D185" s="20" t="s">
        <v>751</v>
      </c>
      <c r="E185" s="10" t="s">
        <v>694</v>
      </c>
      <c r="F185" s="10" t="s">
        <v>25</v>
      </c>
      <c r="G185" s="11">
        <v>659</v>
      </c>
      <c r="H185" s="11">
        <v>768</v>
      </c>
      <c r="I185" s="11">
        <v>723</v>
      </c>
      <c r="J185" s="11">
        <v>642</v>
      </c>
      <c r="K185" s="11">
        <v>875</v>
      </c>
      <c r="L185" s="11">
        <v>1243</v>
      </c>
      <c r="M185" s="11">
        <v>611</v>
      </c>
      <c r="N185" s="11">
        <v>657</v>
      </c>
      <c r="O185" s="11">
        <v>0</v>
      </c>
      <c r="P185" s="11">
        <v>0</v>
      </c>
      <c r="Q185" s="11">
        <v>0</v>
      </c>
      <c r="R185" s="11">
        <v>0</v>
      </c>
      <c r="S185" s="12">
        <v>6178</v>
      </c>
    </row>
    <row r="186" spans="1:19" ht="17.5" thickBot="1" x14ac:dyDescent="0.65">
      <c r="A186" s="10" t="s">
        <v>348</v>
      </c>
      <c r="B186" s="9" t="s">
        <v>447</v>
      </c>
      <c r="C186" s="9" t="s">
        <v>455</v>
      </c>
      <c r="D186" s="20" t="s">
        <v>456</v>
      </c>
      <c r="E186" s="10" t="s">
        <v>694</v>
      </c>
      <c r="F186" s="10" t="s">
        <v>25</v>
      </c>
      <c r="G186" s="11">
        <v>838</v>
      </c>
      <c r="H186" s="11">
        <v>489</v>
      </c>
      <c r="I186" s="11">
        <v>1854</v>
      </c>
      <c r="J186" s="11">
        <v>1336</v>
      </c>
      <c r="K186" s="11">
        <v>772</v>
      </c>
      <c r="L186" s="11">
        <v>1194</v>
      </c>
      <c r="M186" s="11">
        <v>1357</v>
      </c>
      <c r="N186" s="11">
        <v>864</v>
      </c>
      <c r="O186" s="11">
        <v>0</v>
      </c>
      <c r="P186" s="11">
        <v>0</v>
      </c>
      <c r="Q186" s="11">
        <v>0</v>
      </c>
      <c r="R186" s="11">
        <v>0</v>
      </c>
      <c r="S186" s="12">
        <v>8704</v>
      </c>
    </row>
    <row r="187" spans="1:19" ht="17.5" thickBot="1" x14ac:dyDescent="0.65">
      <c r="A187" s="10" t="s">
        <v>348</v>
      </c>
      <c r="B187" s="9" t="s">
        <v>447</v>
      </c>
      <c r="C187" s="9" t="s">
        <v>457</v>
      </c>
      <c r="D187" s="20" t="s">
        <v>747</v>
      </c>
      <c r="E187" s="10" t="s">
        <v>694</v>
      </c>
      <c r="F187" s="10" t="s">
        <v>25</v>
      </c>
      <c r="G187" s="11">
        <v>561</v>
      </c>
      <c r="H187" s="11">
        <v>595</v>
      </c>
      <c r="I187" s="11">
        <v>250</v>
      </c>
      <c r="J187" s="11">
        <v>169</v>
      </c>
      <c r="K187" s="11">
        <v>265</v>
      </c>
      <c r="L187" s="11">
        <v>233</v>
      </c>
      <c r="M187" s="11">
        <v>287</v>
      </c>
      <c r="N187" s="11">
        <v>307</v>
      </c>
      <c r="O187" s="11">
        <v>0</v>
      </c>
      <c r="P187" s="11">
        <v>0</v>
      </c>
      <c r="Q187" s="11">
        <v>0</v>
      </c>
      <c r="R187" s="11">
        <v>0</v>
      </c>
      <c r="S187" s="12">
        <v>2667</v>
      </c>
    </row>
    <row r="188" spans="1:19" ht="17.5" thickBot="1" x14ac:dyDescent="0.65">
      <c r="A188" s="10" t="s">
        <v>348</v>
      </c>
      <c r="B188" s="9" t="s">
        <v>458</v>
      </c>
      <c r="C188" s="9" t="s">
        <v>459</v>
      </c>
      <c r="D188" s="20" t="s">
        <v>460</v>
      </c>
      <c r="E188" s="10" t="s">
        <v>694</v>
      </c>
      <c r="F188" s="10" t="s">
        <v>104</v>
      </c>
      <c r="G188" s="11">
        <v>1343</v>
      </c>
      <c r="H188" s="11">
        <v>1722</v>
      </c>
      <c r="I188" s="11">
        <v>1461</v>
      </c>
      <c r="J188" s="11">
        <v>1887</v>
      </c>
      <c r="K188" s="11">
        <v>2279</v>
      </c>
      <c r="L188" s="11">
        <v>1485</v>
      </c>
      <c r="M188" s="11">
        <v>1131</v>
      </c>
      <c r="N188" s="11">
        <v>2242</v>
      </c>
      <c r="O188" s="11">
        <v>0</v>
      </c>
      <c r="P188" s="11">
        <v>0</v>
      </c>
      <c r="Q188" s="11">
        <v>0</v>
      </c>
      <c r="R188" s="11">
        <v>0</v>
      </c>
      <c r="S188" s="12">
        <v>13550</v>
      </c>
    </row>
    <row r="189" spans="1:19" ht="17.5" thickBot="1" x14ac:dyDescent="0.65">
      <c r="A189" s="10" t="s">
        <v>348</v>
      </c>
      <c r="B189" s="9" t="s">
        <v>461</v>
      </c>
      <c r="C189" s="9" t="s">
        <v>462</v>
      </c>
      <c r="D189" s="20" t="s">
        <v>463</v>
      </c>
      <c r="E189" s="10" t="s">
        <v>694</v>
      </c>
      <c r="F189" s="10" t="s">
        <v>21</v>
      </c>
      <c r="G189" s="11">
        <v>565</v>
      </c>
      <c r="H189" s="11">
        <v>905</v>
      </c>
      <c r="I189" s="11">
        <v>1813</v>
      </c>
      <c r="J189" s="11">
        <v>704</v>
      </c>
      <c r="K189" s="11">
        <v>884</v>
      </c>
      <c r="L189" s="11">
        <v>748</v>
      </c>
      <c r="M189" s="11">
        <v>816</v>
      </c>
      <c r="N189" s="11">
        <v>608</v>
      </c>
      <c r="O189" s="11">
        <v>0</v>
      </c>
      <c r="P189" s="11">
        <v>0</v>
      </c>
      <c r="Q189" s="11">
        <v>0</v>
      </c>
      <c r="R189" s="11">
        <v>0</v>
      </c>
      <c r="S189" s="12">
        <v>7043</v>
      </c>
    </row>
    <row r="190" spans="1:19" ht="17.5" thickBot="1" x14ac:dyDescent="0.65">
      <c r="A190" s="10" t="s">
        <v>348</v>
      </c>
      <c r="B190" s="9" t="s">
        <v>461</v>
      </c>
      <c r="C190" s="9" t="s">
        <v>464</v>
      </c>
      <c r="D190" s="20" t="s">
        <v>465</v>
      </c>
      <c r="E190" s="10" t="s">
        <v>694</v>
      </c>
      <c r="F190" s="10" t="s">
        <v>21</v>
      </c>
      <c r="G190" s="11">
        <v>435</v>
      </c>
      <c r="H190" s="11">
        <v>752</v>
      </c>
      <c r="I190" s="11">
        <v>1922</v>
      </c>
      <c r="J190" s="11">
        <v>883</v>
      </c>
      <c r="K190" s="11">
        <v>516</v>
      </c>
      <c r="L190" s="11">
        <v>992</v>
      </c>
      <c r="M190" s="11">
        <v>703</v>
      </c>
      <c r="N190" s="11">
        <v>1162</v>
      </c>
      <c r="O190" s="11">
        <v>0</v>
      </c>
      <c r="P190" s="11">
        <v>0</v>
      </c>
      <c r="Q190" s="11">
        <v>0</v>
      </c>
      <c r="R190" s="11">
        <v>0</v>
      </c>
      <c r="S190" s="12">
        <v>7365</v>
      </c>
    </row>
    <row r="191" spans="1:19" ht="17.5" thickBot="1" x14ac:dyDescent="0.65">
      <c r="A191" s="10" t="s">
        <v>348</v>
      </c>
      <c r="B191" s="9" t="s">
        <v>461</v>
      </c>
      <c r="C191" s="9" t="s">
        <v>466</v>
      </c>
      <c r="D191" s="20" t="s">
        <v>467</v>
      </c>
      <c r="E191" s="10" t="s">
        <v>694</v>
      </c>
      <c r="F191" s="10" t="s">
        <v>21</v>
      </c>
      <c r="G191" s="11">
        <v>899</v>
      </c>
      <c r="H191" s="11">
        <v>969</v>
      </c>
      <c r="I191" s="11">
        <v>2244</v>
      </c>
      <c r="J191" s="11">
        <v>1622</v>
      </c>
      <c r="K191" s="11">
        <v>2962</v>
      </c>
      <c r="L191" s="11">
        <v>1942</v>
      </c>
      <c r="M191" s="11">
        <v>931</v>
      </c>
      <c r="N191" s="11">
        <v>1862</v>
      </c>
      <c r="O191" s="11">
        <v>0</v>
      </c>
      <c r="P191" s="11">
        <v>0</v>
      </c>
      <c r="Q191" s="11">
        <v>0</v>
      </c>
      <c r="R191" s="11">
        <v>0</v>
      </c>
      <c r="S191" s="12">
        <v>13431</v>
      </c>
    </row>
    <row r="192" spans="1:19" ht="17.5" thickBot="1" x14ac:dyDescent="0.65">
      <c r="A192" s="10" t="s">
        <v>348</v>
      </c>
      <c r="B192" s="9" t="s">
        <v>461</v>
      </c>
      <c r="C192" s="9" t="s">
        <v>468</v>
      </c>
      <c r="D192" s="20" t="s">
        <v>755</v>
      </c>
      <c r="E192" s="10" t="s">
        <v>694</v>
      </c>
      <c r="F192" s="10" t="s">
        <v>21</v>
      </c>
      <c r="G192" s="11">
        <v>1445</v>
      </c>
      <c r="H192" s="11">
        <v>1113</v>
      </c>
      <c r="I192" s="11">
        <v>638</v>
      </c>
      <c r="J192" s="11">
        <v>635</v>
      </c>
      <c r="K192" s="11">
        <v>665</v>
      </c>
      <c r="L192" s="11">
        <v>357</v>
      </c>
      <c r="M192" s="11">
        <v>517</v>
      </c>
      <c r="N192" s="11">
        <v>523</v>
      </c>
      <c r="O192" s="11">
        <v>0</v>
      </c>
      <c r="P192" s="11">
        <v>0</v>
      </c>
      <c r="Q192" s="11">
        <v>0</v>
      </c>
      <c r="R192" s="11">
        <v>0</v>
      </c>
      <c r="S192" s="12">
        <v>5893</v>
      </c>
    </row>
    <row r="193" spans="1:19" ht="17.5" thickBot="1" x14ac:dyDescent="0.65">
      <c r="A193" s="10" t="s">
        <v>348</v>
      </c>
      <c r="B193" s="9" t="s">
        <v>469</v>
      </c>
      <c r="C193" s="9" t="s">
        <v>470</v>
      </c>
      <c r="D193" s="20" t="s">
        <v>471</v>
      </c>
      <c r="E193" s="10" t="s">
        <v>694</v>
      </c>
      <c r="F193" s="10" t="s">
        <v>28</v>
      </c>
      <c r="G193" s="11">
        <v>1026</v>
      </c>
      <c r="H193" s="11">
        <v>853</v>
      </c>
      <c r="I193" s="11">
        <v>1151</v>
      </c>
      <c r="J193" s="11">
        <v>215</v>
      </c>
      <c r="K193" s="11">
        <v>145</v>
      </c>
      <c r="L193" s="11">
        <v>440</v>
      </c>
      <c r="M193" s="11">
        <v>125</v>
      </c>
      <c r="N193" s="11">
        <v>13</v>
      </c>
      <c r="O193" s="11">
        <v>0</v>
      </c>
      <c r="P193" s="11">
        <v>0</v>
      </c>
      <c r="Q193" s="11">
        <v>0</v>
      </c>
      <c r="R193" s="11">
        <v>0</v>
      </c>
      <c r="S193" s="12">
        <v>3968</v>
      </c>
    </row>
    <row r="194" spans="1:19" ht="17.5" thickBot="1" x14ac:dyDescent="0.65">
      <c r="A194" s="10" t="s">
        <v>348</v>
      </c>
      <c r="B194" s="9" t="s">
        <v>469</v>
      </c>
      <c r="C194" s="9" t="s">
        <v>472</v>
      </c>
      <c r="D194" s="20" t="s">
        <v>473</v>
      </c>
      <c r="E194" s="10" t="s">
        <v>694</v>
      </c>
      <c r="F194" s="10" t="s">
        <v>28</v>
      </c>
      <c r="G194" s="11">
        <v>46</v>
      </c>
      <c r="H194" s="11">
        <v>0</v>
      </c>
      <c r="I194" s="11">
        <v>20</v>
      </c>
      <c r="J194" s="11">
        <v>112</v>
      </c>
      <c r="K194" s="11">
        <v>462</v>
      </c>
      <c r="L194" s="11">
        <v>19</v>
      </c>
      <c r="M194" s="11">
        <v>0</v>
      </c>
      <c r="N194" s="11">
        <v>4</v>
      </c>
      <c r="O194" s="11">
        <v>0</v>
      </c>
      <c r="P194" s="11">
        <v>0</v>
      </c>
      <c r="Q194" s="11">
        <v>0</v>
      </c>
      <c r="R194" s="11">
        <v>0</v>
      </c>
      <c r="S194" s="12">
        <v>663</v>
      </c>
    </row>
    <row r="195" spans="1:19" ht="17.5" thickBot="1" x14ac:dyDescent="0.65">
      <c r="A195" s="10" t="s">
        <v>348</v>
      </c>
      <c r="B195" s="9" t="s">
        <v>474</v>
      </c>
      <c r="C195" s="9" t="s">
        <v>475</v>
      </c>
      <c r="D195" s="20" t="s">
        <v>476</v>
      </c>
      <c r="E195" s="10" t="s">
        <v>694</v>
      </c>
      <c r="F195" s="10" t="s">
        <v>21</v>
      </c>
      <c r="G195" s="11">
        <v>1372</v>
      </c>
      <c r="H195" s="11">
        <v>925</v>
      </c>
      <c r="I195" s="11">
        <v>1396</v>
      </c>
      <c r="J195" s="11">
        <v>911</v>
      </c>
      <c r="K195" s="11">
        <v>854</v>
      </c>
      <c r="L195" s="11">
        <v>799</v>
      </c>
      <c r="M195" s="11">
        <v>598</v>
      </c>
      <c r="N195" s="11">
        <v>617</v>
      </c>
      <c r="O195" s="11">
        <v>0</v>
      </c>
      <c r="P195" s="11">
        <v>0</v>
      </c>
      <c r="Q195" s="11">
        <v>0</v>
      </c>
      <c r="R195" s="11">
        <v>0</v>
      </c>
      <c r="S195" s="12">
        <v>7472</v>
      </c>
    </row>
    <row r="196" spans="1:19" ht="17.5" thickBot="1" x14ac:dyDescent="0.65">
      <c r="A196" s="10" t="s">
        <v>348</v>
      </c>
      <c r="B196" s="9" t="s">
        <v>474</v>
      </c>
      <c r="C196" s="9" t="s">
        <v>477</v>
      </c>
      <c r="D196" s="20" t="s">
        <v>478</v>
      </c>
      <c r="E196" s="10" t="s">
        <v>694</v>
      </c>
      <c r="F196" s="10" t="s">
        <v>21</v>
      </c>
      <c r="G196" s="11">
        <v>995</v>
      </c>
      <c r="H196" s="11">
        <v>984</v>
      </c>
      <c r="I196" s="11">
        <v>1281</v>
      </c>
      <c r="J196" s="11">
        <v>744</v>
      </c>
      <c r="K196" s="11">
        <v>422</v>
      </c>
      <c r="L196" s="11">
        <v>464</v>
      </c>
      <c r="M196" s="11">
        <v>268</v>
      </c>
      <c r="N196" s="11">
        <v>361</v>
      </c>
      <c r="O196" s="11">
        <v>0</v>
      </c>
      <c r="P196" s="11">
        <v>0</v>
      </c>
      <c r="Q196" s="11">
        <v>0</v>
      </c>
      <c r="R196" s="11">
        <v>0</v>
      </c>
      <c r="S196" s="12">
        <v>5519</v>
      </c>
    </row>
    <row r="197" spans="1:19" ht="17.5" thickBot="1" x14ac:dyDescent="0.65">
      <c r="A197" s="10" t="s">
        <v>348</v>
      </c>
      <c r="B197" s="9" t="s">
        <v>474</v>
      </c>
      <c r="C197" s="9" t="s">
        <v>479</v>
      </c>
      <c r="D197" s="20" t="s">
        <v>750</v>
      </c>
      <c r="E197" s="10" t="s">
        <v>694</v>
      </c>
      <c r="F197" s="10" t="s">
        <v>21</v>
      </c>
      <c r="G197" s="11">
        <v>553</v>
      </c>
      <c r="H197" s="11">
        <v>1021</v>
      </c>
      <c r="I197" s="11">
        <v>1179</v>
      </c>
      <c r="J197" s="11">
        <v>612</v>
      </c>
      <c r="K197" s="11">
        <v>542</v>
      </c>
      <c r="L197" s="11">
        <v>315</v>
      </c>
      <c r="M197" s="11">
        <v>554</v>
      </c>
      <c r="N197" s="11">
        <v>542</v>
      </c>
      <c r="O197" s="11">
        <v>0</v>
      </c>
      <c r="P197" s="11">
        <v>0</v>
      </c>
      <c r="Q197" s="11">
        <v>0</v>
      </c>
      <c r="R197" s="11">
        <v>0</v>
      </c>
      <c r="S197" s="12">
        <v>5318</v>
      </c>
    </row>
    <row r="198" spans="1:19" ht="17.5" thickBot="1" x14ac:dyDescent="0.65">
      <c r="A198" s="10" t="s">
        <v>348</v>
      </c>
      <c r="B198" s="9" t="s">
        <v>480</v>
      </c>
      <c r="C198" s="9" t="s">
        <v>481</v>
      </c>
      <c r="D198" s="20" t="s">
        <v>482</v>
      </c>
      <c r="E198" s="10" t="s">
        <v>694</v>
      </c>
      <c r="F198" s="10" t="s">
        <v>104</v>
      </c>
      <c r="G198" s="11">
        <v>1110</v>
      </c>
      <c r="H198" s="11">
        <v>860</v>
      </c>
      <c r="I198" s="11">
        <v>970</v>
      </c>
      <c r="J198" s="11">
        <v>344</v>
      </c>
      <c r="K198" s="11">
        <v>426</v>
      </c>
      <c r="L198" s="11">
        <v>691</v>
      </c>
      <c r="M198" s="11">
        <v>650</v>
      </c>
      <c r="N198" s="11">
        <v>469</v>
      </c>
      <c r="O198" s="11">
        <v>0</v>
      </c>
      <c r="P198" s="11">
        <v>0</v>
      </c>
      <c r="Q198" s="11">
        <v>0</v>
      </c>
      <c r="R198" s="11">
        <v>0</v>
      </c>
      <c r="S198" s="12">
        <v>5520</v>
      </c>
    </row>
    <row r="199" spans="1:19" ht="17.5" thickBot="1" x14ac:dyDescent="0.65">
      <c r="A199" s="10" t="s">
        <v>348</v>
      </c>
      <c r="B199" s="9" t="s">
        <v>483</v>
      </c>
      <c r="C199" s="9" t="s">
        <v>484</v>
      </c>
      <c r="D199" s="20" t="s">
        <v>485</v>
      </c>
      <c r="E199" s="10" t="s">
        <v>694</v>
      </c>
      <c r="F199" s="10" t="s">
        <v>21</v>
      </c>
      <c r="G199" s="11">
        <v>2175</v>
      </c>
      <c r="H199" s="11">
        <v>1815</v>
      </c>
      <c r="I199" s="11">
        <v>2109</v>
      </c>
      <c r="J199" s="11">
        <v>1556</v>
      </c>
      <c r="K199" s="11">
        <v>1467</v>
      </c>
      <c r="L199" s="11">
        <v>1299</v>
      </c>
      <c r="M199" s="11">
        <v>1806</v>
      </c>
      <c r="N199" s="11">
        <v>2060</v>
      </c>
      <c r="O199" s="11">
        <v>0</v>
      </c>
      <c r="P199" s="11">
        <v>0</v>
      </c>
      <c r="Q199" s="11">
        <v>0</v>
      </c>
      <c r="R199" s="11">
        <v>0</v>
      </c>
      <c r="S199" s="12">
        <v>14287</v>
      </c>
    </row>
    <row r="200" spans="1:19" ht="17.5" thickBot="1" x14ac:dyDescent="0.65">
      <c r="A200" s="10" t="s">
        <v>348</v>
      </c>
      <c r="B200" s="9" t="s">
        <v>483</v>
      </c>
      <c r="C200" s="9" t="s">
        <v>486</v>
      </c>
      <c r="D200" s="20" t="s">
        <v>487</v>
      </c>
      <c r="E200" s="10" t="s">
        <v>694</v>
      </c>
      <c r="F200" s="10" t="s">
        <v>21</v>
      </c>
      <c r="G200" s="11">
        <v>2167</v>
      </c>
      <c r="H200" s="11">
        <v>1860</v>
      </c>
      <c r="I200" s="11">
        <v>1687</v>
      </c>
      <c r="J200" s="11">
        <v>1672</v>
      </c>
      <c r="K200" s="11">
        <v>2283</v>
      </c>
      <c r="L200" s="11">
        <v>2039</v>
      </c>
      <c r="M200" s="11">
        <v>1418</v>
      </c>
      <c r="N200" s="11">
        <v>1245</v>
      </c>
      <c r="O200" s="11">
        <v>0</v>
      </c>
      <c r="P200" s="11">
        <v>0</v>
      </c>
      <c r="Q200" s="11">
        <v>0</v>
      </c>
      <c r="R200" s="11">
        <v>0</v>
      </c>
      <c r="S200" s="12">
        <v>14371</v>
      </c>
    </row>
    <row r="201" spans="1:19" ht="17.5" thickBot="1" x14ac:dyDescent="0.65">
      <c r="A201" s="10" t="s">
        <v>348</v>
      </c>
      <c r="B201" s="9" t="s">
        <v>483</v>
      </c>
      <c r="C201" s="9" t="s">
        <v>488</v>
      </c>
      <c r="D201" s="20" t="s">
        <v>489</v>
      </c>
      <c r="E201" s="10" t="s">
        <v>694</v>
      </c>
      <c r="F201" s="10" t="s">
        <v>21</v>
      </c>
      <c r="G201" s="11">
        <v>1685</v>
      </c>
      <c r="H201" s="11">
        <v>1337</v>
      </c>
      <c r="I201" s="11">
        <v>1681</v>
      </c>
      <c r="J201" s="11">
        <v>2055</v>
      </c>
      <c r="K201" s="11">
        <v>2233</v>
      </c>
      <c r="L201" s="11">
        <v>1636</v>
      </c>
      <c r="M201" s="11">
        <v>987</v>
      </c>
      <c r="N201" s="11">
        <v>1438</v>
      </c>
      <c r="O201" s="11">
        <v>0</v>
      </c>
      <c r="P201" s="11">
        <v>0</v>
      </c>
      <c r="Q201" s="11">
        <v>0</v>
      </c>
      <c r="R201" s="11">
        <v>0</v>
      </c>
      <c r="S201" s="12">
        <v>13052</v>
      </c>
    </row>
    <row r="202" spans="1:19" ht="17.5" thickBot="1" x14ac:dyDescent="0.65">
      <c r="A202" s="10" t="s">
        <v>348</v>
      </c>
      <c r="B202" s="9" t="s">
        <v>483</v>
      </c>
      <c r="C202" s="9" t="s">
        <v>490</v>
      </c>
      <c r="D202" s="20" t="s">
        <v>749</v>
      </c>
      <c r="E202" s="10" t="s">
        <v>694</v>
      </c>
      <c r="F202" s="10" t="s">
        <v>21</v>
      </c>
      <c r="G202" s="11">
        <v>563</v>
      </c>
      <c r="H202" s="11">
        <v>552</v>
      </c>
      <c r="I202" s="11">
        <v>859</v>
      </c>
      <c r="J202" s="11">
        <v>655</v>
      </c>
      <c r="K202" s="11">
        <v>564</v>
      </c>
      <c r="L202" s="11">
        <v>676</v>
      </c>
      <c r="M202" s="11">
        <v>904</v>
      </c>
      <c r="N202" s="11">
        <v>779</v>
      </c>
      <c r="O202" s="11">
        <v>0</v>
      </c>
      <c r="P202" s="11">
        <v>0</v>
      </c>
      <c r="Q202" s="11">
        <v>0</v>
      </c>
      <c r="R202" s="11">
        <v>0</v>
      </c>
      <c r="S202" s="12">
        <v>5552</v>
      </c>
    </row>
    <row r="203" spans="1:19" ht="17.5" thickBot="1" x14ac:dyDescent="0.65">
      <c r="A203" s="10" t="s">
        <v>348</v>
      </c>
      <c r="B203" s="9" t="s">
        <v>491</v>
      </c>
      <c r="C203" s="9" t="s">
        <v>492</v>
      </c>
      <c r="D203" s="20" t="s">
        <v>493</v>
      </c>
      <c r="E203" s="10" t="s">
        <v>694</v>
      </c>
      <c r="F203" s="10" t="s">
        <v>104</v>
      </c>
      <c r="G203" s="11">
        <v>171</v>
      </c>
      <c r="H203" s="11">
        <v>145</v>
      </c>
      <c r="I203" s="11">
        <v>202</v>
      </c>
      <c r="J203" s="11">
        <v>59</v>
      </c>
      <c r="K203" s="11">
        <v>86</v>
      </c>
      <c r="L203" s="11">
        <v>656</v>
      </c>
      <c r="M203" s="11">
        <v>107</v>
      </c>
      <c r="N203" s="11">
        <v>210</v>
      </c>
      <c r="O203" s="11">
        <v>0</v>
      </c>
      <c r="P203" s="11">
        <v>0</v>
      </c>
      <c r="Q203" s="11">
        <v>0</v>
      </c>
      <c r="R203" s="11">
        <v>0</v>
      </c>
      <c r="S203" s="12">
        <v>1636</v>
      </c>
    </row>
    <row r="204" spans="1:19" ht="17.5" thickBot="1" x14ac:dyDescent="0.65">
      <c r="A204" s="10" t="s">
        <v>348</v>
      </c>
      <c r="B204" s="9" t="s">
        <v>491</v>
      </c>
      <c r="C204" s="9" t="s">
        <v>494</v>
      </c>
      <c r="D204" s="20" t="s">
        <v>762</v>
      </c>
      <c r="E204" s="10" t="s">
        <v>695</v>
      </c>
      <c r="F204" s="10" t="s">
        <v>104</v>
      </c>
      <c r="G204" s="11">
        <v>1326</v>
      </c>
      <c r="H204" s="11">
        <v>1414</v>
      </c>
      <c r="I204" s="11">
        <v>1980</v>
      </c>
      <c r="J204" s="11">
        <v>1068</v>
      </c>
      <c r="K204" s="11">
        <v>998</v>
      </c>
      <c r="L204" s="11">
        <v>1215</v>
      </c>
      <c r="M204" s="11">
        <v>1693</v>
      </c>
      <c r="N204" s="11">
        <v>1286</v>
      </c>
      <c r="O204" s="11">
        <v>0</v>
      </c>
      <c r="P204" s="11">
        <v>0</v>
      </c>
      <c r="Q204" s="11">
        <v>0</v>
      </c>
      <c r="R204" s="11">
        <v>0</v>
      </c>
      <c r="S204" s="12">
        <v>10980</v>
      </c>
    </row>
    <row r="205" spans="1:19" ht="17.5" thickBot="1" x14ac:dyDescent="0.65">
      <c r="A205" s="10" t="s">
        <v>348</v>
      </c>
      <c r="B205" s="9" t="s">
        <v>491</v>
      </c>
      <c r="C205" s="9" t="s">
        <v>495</v>
      </c>
      <c r="D205" s="20" t="s">
        <v>742</v>
      </c>
      <c r="E205" s="10" t="s">
        <v>694</v>
      </c>
      <c r="F205" s="10" t="s">
        <v>104</v>
      </c>
      <c r="G205" s="11">
        <v>111</v>
      </c>
      <c r="H205" s="11">
        <v>162</v>
      </c>
      <c r="I205" s="11">
        <v>63</v>
      </c>
      <c r="J205" s="11">
        <v>46</v>
      </c>
      <c r="K205" s="11">
        <v>285</v>
      </c>
      <c r="L205" s="11">
        <v>285</v>
      </c>
      <c r="M205" s="11">
        <v>292</v>
      </c>
      <c r="N205" s="11">
        <v>78</v>
      </c>
      <c r="O205" s="11">
        <v>0</v>
      </c>
      <c r="P205" s="11">
        <v>0</v>
      </c>
      <c r="Q205" s="11">
        <v>0</v>
      </c>
      <c r="R205" s="11">
        <v>0</v>
      </c>
      <c r="S205" s="12">
        <v>1322</v>
      </c>
    </row>
    <row r="206" spans="1:19" ht="17.5" thickBot="1" x14ac:dyDescent="0.65">
      <c r="A206" s="10" t="s">
        <v>348</v>
      </c>
      <c r="B206" s="9" t="s">
        <v>496</v>
      </c>
      <c r="C206" s="9" t="s">
        <v>497</v>
      </c>
      <c r="D206" s="20" t="s">
        <v>498</v>
      </c>
      <c r="E206" s="10" t="s">
        <v>694</v>
      </c>
      <c r="F206" s="10" t="s">
        <v>21</v>
      </c>
      <c r="G206" s="11">
        <v>293</v>
      </c>
      <c r="H206" s="11">
        <v>310</v>
      </c>
      <c r="I206" s="11">
        <v>929</v>
      </c>
      <c r="J206" s="11">
        <v>540</v>
      </c>
      <c r="K206" s="11">
        <v>219</v>
      </c>
      <c r="L206" s="11">
        <v>636</v>
      </c>
      <c r="M206" s="11">
        <v>663</v>
      </c>
      <c r="N206" s="11">
        <v>441</v>
      </c>
      <c r="O206" s="11">
        <v>0</v>
      </c>
      <c r="P206" s="11">
        <v>0</v>
      </c>
      <c r="Q206" s="11">
        <v>0</v>
      </c>
      <c r="R206" s="11">
        <v>0</v>
      </c>
      <c r="S206" s="12">
        <v>4031</v>
      </c>
    </row>
    <row r="207" spans="1:19" ht="17.5" thickBot="1" x14ac:dyDescent="0.65">
      <c r="A207" s="10" t="s">
        <v>348</v>
      </c>
      <c r="B207" s="9" t="s">
        <v>499</v>
      </c>
      <c r="C207" s="9" t="s">
        <v>500</v>
      </c>
      <c r="D207" s="20" t="s">
        <v>501</v>
      </c>
      <c r="E207" s="10" t="s">
        <v>694</v>
      </c>
      <c r="F207" s="10" t="s">
        <v>104</v>
      </c>
      <c r="G207" s="11">
        <v>663</v>
      </c>
      <c r="H207" s="11">
        <v>1014</v>
      </c>
      <c r="I207" s="11">
        <v>1290</v>
      </c>
      <c r="J207" s="11">
        <v>1614</v>
      </c>
      <c r="K207" s="11">
        <v>1660</v>
      </c>
      <c r="L207" s="11">
        <v>813</v>
      </c>
      <c r="M207" s="11">
        <v>652</v>
      </c>
      <c r="N207" s="11">
        <v>522</v>
      </c>
      <c r="O207" s="11">
        <v>0</v>
      </c>
      <c r="P207" s="11">
        <v>0</v>
      </c>
      <c r="Q207" s="11">
        <v>0</v>
      </c>
      <c r="R207" s="11">
        <v>0</v>
      </c>
      <c r="S207" s="12">
        <v>8228</v>
      </c>
    </row>
    <row r="208" spans="1:19" ht="17.5" thickBot="1" x14ac:dyDescent="0.65">
      <c r="A208" s="10" t="s">
        <v>348</v>
      </c>
      <c r="B208" s="9" t="s">
        <v>499</v>
      </c>
      <c r="C208" s="9" t="s">
        <v>502</v>
      </c>
      <c r="D208" s="20" t="s">
        <v>503</v>
      </c>
      <c r="E208" s="10" t="s">
        <v>694</v>
      </c>
      <c r="F208" s="10" t="s">
        <v>104</v>
      </c>
      <c r="G208" s="11">
        <v>1255</v>
      </c>
      <c r="H208" s="11">
        <v>975</v>
      </c>
      <c r="I208" s="11">
        <v>1701</v>
      </c>
      <c r="J208" s="11">
        <v>1317</v>
      </c>
      <c r="K208" s="11">
        <v>1523</v>
      </c>
      <c r="L208" s="11">
        <v>1761</v>
      </c>
      <c r="M208" s="11">
        <v>1800</v>
      </c>
      <c r="N208" s="11">
        <v>1708</v>
      </c>
      <c r="O208" s="11">
        <v>0</v>
      </c>
      <c r="P208" s="11">
        <v>0</v>
      </c>
      <c r="Q208" s="11">
        <v>0</v>
      </c>
      <c r="R208" s="11">
        <v>0</v>
      </c>
      <c r="S208" s="12">
        <v>12040</v>
      </c>
    </row>
    <row r="209" spans="1:19" ht="17.5" thickBot="1" x14ac:dyDescent="0.65">
      <c r="A209" s="10" t="s">
        <v>348</v>
      </c>
      <c r="B209" s="9" t="s">
        <v>499</v>
      </c>
      <c r="C209" s="9" t="s">
        <v>504</v>
      </c>
      <c r="D209" s="20" t="s">
        <v>505</v>
      </c>
      <c r="E209" s="10" t="s">
        <v>694</v>
      </c>
      <c r="F209" s="10" t="s">
        <v>104</v>
      </c>
      <c r="G209" s="11">
        <v>775</v>
      </c>
      <c r="H209" s="11">
        <v>1114</v>
      </c>
      <c r="I209" s="11">
        <v>1456</v>
      </c>
      <c r="J209" s="11">
        <v>1025</v>
      </c>
      <c r="K209" s="11">
        <v>1172</v>
      </c>
      <c r="L209" s="11">
        <v>1772</v>
      </c>
      <c r="M209" s="11">
        <v>1117</v>
      </c>
      <c r="N209" s="11">
        <v>870</v>
      </c>
      <c r="O209" s="11">
        <v>0</v>
      </c>
      <c r="P209" s="11">
        <v>0</v>
      </c>
      <c r="Q209" s="11">
        <v>0</v>
      </c>
      <c r="R209" s="11">
        <v>0</v>
      </c>
      <c r="S209" s="12">
        <v>9301</v>
      </c>
    </row>
    <row r="210" spans="1:19" ht="17.5" thickBot="1" x14ac:dyDescent="0.65">
      <c r="A210" s="10" t="s">
        <v>348</v>
      </c>
      <c r="B210" s="9" t="s">
        <v>499</v>
      </c>
      <c r="C210" s="9" t="s">
        <v>506</v>
      </c>
      <c r="D210" s="20" t="s">
        <v>748</v>
      </c>
      <c r="E210" s="10" t="s">
        <v>695</v>
      </c>
      <c r="F210" s="10" t="s">
        <v>104</v>
      </c>
      <c r="G210" s="11">
        <v>715</v>
      </c>
      <c r="H210" s="11">
        <v>397</v>
      </c>
      <c r="I210" s="11">
        <v>1060</v>
      </c>
      <c r="J210" s="11">
        <v>804</v>
      </c>
      <c r="K210" s="11">
        <v>741</v>
      </c>
      <c r="L210" s="11">
        <v>1076</v>
      </c>
      <c r="M210" s="11">
        <v>1447</v>
      </c>
      <c r="N210" s="11">
        <v>1061</v>
      </c>
      <c r="O210" s="11">
        <v>0</v>
      </c>
      <c r="P210" s="11">
        <v>0</v>
      </c>
      <c r="Q210" s="11">
        <v>0</v>
      </c>
      <c r="R210" s="11">
        <v>0</v>
      </c>
      <c r="S210" s="12">
        <v>7301</v>
      </c>
    </row>
    <row r="211" spans="1:19" ht="17.5" thickBot="1" x14ac:dyDescent="0.65">
      <c r="A211" s="10" t="s">
        <v>348</v>
      </c>
      <c r="B211" s="9" t="s">
        <v>507</v>
      </c>
      <c r="C211" s="9" t="s">
        <v>508</v>
      </c>
      <c r="D211" s="20" t="s">
        <v>509</v>
      </c>
      <c r="E211" s="10" t="s">
        <v>694</v>
      </c>
      <c r="F211" s="10" t="s">
        <v>104</v>
      </c>
      <c r="G211" s="11">
        <v>431</v>
      </c>
      <c r="H211" s="11">
        <v>775</v>
      </c>
      <c r="I211" s="11">
        <v>1231</v>
      </c>
      <c r="J211" s="11">
        <v>878</v>
      </c>
      <c r="K211" s="11">
        <v>611</v>
      </c>
      <c r="L211" s="11">
        <v>489</v>
      </c>
      <c r="M211" s="11">
        <v>316</v>
      </c>
      <c r="N211" s="11">
        <v>378</v>
      </c>
      <c r="O211" s="11">
        <v>0</v>
      </c>
      <c r="P211" s="11">
        <v>0</v>
      </c>
      <c r="Q211" s="11">
        <v>0</v>
      </c>
      <c r="R211" s="11">
        <v>0</v>
      </c>
      <c r="S211" s="12">
        <v>5109</v>
      </c>
    </row>
    <row r="212" spans="1:19" ht="17.5" thickBot="1" x14ac:dyDescent="0.65">
      <c r="A212" s="10" t="s">
        <v>348</v>
      </c>
      <c r="B212" s="9" t="s">
        <v>510</v>
      </c>
      <c r="C212" s="9" t="s">
        <v>511</v>
      </c>
      <c r="D212" s="20" t="s">
        <v>512</v>
      </c>
      <c r="E212" s="10" t="s">
        <v>694</v>
      </c>
      <c r="F212" s="10" t="s">
        <v>21</v>
      </c>
      <c r="G212" s="11">
        <v>710</v>
      </c>
      <c r="H212" s="11">
        <v>1107</v>
      </c>
      <c r="I212" s="11">
        <v>953</v>
      </c>
      <c r="J212" s="11">
        <v>1786</v>
      </c>
      <c r="K212" s="11">
        <v>1014</v>
      </c>
      <c r="L212" s="11">
        <v>1704</v>
      </c>
      <c r="M212" s="11">
        <v>1365</v>
      </c>
      <c r="N212" s="11">
        <v>731</v>
      </c>
      <c r="O212" s="11">
        <v>0</v>
      </c>
      <c r="P212" s="11">
        <v>0</v>
      </c>
      <c r="Q212" s="11">
        <v>0</v>
      </c>
      <c r="R212" s="11">
        <v>0</v>
      </c>
      <c r="S212" s="12">
        <v>9370</v>
      </c>
    </row>
    <row r="213" spans="1:19" ht="17.5" thickBot="1" x14ac:dyDescent="0.65">
      <c r="A213" s="10" t="s">
        <v>348</v>
      </c>
      <c r="B213" s="9" t="s">
        <v>514</v>
      </c>
      <c r="C213" s="9" t="s">
        <v>515</v>
      </c>
      <c r="D213" s="20" t="s">
        <v>516</v>
      </c>
      <c r="E213" s="10" t="s">
        <v>694</v>
      </c>
      <c r="F213" s="10" t="s">
        <v>21</v>
      </c>
      <c r="G213" s="11">
        <v>1011</v>
      </c>
      <c r="H213" s="11">
        <v>1269</v>
      </c>
      <c r="I213" s="11">
        <v>889</v>
      </c>
      <c r="J213" s="11">
        <v>805</v>
      </c>
      <c r="K213" s="11">
        <v>778</v>
      </c>
      <c r="L213" s="11">
        <v>440</v>
      </c>
      <c r="M213" s="11">
        <v>743</v>
      </c>
      <c r="N213" s="11">
        <v>378</v>
      </c>
      <c r="O213" s="11">
        <v>0</v>
      </c>
      <c r="P213" s="11">
        <v>0</v>
      </c>
      <c r="Q213" s="11">
        <v>0</v>
      </c>
      <c r="R213" s="11">
        <v>0</v>
      </c>
      <c r="S213" s="12">
        <v>6313</v>
      </c>
    </row>
    <row r="214" spans="1:19" ht="17.5" thickBot="1" x14ac:dyDescent="0.65">
      <c r="A214" s="10" t="s">
        <v>348</v>
      </c>
      <c r="B214" s="9" t="s">
        <v>513</v>
      </c>
      <c r="C214" s="9" t="s">
        <v>517</v>
      </c>
      <c r="D214" s="20" t="s">
        <v>768</v>
      </c>
      <c r="E214" s="10" t="s">
        <v>695</v>
      </c>
      <c r="F214" s="10" t="e">
        <v>#N/A</v>
      </c>
      <c r="G214" s="11">
        <v>1122</v>
      </c>
      <c r="H214" s="11">
        <v>1208</v>
      </c>
      <c r="I214" s="11">
        <v>1311</v>
      </c>
      <c r="J214" s="11">
        <v>1027</v>
      </c>
      <c r="K214" s="11">
        <v>1754</v>
      </c>
      <c r="L214" s="11">
        <v>2099</v>
      </c>
      <c r="M214" s="11">
        <v>2006</v>
      </c>
      <c r="N214" s="11">
        <v>2441</v>
      </c>
      <c r="O214" s="11">
        <v>0</v>
      </c>
      <c r="P214" s="11">
        <v>0</v>
      </c>
      <c r="Q214" s="11">
        <v>0</v>
      </c>
      <c r="R214" s="11">
        <v>0</v>
      </c>
      <c r="S214" s="12">
        <v>12968</v>
      </c>
    </row>
    <row r="215" spans="1:19" ht="17.5" thickBot="1" x14ac:dyDescent="0.65">
      <c r="A215" s="10" t="s">
        <v>348</v>
      </c>
      <c r="B215" s="9" t="s">
        <v>518</v>
      </c>
      <c r="C215" s="9" t="s">
        <v>519</v>
      </c>
      <c r="D215" s="20" t="s">
        <v>520</v>
      </c>
      <c r="E215" s="10" t="s">
        <v>694</v>
      </c>
      <c r="F215" s="10" t="s">
        <v>25</v>
      </c>
      <c r="G215" s="11">
        <v>2506</v>
      </c>
      <c r="H215" s="11">
        <v>2504</v>
      </c>
      <c r="I215" s="11">
        <v>3512</v>
      </c>
      <c r="J215" s="11">
        <v>2752</v>
      </c>
      <c r="K215" s="11">
        <v>3578</v>
      </c>
      <c r="L215" s="11">
        <v>2430</v>
      </c>
      <c r="M215" s="11">
        <v>2154</v>
      </c>
      <c r="N215" s="11">
        <v>2124</v>
      </c>
      <c r="O215" s="11">
        <v>0</v>
      </c>
      <c r="P215" s="11">
        <v>0</v>
      </c>
      <c r="Q215" s="11">
        <v>0</v>
      </c>
      <c r="R215" s="11">
        <v>0</v>
      </c>
      <c r="S215" s="12">
        <v>21560</v>
      </c>
    </row>
    <row r="216" spans="1:19" ht="17.5" thickBot="1" x14ac:dyDescent="0.65">
      <c r="A216" s="10" t="s">
        <v>348</v>
      </c>
      <c r="B216" s="9" t="s">
        <v>518</v>
      </c>
      <c r="C216" s="9" t="s">
        <v>521</v>
      </c>
      <c r="D216" s="20" t="s">
        <v>522</v>
      </c>
      <c r="E216" s="10" t="s">
        <v>694</v>
      </c>
      <c r="F216" s="10" t="s">
        <v>25</v>
      </c>
      <c r="G216" s="11">
        <v>911</v>
      </c>
      <c r="H216" s="11">
        <v>937</v>
      </c>
      <c r="I216" s="11">
        <v>1138</v>
      </c>
      <c r="J216" s="11">
        <v>608</v>
      </c>
      <c r="K216" s="11">
        <v>1305</v>
      </c>
      <c r="L216" s="11">
        <v>1383</v>
      </c>
      <c r="M216" s="11">
        <v>713</v>
      </c>
      <c r="N216" s="11">
        <v>842</v>
      </c>
      <c r="O216" s="11">
        <v>0</v>
      </c>
      <c r="P216" s="11">
        <v>0</v>
      </c>
      <c r="Q216" s="11">
        <v>0</v>
      </c>
      <c r="R216" s="11">
        <v>0</v>
      </c>
      <c r="S216" s="12">
        <v>7837</v>
      </c>
    </row>
    <row r="217" spans="1:19" ht="17.5" thickBot="1" x14ac:dyDescent="0.65">
      <c r="A217" s="10" t="s">
        <v>348</v>
      </c>
      <c r="B217" s="9" t="s">
        <v>523</v>
      </c>
      <c r="C217" s="9" t="s">
        <v>524</v>
      </c>
      <c r="D217" s="20" t="s">
        <v>525</v>
      </c>
      <c r="E217" s="10" t="s">
        <v>694</v>
      </c>
      <c r="F217" s="10" t="s">
        <v>21</v>
      </c>
      <c r="G217" s="11">
        <v>587</v>
      </c>
      <c r="H217" s="11">
        <v>876</v>
      </c>
      <c r="I217" s="11">
        <v>811</v>
      </c>
      <c r="J217" s="11">
        <v>533</v>
      </c>
      <c r="K217" s="11">
        <v>370</v>
      </c>
      <c r="L217" s="11">
        <v>478</v>
      </c>
      <c r="M217" s="11">
        <v>315</v>
      </c>
      <c r="N217" s="11">
        <v>487</v>
      </c>
      <c r="O217" s="11">
        <v>0</v>
      </c>
      <c r="P217" s="11">
        <v>0</v>
      </c>
      <c r="Q217" s="11">
        <v>0</v>
      </c>
      <c r="R217" s="11">
        <v>0</v>
      </c>
      <c r="S217" s="12">
        <v>4457</v>
      </c>
    </row>
    <row r="218" spans="1:19" ht="17.5" thickBot="1" x14ac:dyDescent="0.65">
      <c r="A218" s="10" t="s">
        <v>348</v>
      </c>
      <c r="B218" s="9" t="s">
        <v>526</v>
      </c>
      <c r="C218" s="9" t="s">
        <v>527</v>
      </c>
      <c r="D218" s="20" t="s">
        <v>528</v>
      </c>
      <c r="E218" s="10" t="s">
        <v>694</v>
      </c>
      <c r="F218" s="10" t="s">
        <v>104</v>
      </c>
      <c r="G218" s="11">
        <v>615</v>
      </c>
      <c r="H218" s="11">
        <v>347</v>
      </c>
      <c r="I218" s="11">
        <v>397</v>
      </c>
      <c r="J218" s="11">
        <v>464</v>
      </c>
      <c r="K218" s="11">
        <v>498</v>
      </c>
      <c r="L218" s="11">
        <v>497</v>
      </c>
      <c r="M218" s="11">
        <v>542</v>
      </c>
      <c r="N218" s="11">
        <v>563</v>
      </c>
      <c r="O218" s="11">
        <v>0</v>
      </c>
      <c r="P218" s="11">
        <v>0</v>
      </c>
      <c r="Q218" s="11">
        <v>0</v>
      </c>
      <c r="R218" s="11">
        <v>0</v>
      </c>
      <c r="S218" s="12">
        <v>3923</v>
      </c>
    </row>
    <row r="219" spans="1:19" ht="17.5" thickBot="1" x14ac:dyDescent="0.65">
      <c r="A219" s="10" t="s">
        <v>348</v>
      </c>
      <c r="B219" s="9" t="s">
        <v>529</v>
      </c>
      <c r="C219" s="9" t="s">
        <v>530</v>
      </c>
      <c r="D219" s="20" t="s">
        <v>531</v>
      </c>
      <c r="E219" s="10" t="s">
        <v>694</v>
      </c>
      <c r="F219" s="10" t="s">
        <v>21</v>
      </c>
      <c r="G219" s="11">
        <v>1713</v>
      </c>
      <c r="H219" s="11">
        <v>1142</v>
      </c>
      <c r="I219" s="11">
        <v>1201</v>
      </c>
      <c r="J219" s="11">
        <v>1308</v>
      </c>
      <c r="K219" s="11">
        <v>1352</v>
      </c>
      <c r="L219" s="11">
        <v>1258</v>
      </c>
      <c r="M219" s="11">
        <v>1773</v>
      </c>
      <c r="N219" s="11">
        <v>869</v>
      </c>
      <c r="O219" s="11">
        <v>0</v>
      </c>
      <c r="P219" s="11">
        <v>0</v>
      </c>
      <c r="Q219" s="11">
        <v>0</v>
      </c>
      <c r="R219" s="11">
        <v>0</v>
      </c>
      <c r="S219" s="12">
        <v>10616</v>
      </c>
    </row>
    <row r="220" spans="1:19" ht="17.5" thickBot="1" x14ac:dyDescent="0.65">
      <c r="A220" s="10" t="s">
        <v>348</v>
      </c>
      <c r="B220" s="9" t="s">
        <v>532</v>
      </c>
      <c r="C220" s="9" t="s">
        <v>533</v>
      </c>
      <c r="D220" s="20" t="s">
        <v>534</v>
      </c>
      <c r="E220" s="10" t="s">
        <v>694</v>
      </c>
      <c r="F220" s="10" t="s">
        <v>21</v>
      </c>
      <c r="G220" s="11">
        <v>1346</v>
      </c>
      <c r="H220" s="11">
        <v>896</v>
      </c>
      <c r="I220" s="11">
        <v>1075</v>
      </c>
      <c r="J220" s="11">
        <v>1318</v>
      </c>
      <c r="K220" s="11">
        <v>1181</v>
      </c>
      <c r="L220" s="11">
        <v>1080</v>
      </c>
      <c r="M220" s="11">
        <v>1287</v>
      </c>
      <c r="N220" s="11">
        <v>1422</v>
      </c>
      <c r="O220" s="11">
        <v>0</v>
      </c>
      <c r="P220" s="11">
        <v>0</v>
      </c>
      <c r="Q220" s="11">
        <v>0</v>
      </c>
      <c r="R220" s="11">
        <v>0</v>
      </c>
      <c r="S220" s="12">
        <v>9605</v>
      </c>
    </row>
    <row r="221" spans="1:19" ht="17.5" thickBot="1" x14ac:dyDescent="0.65">
      <c r="A221" s="10" t="s">
        <v>348</v>
      </c>
      <c r="B221" s="9" t="s">
        <v>535</v>
      </c>
      <c r="C221" s="9" t="s">
        <v>536</v>
      </c>
      <c r="D221" s="20" t="s">
        <v>537</v>
      </c>
      <c r="E221" s="10" t="s">
        <v>695</v>
      </c>
      <c r="F221" s="10" t="s">
        <v>28</v>
      </c>
      <c r="G221" s="11">
        <v>1421</v>
      </c>
      <c r="H221" s="11">
        <v>528</v>
      </c>
      <c r="I221" s="11">
        <v>364</v>
      </c>
      <c r="J221" s="11">
        <v>231</v>
      </c>
      <c r="K221" s="11">
        <v>717</v>
      </c>
      <c r="L221" s="11">
        <v>974</v>
      </c>
      <c r="M221" s="11">
        <v>542</v>
      </c>
      <c r="N221" s="11">
        <v>336</v>
      </c>
      <c r="O221" s="11">
        <v>0</v>
      </c>
      <c r="P221" s="11">
        <v>0</v>
      </c>
      <c r="Q221" s="11">
        <v>0</v>
      </c>
      <c r="R221" s="11">
        <v>0</v>
      </c>
      <c r="S221" s="12">
        <v>5113</v>
      </c>
    </row>
    <row r="222" spans="1:19" ht="17.5" thickBot="1" x14ac:dyDescent="0.65">
      <c r="A222" s="10" t="s">
        <v>348</v>
      </c>
      <c r="B222" s="9" t="s">
        <v>538</v>
      </c>
      <c r="C222" s="9" t="s">
        <v>539</v>
      </c>
      <c r="D222" s="20" t="s">
        <v>752</v>
      </c>
      <c r="E222" s="10" t="s">
        <v>694</v>
      </c>
      <c r="F222" s="10" t="s">
        <v>21</v>
      </c>
      <c r="G222" s="11">
        <v>887</v>
      </c>
      <c r="H222" s="11">
        <v>796</v>
      </c>
      <c r="I222" s="11">
        <v>933</v>
      </c>
      <c r="J222" s="11">
        <v>636</v>
      </c>
      <c r="K222" s="11">
        <v>786</v>
      </c>
      <c r="L222" s="11">
        <v>783</v>
      </c>
      <c r="M222" s="11">
        <v>847</v>
      </c>
      <c r="N222" s="11">
        <v>711</v>
      </c>
      <c r="O222" s="11">
        <v>0</v>
      </c>
      <c r="P222" s="11">
        <v>0</v>
      </c>
      <c r="Q222" s="11">
        <v>0</v>
      </c>
      <c r="R222" s="11">
        <v>0</v>
      </c>
      <c r="S222" s="12">
        <v>6379</v>
      </c>
    </row>
    <row r="223" spans="1:19" ht="17.5" thickBot="1" x14ac:dyDescent="0.65">
      <c r="A223" s="10" t="s">
        <v>348</v>
      </c>
      <c r="B223" s="9" t="s">
        <v>540</v>
      </c>
      <c r="C223" s="9" t="s">
        <v>541</v>
      </c>
      <c r="D223" s="20" t="s">
        <v>542</v>
      </c>
      <c r="E223" s="10" t="s">
        <v>694</v>
      </c>
      <c r="F223" s="10" t="s">
        <v>21</v>
      </c>
      <c r="G223" s="11">
        <v>1566</v>
      </c>
      <c r="H223" s="11">
        <v>962</v>
      </c>
      <c r="I223" s="11">
        <v>1524</v>
      </c>
      <c r="J223" s="11">
        <v>1575</v>
      </c>
      <c r="K223" s="11">
        <v>1390</v>
      </c>
      <c r="L223" s="11">
        <v>750</v>
      </c>
      <c r="M223" s="11">
        <v>1278</v>
      </c>
      <c r="N223" s="11">
        <v>1607</v>
      </c>
      <c r="O223" s="11">
        <v>0</v>
      </c>
      <c r="P223" s="11">
        <v>0</v>
      </c>
      <c r="Q223" s="11">
        <v>0</v>
      </c>
      <c r="R223" s="11">
        <v>0</v>
      </c>
      <c r="S223" s="12">
        <v>10652</v>
      </c>
    </row>
    <row r="224" spans="1:19" ht="17.5" thickBot="1" x14ac:dyDescent="0.65">
      <c r="A224" s="10" t="s">
        <v>348</v>
      </c>
      <c r="B224" s="9" t="s">
        <v>543</v>
      </c>
      <c r="C224" s="9" t="s">
        <v>544</v>
      </c>
      <c r="D224" s="20" t="s">
        <v>545</v>
      </c>
      <c r="E224" s="10" t="s">
        <v>694</v>
      </c>
      <c r="F224" s="10" t="s">
        <v>28</v>
      </c>
      <c r="G224" s="11">
        <v>0</v>
      </c>
      <c r="H224" s="11">
        <v>0</v>
      </c>
      <c r="I224" s="11">
        <v>69</v>
      </c>
      <c r="J224" s="11">
        <v>154</v>
      </c>
      <c r="K224" s="11">
        <v>31</v>
      </c>
      <c r="L224" s="11">
        <v>75</v>
      </c>
      <c r="M224" s="11">
        <v>57</v>
      </c>
      <c r="N224" s="11">
        <v>368</v>
      </c>
      <c r="O224" s="11">
        <v>0</v>
      </c>
      <c r="P224" s="11">
        <v>0</v>
      </c>
      <c r="Q224" s="11">
        <v>0</v>
      </c>
      <c r="R224" s="11">
        <v>0</v>
      </c>
      <c r="S224" s="12">
        <v>754</v>
      </c>
    </row>
    <row r="225" spans="1:19" ht="17.5" thickBot="1" x14ac:dyDescent="0.65">
      <c r="A225" s="10" t="s">
        <v>348</v>
      </c>
      <c r="B225" s="9" t="s">
        <v>546</v>
      </c>
      <c r="C225" s="9" t="s">
        <v>547</v>
      </c>
      <c r="D225" s="20" t="s">
        <v>764</v>
      </c>
      <c r="E225" s="10" t="s">
        <v>695</v>
      </c>
      <c r="F225" s="10" t="s">
        <v>104</v>
      </c>
      <c r="G225" s="11">
        <v>1845</v>
      </c>
      <c r="H225" s="11">
        <v>1647</v>
      </c>
      <c r="I225" s="11">
        <v>2113</v>
      </c>
      <c r="J225" s="11">
        <v>1870</v>
      </c>
      <c r="K225" s="11">
        <v>1558</v>
      </c>
      <c r="L225" s="11">
        <v>1620</v>
      </c>
      <c r="M225" s="11">
        <v>2483</v>
      </c>
      <c r="N225" s="11">
        <v>2103</v>
      </c>
      <c r="O225" s="11">
        <v>0</v>
      </c>
      <c r="P225" s="11">
        <v>0</v>
      </c>
      <c r="Q225" s="11">
        <v>0</v>
      </c>
      <c r="R225" s="11">
        <v>0</v>
      </c>
      <c r="S225" s="12">
        <v>15239</v>
      </c>
    </row>
    <row r="226" spans="1:19" ht="17.5" thickBot="1" x14ac:dyDescent="0.65">
      <c r="A226" s="10" t="s">
        <v>348</v>
      </c>
      <c r="B226" s="9" t="s">
        <v>548</v>
      </c>
      <c r="C226" s="9" t="s">
        <v>549</v>
      </c>
      <c r="D226" s="20" t="s">
        <v>550</v>
      </c>
      <c r="E226" s="10" t="s">
        <v>694</v>
      </c>
      <c r="F226" s="10" t="s">
        <v>21</v>
      </c>
      <c r="G226" s="11">
        <v>853</v>
      </c>
      <c r="H226" s="11">
        <v>999</v>
      </c>
      <c r="I226" s="11">
        <v>1403</v>
      </c>
      <c r="J226" s="11">
        <v>529</v>
      </c>
      <c r="K226" s="11">
        <v>537</v>
      </c>
      <c r="L226" s="11">
        <v>533</v>
      </c>
      <c r="M226" s="11">
        <v>343</v>
      </c>
      <c r="N226" s="11">
        <v>664</v>
      </c>
      <c r="O226" s="11">
        <v>0</v>
      </c>
      <c r="P226" s="11">
        <v>0</v>
      </c>
      <c r="Q226" s="11">
        <v>0</v>
      </c>
      <c r="R226" s="11">
        <v>0</v>
      </c>
      <c r="S226" s="12">
        <v>5861</v>
      </c>
    </row>
    <row r="227" spans="1:19" ht="17.5" thickBot="1" x14ac:dyDescent="0.65">
      <c r="A227" s="10" t="s">
        <v>348</v>
      </c>
      <c r="B227" s="9" t="s">
        <v>551</v>
      </c>
      <c r="C227" s="9" t="s">
        <v>552</v>
      </c>
      <c r="D227" s="20" t="s">
        <v>553</v>
      </c>
      <c r="E227" s="10" t="s">
        <v>694</v>
      </c>
      <c r="F227" s="10" t="s">
        <v>104</v>
      </c>
      <c r="G227" s="11">
        <v>206</v>
      </c>
      <c r="H227" s="11">
        <v>232</v>
      </c>
      <c r="I227" s="11">
        <v>254</v>
      </c>
      <c r="J227" s="11">
        <v>452</v>
      </c>
      <c r="K227" s="11">
        <v>967</v>
      </c>
      <c r="L227" s="11">
        <v>373</v>
      </c>
      <c r="M227" s="11">
        <v>1238</v>
      </c>
      <c r="N227" s="11">
        <v>2151</v>
      </c>
      <c r="O227" s="11">
        <v>0</v>
      </c>
      <c r="P227" s="11">
        <v>0</v>
      </c>
      <c r="Q227" s="11">
        <v>0</v>
      </c>
      <c r="R227" s="11">
        <v>0</v>
      </c>
      <c r="S227" s="12">
        <v>5873</v>
      </c>
    </row>
    <row r="228" spans="1:19" ht="17.5" thickBot="1" x14ac:dyDescent="0.65">
      <c r="A228" s="10" t="s">
        <v>348</v>
      </c>
      <c r="B228" s="9" t="s">
        <v>554</v>
      </c>
      <c r="C228" s="9" t="s">
        <v>555</v>
      </c>
      <c r="D228" s="20" t="s">
        <v>556</v>
      </c>
      <c r="E228" s="10" t="s">
        <v>694</v>
      </c>
      <c r="F228" s="10" t="s">
        <v>21</v>
      </c>
      <c r="G228" s="11">
        <v>2165</v>
      </c>
      <c r="H228" s="11">
        <v>1149</v>
      </c>
      <c r="I228" s="11">
        <v>2246</v>
      </c>
      <c r="J228" s="11">
        <v>1501</v>
      </c>
      <c r="K228" s="11">
        <v>2150</v>
      </c>
      <c r="L228" s="11">
        <v>1103</v>
      </c>
      <c r="M228" s="11">
        <v>1186</v>
      </c>
      <c r="N228" s="11">
        <v>1815</v>
      </c>
      <c r="O228" s="11">
        <v>0</v>
      </c>
      <c r="P228" s="11">
        <v>0</v>
      </c>
      <c r="Q228" s="11">
        <v>0</v>
      </c>
      <c r="R228" s="11">
        <v>0</v>
      </c>
      <c r="S228" s="12">
        <v>13315</v>
      </c>
    </row>
    <row r="229" spans="1:19" ht="17.5" thickBot="1" x14ac:dyDescent="0.65">
      <c r="A229" s="10" t="s">
        <v>348</v>
      </c>
      <c r="B229" s="9" t="s">
        <v>557</v>
      </c>
      <c r="C229" s="9" t="s">
        <v>558</v>
      </c>
      <c r="D229" s="20" t="s">
        <v>559</v>
      </c>
      <c r="E229" s="10" t="s">
        <v>694</v>
      </c>
      <c r="F229" s="10" t="s">
        <v>104</v>
      </c>
      <c r="G229" s="11">
        <v>2283</v>
      </c>
      <c r="H229" s="11">
        <v>1486</v>
      </c>
      <c r="I229" s="11">
        <v>3120</v>
      </c>
      <c r="J229" s="11">
        <v>2908</v>
      </c>
      <c r="K229" s="11">
        <v>2826</v>
      </c>
      <c r="L229" s="11">
        <v>2927</v>
      </c>
      <c r="M229" s="11">
        <v>3163</v>
      </c>
      <c r="N229" s="11">
        <v>3055</v>
      </c>
      <c r="O229" s="11">
        <v>0</v>
      </c>
      <c r="P229" s="11">
        <v>0</v>
      </c>
      <c r="Q229" s="11">
        <v>0</v>
      </c>
      <c r="R229" s="11">
        <v>0</v>
      </c>
      <c r="S229" s="12">
        <v>21768</v>
      </c>
    </row>
    <row r="230" spans="1:19" ht="17.5" thickBot="1" x14ac:dyDescent="0.65">
      <c r="A230" s="10" t="s">
        <v>348</v>
      </c>
      <c r="B230" s="9" t="s">
        <v>557</v>
      </c>
      <c r="C230" s="9" t="s">
        <v>560</v>
      </c>
      <c r="D230" s="20" t="s">
        <v>561</v>
      </c>
      <c r="E230" s="10" t="s">
        <v>694</v>
      </c>
      <c r="F230" s="10" t="s">
        <v>104</v>
      </c>
      <c r="G230" s="11">
        <v>2951</v>
      </c>
      <c r="H230" s="11">
        <v>3268</v>
      </c>
      <c r="I230" s="11">
        <v>2275</v>
      </c>
      <c r="J230" s="11">
        <v>2104</v>
      </c>
      <c r="K230" s="11">
        <v>1908</v>
      </c>
      <c r="L230" s="11">
        <v>1784</v>
      </c>
      <c r="M230" s="11">
        <v>1977</v>
      </c>
      <c r="N230" s="11">
        <v>947</v>
      </c>
      <c r="O230" s="11">
        <v>0</v>
      </c>
      <c r="P230" s="11">
        <v>0</v>
      </c>
      <c r="Q230" s="11">
        <v>0</v>
      </c>
      <c r="R230" s="11">
        <v>0</v>
      </c>
      <c r="S230" s="12">
        <v>17214</v>
      </c>
    </row>
    <row r="231" spans="1:19" ht="17.5" thickBot="1" x14ac:dyDescent="0.65">
      <c r="A231" s="10" t="s">
        <v>348</v>
      </c>
      <c r="B231" s="9" t="s">
        <v>557</v>
      </c>
      <c r="C231" s="9" t="s">
        <v>562</v>
      </c>
      <c r="D231" s="20" t="s">
        <v>743</v>
      </c>
      <c r="E231" s="10" t="s">
        <v>694</v>
      </c>
      <c r="F231" s="10" t="s">
        <v>104</v>
      </c>
      <c r="G231" s="11">
        <v>731</v>
      </c>
      <c r="H231" s="11">
        <v>0</v>
      </c>
      <c r="I231" s="11">
        <v>181</v>
      </c>
      <c r="J231" s="11">
        <v>738</v>
      </c>
      <c r="K231" s="11">
        <v>600</v>
      </c>
      <c r="L231" s="11">
        <v>1013</v>
      </c>
      <c r="M231" s="11">
        <v>762</v>
      </c>
      <c r="N231" s="11">
        <v>217</v>
      </c>
      <c r="O231" s="11">
        <v>0</v>
      </c>
      <c r="P231" s="11">
        <v>0</v>
      </c>
      <c r="Q231" s="11">
        <v>0</v>
      </c>
      <c r="R231" s="11">
        <v>0</v>
      </c>
      <c r="S231" s="12">
        <v>4242</v>
      </c>
    </row>
    <row r="232" spans="1:19" ht="17.5" thickBot="1" x14ac:dyDescent="0.65">
      <c r="A232" s="10" t="s">
        <v>348</v>
      </c>
      <c r="B232" s="9" t="s">
        <v>557</v>
      </c>
      <c r="C232" s="9" t="s">
        <v>564</v>
      </c>
      <c r="D232" s="20" t="s">
        <v>565</v>
      </c>
      <c r="E232" s="10" t="s">
        <v>694</v>
      </c>
      <c r="F232" s="10" t="s">
        <v>104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319</v>
      </c>
      <c r="N232" s="11">
        <v>2918</v>
      </c>
      <c r="O232" s="11">
        <v>0</v>
      </c>
      <c r="P232" s="11">
        <v>0</v>
      </c>
      <c r="Q232" s="11">
        <v>0</v>
      </c>
      <c r="R232" s="11">
        <v>0</v>
      </c>
      <c r="S232" s="12">
        <v>3237</v>
      </c>
    </row>
    <row r="233" spans="1:19" ht="17.5" thickBot="1" x14ac:dyDescent="0.65">
      <c r="A233" s="10" t="s">
        <v>348</v>
      </c>
      <c r="B233" s="9" t="s">
        <v>566</v>
      </c>
      <c r="C233" s="9" t="s">
        <v>567</v>
      </c>
      <c r="D233" s="20" t="s">
        <v>568</v>
      </c>
      <c r="E233" s="10" t="s">
        <v>694</v>
      </c>
      <c r="F233" s="10" t="s">
        <v>25</v>
      </c>
      <c r="G233" s="11">
        <v>1532</v>
      </c>
      <c r="H233" s="11">
        <v>1105</v>
      </c>
      <c r="I233" s="11">
        <v>1678</v>
      </c>
      <c r="J233" s="11">
        <v>1702</v>
      </c>
      <c r="K233" s="11">
        <v>1867</v>
      </c>
      <c r="L233" s="11">
        <v>1770</v>
      </c>
      <c r="M233" s="11">
        <v>1981</v>
      </c>
      <c r="N233" s="11">
        <v>1683</v>
      </c>
      <c r="O233" s="11">
        <v>0</v>
      </c>
      <c r="P233" s="11">
        <v>0</v>
      </c>
      <c r="Q233" s="11">
        <v>0</v>
      </c>
      <c r="R233" s="11">
        <v>0</v>
      </c>
      <c r="S233" s="12">
        <v>13318</v>
      </c>
    </row>
    <row r="234" spans="1:19" ht="17.5" thickBot="1" x14ac:dyDescent="0.65">
      <c r="A234" s="10" t="s">
        <v>348</v>
      </c>
      <c r="B234" s="9" t="s">
        <v>569</v>
      </c>
      <c r="C234" s="9" t="s">
        <v>570</v>
      </c>
      <c r="D234" s="20" t="s">
        <v>753</v>
      </c>
      <c r="E234" s="10" t="s">
        <v>694</v>
      </c>
      <c r="F234" s="10" t="s">
        <v>104</v>
      </c>
      <c r="G234" s="11">
        <v>1120</v>
      </c>
      <c r="H234" s="11">
        <v>847</v>
      </c>
      <c r="I234" s="11">
        <v>856</v>
      </c>
      <c r="J234" s="11">
        <v>492</v>
      </c>
      <c r="K234" s="11">
        <v>1430</v>
      </c>
      <c r="L234" s="11">
        <v>819</v>
      </c>
      <c r="M234" s="11">
        <v>218</v>
      </c>
      <c r="N234" s="11">
        <v>482</v>
      </c>
      <c r="O234" s="11">
        <v>0</v>
      </c>
      <c r="P234" s="11">
        <v>0</v>
      </c>
      <c r="Q234" s="11">
        <v>0</v>
      </c>
      <c r="R234" s="11">
        <v>0</v>
      </c>
      <c r="S234" s="12">
        <v>6264</v>
      </c>
    </row>
    <row r="235" spans="1:19" ht="17.5" thickBot="1" x14ac:dyDescent="0.65">
      <c r="A235" s="10" t="s">
        <v>348</v>
      </c>
      <c r="B235" s="9" t="s">
        <v>571</v>
      </c>
      <c r="C235" s="9" t="s">
        <v>572</v>
      </c>
      <c r="D235" s="20" t="s">
        <v>573</v>
      </c>
      <c r="E235" s="10" t="s">
        <v>694</v>
      </c>
      <c r="F235" s="10" t="s">
        <v>104</v>
      </c>
      <c r="G235" s="11">
        <v>387</v>
      </c>
      <c r="H235" s="11">
        <v>492</v>
      </c>
      <c r="I235" s="11">
        <v>478</v>
      </c>
      <c r="J235" s="11">
        <v>730</v>
      </c>
      <c r="K235" s="11">
        <v>754</v>
      </c>
      <c r="L235" s="11">
        <v>631</v>
      </c>
      <c r="M235" s="11">
        <v>147</v>
      </c>
      <c r="N235" s="11">
        <v>252</v>
      </c>
      <c r="O235" s="11">
        <v>0</v>
      </c>
      <c r="P235" s="11">
        <v>0</v>
      </c>
      <c r="Q235" s="11">
        <v>0</v>
      </c>
      <c r="R235" s="11">
        <v>0</v>
      </c>
      <c r="S235" s="12">
        <v>3871</v>
      </c>
    </row>
    <row r="236" spans="1:19" ht="17.5" thickBot="1" x14ac:dyDescent="0.65">
      <c r="A236" s="10" t="s">
        <v>348</v>
      </c>
      <c r="B236" s="9" t="s">
        <v>574</v>
      </c>
      <c r="C236" s="9" t="s">
        <v>575</v>
      </c>
      <c r="D236" s="20" t="s">
        <v>759</v>
      </c>
      <c r="E236" s="10" t="s">
        <v>694</v>
      </c>
      <c r="F236" s="10" t="s">
        <v>21</v>
      </c>
      <c r="G236" s="11">
        <v>1420</v>
      </c>
      <c r="H236" s="11">
        <v>1488</v>
      </c>
      <c r="I236" s="11">
        <v>1421</v>
      </c>
      <c r="J236" s="11">
        <v>1251</v>
      </c>
      <c r="K236" s="11">
        <v>907</v>
      </c>
      <c r="L236" s="11">
        <v>1522</v>
      </c>
      <c r="M236" s="11">
        <v>1224</v>
      </c>
      <c r="N236" s="11">
        <v>1001</v>
      </c>
      <c r="O236" s="11">
        <v>0</v>
      </c>
      <c r="P236" s="11">
        <v>0</v>
      </c>
      <c r="Q236" s="11">
        <v>0</v>
      </c>
      <c r="R236" s="11">
        <v>0</v>
      </c>
      <c r="S236" s="12">
        <v>10234</v>
      </c>
    </row>
    <row r="237" spans="1:19" ht="17.5" thickBot="1" x14ac:dyDescent="0.65">
      <c r="A237" s="10" t="s">
        <v>348</v>
      </c>
      <c r="B237" s="9" t="s">
        <v>576</v>
      </c>
      <c r="C237" s="9" t="s">
        <v>577</v>
      </c>
      <c r="D237" s="20" t="s">
        <v>758</v>
      </c>
      <c r="E237" s="10" t="s">
        <v>694</v>
      </c>
      <c r="F237" s="10" t="s">
        <v>21</v>
      </c>
      <c r="G237" s="11">
        <v>0</v>
      </c>
      <c r="H237" s="11">
        <v>0</v>
      </c>
      <c r="I237" s="11">
        <v>587</v>
      </c>
      <c r="J237" s="11">
        <v>756</v>
      </c>
      <c r="K237" s="11">
        <v>794</v>
      </c>
      <c r="L237" s="11">
        <v>1082</v>
      </c>
      <c r="M237" s="11">
        <v>1416</v>
      </c>
      <c r="N237" s="11">
        <v>1271</v>
      </c>
      <c r="O237" s="11">
        <v>0</v>
      </c>
      <c r="P237" s="11">
        <v>0</v>
      </c>
      <c r="Q237" s="11">
        <v>0</v>
      </c>
      <c r="R237" s="11">
        <v>0</v>
      </c>
      <c r="S237" s="12">
        <v>5906</v>
      </c>
    </row>
    <row r="238" spans="1:19" ht="17.5" thickBot="1" x14ac:dyDescent="0.65">
      <c r="A238" s="10" t="s">
        <v>348</v>
      </c>
      <c r="B238" s="9" t="s">
        <v>578</v>
      </c>
      <c r="C238" s="9" t="s">
        <v>579</v>
      </c>
      <c r="D238" s="20" t="s">
        <v>746</v>
      </c>
      <c r="E238" s="10" t="s">
        <v>694</v>
      </c>
      <c r="F238" s="10" t="s">
        <v>28</v>
      </c>
      <c r="G238" s="11">
        <v>0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  <c r="S238" s="12">
        <v>0</v>
      </c>
    </row>
    <row r="239" spans="1:19" ht="17.5" thickBot="1" x14ac:dyDescent="0.65">
      <c r="A239" s="10" t="s">
        <v>348</v>
      </c>
      <c r="B239" s="9" t="s">
        <v>580</v>
      </c>
      <c r="C239" s="9" t="s">
        <v>581</v>
      </c>
      <c r="D239" s="20" t="s">
        <v>582</v>
      </c>
      <c r="E239" s="10" t="s">
        <v>694</v>
      </c>
      <c r="F239" s="10" t="s">
        <v>104</v>
      </c>
      <c r="G239" s="11">
        <v>262</v>
      </c>
      <c r="H239" s="11">
        <v>375</v>
      </c>
      <c r="I239" s="11">
        <v>818</v>
      </c>
      <c r="J239" s="11">
        <v>428</v>
      </c>
      <c r="K239" s="11">
        <v>515</v>
      </c>
      <c r="L239" s="11">
        <v>317</v>
      </c>
      <c r="M239" s="11">
        <v>334</v>
      </c>
      <c r="N239" s="11">
        <v>206</v>
      </c>
      <c r="O239" s="11">
        <v>0</v>
      </c>
      <c r="P239" s="11">
        <v>0</v>
      </c>
      <c r="Q239" s="11">
        <v>0</v>
      </c>
      <c r="R239" s="11">
        <v>0</v>
      </c>
      <c r="S239" s="12">
        <v>3255</v>
      </c>
    </row>
    <row r="240" spans="1:19" ht="17.5" thickBot="1" x14ac:dyDescent="0.65">
      <c r="A240" s="10" t="s">
        <v>348</v>
      </c>
      <c r="B240" s="9" t="s">
        <v>580</v>
      </c>
      <c r="C240" s="9" t="s">
        <v>583</v>
      </c>
      <c r="D240" s="20" t="s">
        <v>584</v>
      </c>
      <c r="E240" s="10" t="s">
        <v>694</v>
      </c>
      <c r="F240" s="10" t="s">
        <v>104</v>
      </c>
      <c r="G240" s="11">
        <v>394</v>
      </c>
      <c r="H240" s="11">
        <v>464</v>
      </c>
      <c r="I240" s="11">
        <v>495</v>
      </c>
      <c r="J240" s="11">
        <v>632</v>
      </c>
      <c r="K240" s="11">
        <v>626</v>
      </c>
      <c r="L240" s="11">
        <v>688</v>
      </c>
      <c r="M240" s="11">
        <v>687</v>
      </c>
      <c r="N240" s="11">
        <v>532</v>
      </c>
      <c r="O240" s="11">
        <v>0</v>
      </c>
      <c r="P240" s="11">
        <v>0</v>
      </c>
      <c r="Q240" s="11">
        <v>0</v>
      </c>
      <c r="R240" s="11">
        <v>0</v>
      </c>
      <c r="S240" s="12">
        <v>4518</v>
      </c>
    </row>
    <row r="241" spans="1:19" ht="17.5" thickBot="1" x14ac:dyDescent="0.65">
      <c r="A241" s="10" t="s">
        <v>348</v>
      </c>
      <c r="B241" s="9" t="s">
        <v>580</v>
      </c>
      <c r="C241" s="9" t="s">
        <v>585</v>
      </c>
      <c r="D241" s="20" t="s">
        <v>745</v>
      </c>
      <c r="E241" s="10" t="s">
        <v>694</v>
      </c>
      <c r="F241" s="10" t="s">
        <v>104</v>
      </c>
      <c r="G241" s="11">
        <v>257</v>
      </c>
      <c r="H241" s="11">
        <v>415</v>
      </c>
      <c r="I241" s="11">
        <v>1068</v>
      </c>
      <c r="J241" s="11">
        <v>660</v>
      </c>
      <c r="K241" s="11">
        <v>537</v>
      </c>
      <c r="L241" s="11">
        <v>549</v>
      </c>
      <c r="M241" s="11">
        <v>203</v>
      </c>
      <c r="N241" s="11">
        <v>343</v>
      </c>
      <c r="O241" s="11">
        <v>0</v>
      </c>
      <c r="P241" s="11">
        <v>0</v>
      </c>
      <c r="Q241" s="11">
        <v>0</v>
      </c>
      <c r="R241" s="11">
        <v>0</v>
      </c>
      <c r="S241" s="12">
        <v>4032</v>
      </c>
    </row>
    <row r="242" spans="1:19" ht="17.5" thickBot="1" x14ac:dyDescent="0.65">
      <c r="A242" s="10" t="s">
        <v>348</v>
      </c>
      <c r="B242" s="9" t="s">
        <v>586</v>
      </c>
      <c r="C242" s="9" t="s">
        <v>587</v>
      </c>
      <c r="D242" s="20" t="s">
        <v>767</v>
      </c>
      <c r="E242" s="10" t="s">
        <v>695</v>
      </c>
      <c r="F242" s="10" t="s">
        <v>104</v>
      </c>
      <c r="G242" s="11">
        <v>1316</v>
      </c>
      <c r="H242" s="11">
        <v>1294</v>
      </c>
      <c r="I242" s="11">
        <v>1325</v>
      </c>
      <c r="J242" s="11">
        <v>1185</v>
      </c>
      <c r="K242" s="11">
        <v>1781</v>
      </c>
      <c r="L242" s="11">
        <v>1335</v>
      </c>
      <c r="M242" s="11">
        <v>634</v>
      </c>
      <c r="N242" s="11">
        <v>946</v>
      </c>
      <c r="O242" s="11">
        <v>0</v>
      </c>
      <c r="P242" s="11">
        <v>0</v>
      </c>
      <c r="Q242" s="11">
        <v>0</v>
      </c>
      <c r="R242" s="11">
        <v>0</v>
      </c>
      <c r="S242" s="12">
        <v>9816</v>
      </c>
    </row>
    <row r="243" spans="1:19" ht="17.5" thickBot="1" x14ac:dyDescent="0.65">
      <c r="A243" s="10" t="s">
        <v>348</v>
      </c>
      <c r="B243" s="9" t="s">
        <v>586</v>
      </c>
      <c r="C243" s="9" t="s">
        <v>588</v>
      </c>
      <c r="D243" s="20" t="s">
        <v>770</v>
      </c>
      <c r="E243" s="10" t="s">
        <v>695</v>
      </c>
      <c r="F243" s="10" t="s">
        <v>104</v>
      </c>
      <c r="G243" s="11">
        <v>2686</v>
      </c>
      <c r="H243" s="11">
        <v>2896</v>
      </c>
      <c r="I243" s="11">
        <v>2725</v>
      </c>
      <c r="J243" s="11">
        <v>2451</v>
      </c>
      <c r="K243" s="11">
        <v>3114</v>
      </c>
      <c r="L243" s="11">
        <v>3343</v>
      </c>
      <c r="M243" s="11">
        <v>2074</v>
      </c>
      <c r="N243" s="11">
        <v>2655</v>
      </c>
      <c r="O243" s="11">
        <v>0</v>
      </c>
      <c r="P243" s="11">
        <v>0</v>
      </c>
      <c r="Q243" s="11">
        <v>0</v>
      </c>
      <c r="R243" s="11">
        <v>0</v>
      </c>
      <c r="S243" s="12">
        <v>21944</v>
      </c>
    </row>
    <row r="244" spans="1:19" ht="17.5" thickBot="1" x14ac:dyDescent="0.65">
      <c r="A244" s="10" t="s">
        <v>348</v>
      </c>
      <c r="B244" s="9" t="s">
        <v>586</v>
      </c>
      <c r="C244" s="9" t="s">
        <v>589</v>
      </c>
      <c r="D244" s="20" t="s">
        <v>763</v>
      </c>
      <c r="E244" s="10" t="s">
        <v>694</v>
      </c>
      <c r="F244" s="10" t="s">
        <v>104</v>
      </c>
      <c r="G244" s="11">
        <v>2070</v>
      </c>
      <c r="H244" s="11">
        <v>1863</v>
      </c>
      <c r="I244" s="11">
        <v>2471</v>
      </c>
      <c r="J244" s="11">
        <v>1046</v>
      </c>
      <c r="K244" s="11">
        <v>1306</v>
      </c>
      <c r="L244" s="11">
        <v>2033</v>
      </c>
      <c r="M244" s="11">
        <v>1365</v>
      </c>
      <c r="N244" s="11">
        <v>1069</v>
      </c>
      <c r="O244" s="11">
        <v>0</v>
      </c>
      <c r="P244" s="11">
        <v>0</v>
      </c>
      <c r="Q244" s="11">
        <v>0</v>
      </c>
      <c r="R244" s="11">
        <v>0</v>
      </c>
      <c r="S244" s="12">
        <v>13223</v>
      </c>
    </row>
    <row r="245" spans="1:19" ht="17.5" thickBot="1" x14ac:dyDescent="0.65">
      <c r="A245" s="10" t="s">
        <v>348</v>
      </c>
      <c r="B245" s="9" t="s">
        <v>586</v>
      </c>
      <c r="C245" s="9" t="s">
        <v>591</v>
      </c>
      <c r="D245" s="20" t="s">
        <v>760</v>
      </c>
      <c r="E245" s="10" t="s">
        <v>695</v>
      </c>
      <c r="F245" s="10" t="s">
        <v>104</v>
      </c>
      <c r="G245" s="11">
        <v>1537</v>
      </c>
      <c r="H245" s="11">
        <v>1263</v>
      </c>
      <c r="I245" s="11">
        <v>1513</v>
      </c>
      <c r="J245" s="11">
        <v>1213</v>
      </c>
      <c r="K245" s="11">
        <v>1590</v>
      </c>
      <c r="L245" s="11">
        <v>1376</v>
      </c>
      <c r="M245" s="11">
        <v>1384</v>
      </c>
      <c r="N245" s="11">
        <v>1849</v>
      </c>
      <c r="O245" s="11">
        <v>0</v>
      </c>
      <c r="P245" s="11">
        <v>0</v>
      </c>
      <c r="Q245" s="11">
        <v>0</v>
      </c>
      <c r="R245" s="11">
        <v>0</v>
      </c>
      <c r="S245" s="12">
        <v>11725</v>
      </c>
    </row>
    <row r="246" spans="1:19" ht="17.5" thickBot="1" x14ac:dyDescent="0.65">
      <c r="A246" s="10" t="s">
        <v>348</v>
      </c>
      <c r="B246" s="9" t="s">
        <v>592</v>
      </c>
      <c r="C246" s="9" t="s">
        <v>593</v>
      </c>
      <c r="D246" s="20" t="s">
        <v>594</v>
      </c>
      <c r="E246" s="10" t="s">
        <v>694</v>
      </c>
      <c r="F246" s="10" t="s">
        <v>25</v>
      </c>
      <c r="G246" s="11">
        <v>1711</v>
      </c>
      <c r="H246" s="11">
        <v>1486</v>
      </c>
      <c r="I246" s="11">
        <v>1897</v>
      </c>
      <c r="J246" s="11">
        <v>3157</v>
      </c>
      <c r="K246" s="11">
        <v>2680</v>
      </c>
      <c r="L246" s="11">
        <v>2574</v>
      </c>
      <c r="M246" s="11">
        <v>1887</v>
      </c>
      <c r="N246" s="11">
        <v>1815</v>
      </c>
      <c r="O246" s="11">
        <v>0</v>
      </c>
      <c r="P246" s="11">
        <v>0</v>
      </c>
      <c r="Q246" s="11">
        <v>0</v>
      </c>
      <c r="R246" s="11">
        <v>0</v>
      </c>
      <c r="S246" s="12">
        <v>17207</v>
      </c>
    </row>
    <row r="247" spans="1:19" ht="17.5" thickBot="1" x14ac:dyDescent="0.65">
      <c r="A247" s="10" t="s">
        <v>348</v>
      </c>
      <c r="B247" s="9" t="s">
        <v>592</v>
      </c>
      <c r="C247" s="9" t="s">
        <v>595</v>
      </c>
      <c r="D247" s="20" t="s">
        <v>596</v>
      </c>
      <c r="E247" s="10" t="s">
        <v>694</v>
      </c>
      <c r="F247" s="10" t="s">
        <v>25</v>
      </c>
      <c r="G247" s="11">
        <v>1120</v>
      </c>
      <c r="H247" s="11">
        <v>2080</v>
      </c>
      <c r="I247" s="11">
        <v>1352</v>
      </c>
      <c r="J247" s="11">
        <v>619</v>
      </c>
      <c r="K247" s="11">
        <v>1337</v>
      </c>
      <c r="L247" s="11">
        <v>1194</v>
      </c>
      <c r="M247" s="11">
        <v>1634</v>
      </c>
      <c r="N247" s="11">
        <v>1597</v>
      </c>
      <c r="O247" s="11">
        <v>0</v>
      </c>
      <c r="P247" s="11">
        <v>0</v>
      </c>
      <c r="Q247" s="11">
        <v>0</v>
      </c>
      <c r="R247" s="11">
        <v>0</v>
      </c>
      <c r="S247" s="12">
        <v>10933</v>
      </c>
    </row>
    <row r="248" spans="1:19" ht="17.5" thickBot="1" x14ac:dyDescent="0.65">
      <c r="A248" s="10" t="s">
        <v>348</v>
      </c>
      <c r="B248" s="9" t="s">
        <v>592</v>
      </c>
      <c r="C248" s="9" t="s">
        <v>597</v>
      </c>
      <c r="D248" s="20" t="s">
        <v>598</v>
      </c>
      <c r="E248" s="10" t="s">
        <v>694</v>
      </c>
      <c r="F248" s="10" t="s">
        <v>25</v>
      </c>
      <c r="G248" s="11">
        <v>823</v>
      </c>
      <c r="H248" s="11">
        <v>1797</v>
      </c>
      <c r="I248" s="11">
        <v>619</v>
      </c>
      <c r="J248" s="11">
        <v>188</v>
      </c>
      <c r="K248" s="11">
        <v>1330</v>
      </c>
      <c r="L248" s="11">
        <v>2644</v>
      </c>
      <c r="M248" s="11">
        <v>1914</v>
      </c>
      <c r="N248" s="11">
        <v>2567</v>
      </c>
      <c r="O248" s="11">
        <v>0</v>
      </c>
      <c r="P248" s="11">
        <v>0</v>
      </c>
      <c r="Q248" s="11">
        <v>0</v>
      </c>
      <c r="R248" s="11">
        <v>0</v>
      </c>
      <c r="S248" s="12">
        <v>11882</v>
      </c>
    </row>
    <row r="249" spans="1:19" ht="17.5" thickBot="1" x14ac:dyDescent="0.65">
      <c r="A249" s="10" t="s">
        <v>599</v>
      </c>
      <c r="B249" s="9" t="s">
        <v>600</v>
      </c>
      <c r="C249" s="9" t="s">
        <v>601</v>
      </c>
      <c r="D249" s="20" t="s">
        <v>602</v>
      </c>
      <c r="E249" s="10" t="s">
        <v>694</v>
      </c>
      <c r="F249" s="10" t="s">
        <v>21</v>
      </c>
      <c r="G249" s="11">
        <v>292</v>
      </c>
      <c r="H249" s="11">
        <v>334</v>
      </c>
      <c r="I249" s="11">
        <v>448</v>
      </c>
      <c r="J249" s="11">
        <v>210</v>
      </c>
      <c r="K249" s="11">
        <v>800</v>
      </c>
      <c r="L249" s="11">
        <v>439</v>
      </c>
      <c r="M249" s="11">
        <v>553</v>
      </c>
      <c r="N249" s="11">
        <v>429</v>
      </c>
      <c r="O249" s="11">
        <v>0</v>
      </c>
      <c r="P249" s="11">
        <v>0</v>
      </c>
      <c r="Q249" s="11">
        <v>0</v>
      </c>
      <c r="R249" s="11">
        <v>0</v>
      </c>
      <c r="S249" s="12">
        <v>3505</v>
      </c>
    </row>
    <row r="250" spans="1:19" ht="17.5" thickBot="1" x14ac:dyDescent="0.65">
      <c r="A250" s="10" t="s">
        <v>599</v>
      </c>
      <c r="B250" s="9" t="s">
        <v>600</v>
      </c>
      <c r="C250" s="9" t="s">
        <v>603</v>
      </c>
      <c r="D250" s="20" t="s">
        <v>604</v>
      </c>
      <c r="E250" s="10" t="s">
        <v>694</v>
      </c>
      <c r="F250" s="10" t="s">
        <v>21</v>
      </c>
      <c r="G250" s="11">
        <v>1358</v>
      </c>
      <c r="H250" s="11">
        <v>2138</v>
      </c>
      <c r="I250" s="11">
        <v>2393</v>
      </c>
      <c r="J250" s="11">
        <v>1305</v>
      </c>
      <c r="K250" s="11">
        <v>1483</v>
      </c>
      <c r="L250" s="11">
        <v>2144</v>
      </c>
      <c r="M250" s="11">
        <v>1856</v>
      </c>
      <c r="N250" s="11">
        <v>1362</v>
      </c>
      <c r="O250" s="11">
        <v>0</v>
      </c>
      <c r="P250" s="11">
        <v>0</v>
      </c>
      <c r="Q250" s="11">
        <v>0</v>
      </c>
      <c r="R250" s="11">
        <v>0</v>
      </c>
      <c r="S250" s="12">
        <v>14039</v>
      </c>
    </row>
    <row r="251" spans="1:19" ht="17.5" thickBot="1" x14ac:dyDescent="0.65">
      <c r="A251" s="10" t="s">
        <v>599</v>
      </c>
      <c r="B251" s="9" t="s">
        <v>605</v>
      </c>
      <c r="C251" s="9">
        <v>3164</v>
      </c>
      <c r="D251" s="20" t="s">
        <v>774</v>
      </c>
      <c r="E251" s="10" t="s">
        <v>695</v>
      </c>
      <c r="F251" s="10" t="s">
        <v>21</v>
      </c>
      <c r="G251" s="11">
        <v>1624</v>
      </c>
      <c r="H251" s="11">
        <v>1483</v>
      </c>
      <c r="I251" s="11">
        <v>1716</v>
      </c>
      <c r="J251" s="11">
        <v>1428</v>
      </c>
      <c r="K251" s="11">
        <v>1074</v>
      </c>
      <c r="L251" s="11">
        <v>1381</v>
      </c>
      <c r="M251" s="11">
        <v>1827</v>
      </c>
      <c r="N251" s="11">
        <v>1831</v>
      </c>
      <c r="O251" s="11">
        <v>0</v>
      </c>
      <c r="P251" s="11">
        <v>0</v>
      </c>
      <c r="Q251" s="11">
        <v>0</v>
      </c>
      <c r="R251" s="11">
        <v>0</v>
      </c>
      <c r="S251" s="12">
        <v>12364</v>
      </c>
    </row>
    <row r="252" spans="1:19" ht="17.5" thickBot="1" x14ac:dyDescent="0.65">
      <c r="A252" s="10" t="s">
        <v>599</v>
      </c>
      <c r="B252" s="9" t="s">
        <v>605</v>
      </c>
      <c r="C252" s="9" t="s">
        <v>606</v>
      </c>
      <c r="D252" s="20" t="s">
        <v>607</v>
      </c>
      <c r="E252" s="10" t="s">
        <v>694</v>
      </c>
      <c r="F252" s="10" t="s">
        <v>21</v>
      </c>
      <c r="G252" s="11">
        <v>356</v>
      </c>
      <c r="H252" s="11">
        <v>318</v>
      </c>
      <c r="I252" s="11">
        <v>968</v>
      </c>
      <c r="J252" s="11">
        <v>558</v>
      </c>
      <c r="K252" s="11">
        <v>622</v>
      </c>
      <c r="L252" s="11">
        <v>734</v>
      </c>
      <c r="M252" s="11">
        <v>962</v>
      </c>
      <c r="N252" s="11">
        <v>850</v>
      </c>
      <c r="O252" s="11">
        <v>0</v>
      </c>
      <c r="P252" s="11">
        <v>0</v>
      </c>
      <c r="Q252" s="11">
        <v>0</v>
      </c>
      <c r="R252" s="11">
        <v>0</v>
      </c>
      <c r="S252" s="12">
        <v>5368</v>
      </c>
    </row>
    <row r="253" spans="1:19" ht="17.5" thickBot="1" x14ac:dyDescent="0.65">
      <c r="A253" s="10" t="s">
        <v>599</v>
      </c>
      <c r="B253" s="9" t="s">
        <v>608</v>
      </c>
      <c r="C253" s="9" t="s">
        <v>609</v>
      </c>
      <c r="D253" s="20" t="s">
        <v>610</v>
      </c>
      <c r="E253" s="10" t="s">
        <v>694</v>
      </c>
      <c r="F253" s="10" t="s">
        <v>21</v>
      </c>
      <c r="G253" s="11">
        <v>1497</v>
      </c>
      <c r="H253" s="11">
        <v>1084</v>
      </c>
      <c r="I253" s="11">
        <v>2780</v>
      </c>
      <c r="J253" s="11">
        <v>1115</v>
      </c>
      <c r="K253" s="11">
        <v>1556</v>
      </c>
      <c r="L253" s="11">
        <v>514</v>
      </c>
      <c r="M253" s="11">
        <v>1047</v>
      </c>
      <c r="N253" s="11">
        <v>854</v>
      </c>
      <c r="O253" s="11">
        <v>0</v>
      </c>
      <c r="P253" s="11">
        <v>0</v>
      </c>
      <c r="Q253" s="11">
        <v>0</v>
      </c>
      <c r="R253" s="11">
        <v>0</v>
      </c>
      <c r="S253" s="12">
        <v>10447</v>
      </c>
    </row>
    <row r="254" spans="1:19" ht="17.5" thickBot="1" x14ac:dyDescent="0.65">
      <c r="A254" s="10" t="s">
        <v>599</v>
      </c>
      <c r="B254" s="9" t="s">
        <v>611</v>
      </c>
      <c r="C254" s="18" t="s">
        <v>612</v>
      </c>
      <c r="D254" s="20" t="s">
        <v>775</v>
      </c>
      <c r="E254" s="10" t="s">
        <v>695</v>
      </c>
      <c r="F254" s="10" t="s">
        <v>28</v>
      </c>
      <c r="G254" s="11">
        <v>220</v>
      </c>
      <c r="H254" s="11">
        <v>363</v>
      </c>
      <c r="I254" s="11">
        <v>946</v>
      </c>
      <c r="J254" s="11">
        <v>843</v>
      </c>
      <c r="K254" s="11">
        <v>1706</v>
      </c>
      <c r="L254" s="11">
        <v>362</v>
      </c>
      <c r="M254" s="11">
        <v>408</v>
      </c>
      <c r="N254" s="11">
        <v>1188</v>
      </c>
      <c r="O254" s="11">
        <v>0</v>
      </c>
      <c r="P254" s="11">
        <v>0</v>
      </c>
      <c r="Q254" s="11">
        <v>0</v>
      </c>
      <c r="R254" s="11">
        <v>0</v>
      </c>
      <c r="S254" s="12">
        <v>6036</v>
      </c>
    </row>
    <row r="255" spans="1:19" ht="17.5" thickBot="1" x14ac:dyDescent="0.65">
      <c r="A255" s="10" t="s">
        <v>599</v>
      </c>
      <c r="B255" s="9" t="s">
        <v>611</v>
      </c>
      <c r="C255" s="18" t="s">
        <v>613</v>
      </c>
      <c r="D255" s="20" t="s">
        <v>777</v>
      </c>
      <c r="E255" s="10" t="s">
        <v>695</v>
      </c>
      <c r="F255" s="10" t="s">
        <v>28</v>
      </c>
      <c r="G255" s="11">
        <v>1333</v>
      </c>
      <c r="H255" s="11">
        <v>994</v>
      </c>
      <c r="I255" s="11">
        <v>1422</v>
      </c>
      <c r="J255" s="11">
        <v>717</v>
      </c>
      <c r="K255" s="11">
        <v>610</v>
      </c>
      <c r="L255" s="11">
        <v>1911</v>
      </c>
      <c r="M255" s="11">
        <v>2756</v>
      </c>
      <c r="N255" s="11">
        <v>1665</v>
      </c>
      <c r="O255" s="11">
        <v>0</v>
      </c>
      <c r="P255" s="11">
        <v>0</v>
      </c>
      <c r="Q255" s="11">
        <v>0</v>
      </c>
      <c r="R255" s="11">
        <v>0</v>
      </c>
      <c r="S255" s="12">
        <v>11408</v>
      </c>
    </row>
    <row r="256" spans="1:19" ht="17.5" thickBot="1" x14ac:dyDescent="0.65">
      <c r="A256" s="10" t="s">
        <v>599</v>
      </c>
      <c r="B256" s="9" t="s">
        <v>614</v>
      </c>
      <c r="C256" s="9" t="s">
        <v>615</v>
      </c>
      <c r="D256" s="20" t="s">
        <v>616</v>
      </c>
      <c r="E256" s="10" t="s">
        <v>694</v>
      </c>
      <c r="F256" s="10" t="s">
        <v>21</v>
      </c>
      <c r="G256" s="11">
        <v>2066</v>
      </c>
      <c r="H256" s="11">
        <v>1769</v>
      </c>
      <c r="I256" s="11">
        <v>2549</v>
      </c>
      <c r="J256" s="11">
        <v>1954</v>
      </c>
      <c r="K256" s="11">
        <v>2395</v>
      </c>
      <c r="L256" s="11">
        <v>2353</v>
      </c>
      <c r="M256" s="11">
        <v>2650</v>
      </c>
      <c r="N256" s="11">
        <v>2444</v>
      </c>
      <c r="O256" s="11">
        <v>0</v>
      </c>
      <c r="P256" s="11">
        <v>0</v>
      </c>
      <c r="Q256" s="11">
        <v>0</v>
      </c>
      <c r="R256" s="11">
        <v>0</v>
      </c>
      <c r="S256" s="12">
        <v>18180</v>
      </c>
    </row>
    <row r="257" spans="1:19" ht="17.5" thickBot="1" x14ac:dyDescent="0.65">
      <c r="A257" s="10" t="s">
        <v>599</v>
      </c>
      <c r="B257" s="9" t="s">
        <v>617</v>
      </c>
      <c r="C257" s="9" t="s">
        <v>618</v>
      </c>
      <c r="D257" s="20" t="s">
        <v>776</v>
      </c>
      <c r="E257" s="10" t="s">
        <v>695</v>
      </c>
      <c r="F257" s="10" t="s">
        <v>21</v>
      </c>
      <c r="G257" s="11">
        <v>1249</v>
      </c>
      <c r="H257" s="11">
        <v>930</v>
      </c>
      <c r="I257" s="11">
        <v>1735</v>
      </c>
      <c r="J257" s="11">
        <v>1094</v>
      </c>
      <c r="K257" s="11">
        <v>1038</v>
      </c>
      <c r="L257" s="11">
        <v>1194</v>
      </c>
      <c r="M257" s="11">
        <v>1114</v>
      </c>
      <c r="N257" s="11">
        <v>964</v>
      </c>
      <c r="O257" s="11">
        <v>0</v>
      </c>
      <c r="P257" s="11">
        <v>0</v>
      </c>
      <c r="Q257" s="11">
        <v>0</v>
      </c>
      <c r="R257" s="11">
        <v>0</v>
      </c>
      <c r="S257" s="12">
        <v>9318</v>
      </c>
    </row>
    <row r="258" spans="1:19" ht="17.5" thickBot="1" x14ac:dyDescent="0.65">
      <c r="A258" s="10" t="s">
        <v>599</v>
      </c>
      <c r="B258" s="9" t="s">
        <v>619</v>
      </c>
      <c r="C258" s="9" t="s">
        <v>620</v>
      </c>
      <c r="D258" s="20" t="s">
        <v>621</v>
      </c>
      <c r="E258" s="10" t="s">
        <v>694</v>
      </c>
      <c r="F258" s="10" t="s">
        <v>21</v>
      </c>
      <c r="G258" s="11">
        <v>1472</v>
      </c>
      <c r="H258" s="11">
        <v>1359</v>
      </c>
      <c r="I258" s="11">
        <v>2626</v>
      </c>
      <c r="J258" s="11">
        <v>1276</v>
      </c>
      <c r="K258" s="11">
        <v>1176</v>
      </c>
      <c r="L258" s="11">
        <v>1808</v>
      </c>
      <c r="M258" s="11">
        <v>2245</v>
      </c>
      <c r="N258" s="11">
        <v>1545</v>
      </c>
      <c r="O258" s="11">
        <v>0</v>
      </c>
      <c r="P258" s="11">
        <v>0</v>
      </c>
      <c r="Q258" s="11">
        <v>0</v>
      </c>
      <c r="R258" s="11">
        <v>0</v>
      </c>
      <c r="S258" s="12">
        <v>13507</v>
      </c>
    </row>
    <row r="259" spans="1:19" ht="17.5" thickBot="1" x14ac:dyDescent="0.65">
      <c r="A259" s="10" t="s">
        <v>599</v>
      </c>
      <c r="B259" s="9" t="s">
        <v>619</v>
      </c>
      <c r="C259" s="9" t="s">
        <v>622</v>
      </c>
      <c r="D259" s="20" t="s">
        <v>623</v>
      </c>
      <c r="E259" s="10" t="s">
        <v>694</v>
      </c>
      <c r="F259" s="10" t="s">
        <v>21</v>
      </c>
      <c r="G259" s="11">
        <v>1071</v>
      </c>
      <c r="H259" s="11">
        <v>832</v>
      </c>
      <c r="I259" s="11">
        <v>1606</v>
      </c>
      <c r="J259" s="11">
        <v>1677</v>
      </c>
      <c r="K259" s="11">
        <v>709</v>
      </c>
      <c r="L259" s="11">
        <v>1019</v>
      </c>
      <c r="M259" s="11">
        <v>1249</v>
      </c>
      <c r="N259" s="11">
        <v>1523</v>
      </c>
      <c r="O259" s="11">
        <v>0</v>
      </c>
      <c r="P259" s="11">
        <v>0</v>
      </c>
      <c r="Q259" s="11">
        <v>0</v>
      </c>
      <c r="R259" s="11">
        <v>0</v>
      </c>
      <c r="S259" s="12">
        <v>9686</v>
      </c>
    </row>
    <row r="260" spans="1:19" ht="17.5" thickBot="1" x14ac:dyDescent="0.65">
      <c r="A260" s="10" t="s">
        <v>599</v>
      </c>
      <c r="B260" s="9" t="s">
        <v>619</v>
      </c>
      <c r="C260" s="9" t="s">
        <v>624</v>
      </c>
      <c r="D260" s="20" t="s">
        <v>625</v>
      </c>
      <c r="E260" s="10" t="s">
        <v>694</v>
      </c>
      <c r="F260" s="10" t="s">
        <v>21</v>
      </c>
      <c r="G260" s="11">
        <v>441</v>
      </c>
      <c r="H260" s="11">
        <v>370</v>
      </c>
      <c r="I260" s="11">
        <v>1545</v>
      </c>
      <c r="J260" s="11">
        <v>1134</v>
      </c>
      <c r="K260" s="11">
        <v>569</v>
      </c>
      <c r="L260" s="11">
        <v>952</v>
      </c>
      <c r="M260" s="11">
        <v>808</v>
      </c>
      <c r="N260" s="11">
        <v>852</v>
      </c>
      <c r="O260" s="11">
        <v>0</v>
      </c>
      <c r="P260" s="11">
        <v>0</v>
      </c>
      <c r="Q260" s="11">
        <v>0</v>
      </c>
      <c r="R260" s="11">
        <v>0</v>
      </c>
      <c r="S260" s="12">
        <v>6671</v>
      </c>
    </row>
    <row r="261" spans="1:19" ht="17.5" thickBot="1" x14ac:dyDescent="0.65">
      <c r="A261" s="10" t="s">
        <v>599</v>
      </c>
      <c r="B261" s="9" t="s">
        <v>619</v>
      </c>
      <c r="C261" s="9" t="s">
        <v>626</v>
      </c>
      <c r="D261" s="20" t="s">
        <v>627</v>
      </c>
      <c r="E261" s="10" t="s">
        <v>694</v>
      </c>
      <c r="F261" s="10" t="s">
        <v>21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2">
        <v>0</v>
      </c>
    </row>
    <row r="262" spans="1:19" ht="17.5" thickBot="1" x14ac:dyDescent="0.65">
      <c r="A262" s="10" t="s">
        <v>599</v>
      </c>
      <c r="B262" s="9" t="s">
        <v>619</v>
      </c>
      <c r="C262" s="9" t="s">
        <v>628</v>
      </c>
      <c r="D262" s="20" t="s">
        <v>629</v>
      </c>
      <c r="E262" s="10" t="s">
        <v>694</v>
      </c>
      <c r="F262" s="10" t="s">
        <v>21</v>
      </c>
      <c r="G262" s="11">
        <v>1015</v>
      </c>
      <c r="H262" s="11">
        <v>1068</v>
      </c>
      <c r="I262" s="11">
        <v>2163</v>
      </c>
      <c r="J262" s="11">
        <v>3045</v>
      </c>
      <c r="K262" s="11">
        <v>1486</v>
      </c>
      <c r="L262" s="11">
        <v>2202</v>
      </c>
      <c r="M262" s="11">
        <v>2935</v>
      </c>
      <c r="N262" s="11">
        <v>3890</v>
      </c>
      <c r="O262" s="11">
        <v>0</v>
      </c>
      <c r="P262" s="11">
        <v>0</v>
      </c>
      <c r="Q262" s="11">
        <v>0</v>
      </c>
      <c r="R262" s="11">
        <v>0</v>
      </c>
      <c r="S262" s="12">
        <v>17804</v>
      </c>
    </row>
    <row r="263" spans="1:19" ht="17.5" thickBot="1" x14ac:dyDescent="0.65">
      <c r="A263" s="10" t="s">
        <v>599</v>
      </c>
      <c r="B263" s="9" t="s">
        <v>630</v>
      </c>
      <c r="C263" s="9" t="s">
        <v>631</v>
      </c>
      <c r="D263" s="20" t="s">
        <v>632</v>
      </c>
      <c r="E263" s="10" t="s">
        <v>694</v>
      </c>
      <c r="F263" s="10" t="s">
        <v>28</v>
      </c>
      <c r="G263" s="11">
        <v>781</v>
      </c>
      <c r="H263" s="11">
        <v>500</v>
      </c>
      <c r="I263" s="11">
        <v>582</v>
      </c>
      <c r="J263" s="11">
        <v>209</v>
      </c>
      <c r="K263" s="11">
        <v>300</v>
      </c>
      <c r="L263" s="11">
        <v>566</v>
      </c>
      <c r="M263" s="11">
        <v>615</v>
      </c>
      <c r="N263" s="11">
        <v>870</v>
      </c>
      <c r="O263" s="11">
        <v>0</v>
      </c>
      <c r="P263" s="11">
        <v>0</v>
      </c>
      <c r="Q263" s="11">
        <v>0</v>
      </c>
      <c r="R263" s="11">
        <v>0</v>
      </c>
      <c r="S263" s="12">
        <v>4423</v>
      </c>
    </row>
    <row r="264" spans="1:19" ht="17.5" thickBot="1" x14ac:dyDescent="0.65">
      <c r="A264" s="10" t="s">
        <v>599</v>
      </c>
      <c r="B264" s="9" t="s">
        <v>630</v>
      </c>
      <c r="C264" s="9" t="s">
        <v>633</v>
      </c>
      <c r="D264" s="20" t="s">
        <v>634</v>
      </c>
      <c r="E264" s="10" t="s">
        <v>694</v>
      </c>
      <c r="F264" s="10" t="s">
        <v>28</v>
      </c>
      <c r="G264" s="11">
        <v>118</v>
      </c>
      <c r="H264" s="11">
        <v>94</v>
      </c>
      <c r="I264" s="11">
        <v>510</v>
      </c>
      <c r="J264" s="11">
        <v>356</v>
      </c>
      <c r="K264" s="11">
        <v>121</v>
      </c>
      <c r="L264" s="11">
        <v>78</v>
      </c>
      <c r="M264" s="11">
        <v>157</v>
      </c>
      <c r="N264" s="11">
        <v>56</v>
      </c>
      <c r="O264" s="11">
        <v>0</v>
      </c>
      <c r="P264" s="11">
        <v>0</v>
      </c>
      <c r="Q264" s="11">
        <v>0</v>
      </c>
      <c r="R264" s="11">
        <v>0</v>
      </c>
      <c r="S264" s="12">
        <v>1490</v>
      </c>
    </row>
    <row r="265" spans="1:19" ht="17.5" thickBot="1" x14ac:dyDescent="0.65">
      <c r="A265" s="10" t="s">
        <v>599</v>
      </c>
      <c r="B265" s="9" t="s">
        <v>635</v>
      </c>
      <c r="C265" s="9" t="s">
        <v>636</v>
      </c>
      <c r="D265" s="20" t="s">
        <v>637</v>
      </c>
      <c r="E265" s="10" t="s">
        <v>694</v>
      </c>
      <c r="F265" s="10" t="s">
        <v>28</v>
      </c>
      <c r="G265" s="11">
        <v>404</v>
      </c>
      <c r="H265" s="11">
        <v>621</v>
      </c>
      <c r="I265" s="11">
        <v>988</v>
      </c>
      <c r="J265" s="11">
        <v>845</v>
      </c>
      <c r="K265" s="11">
        <v>464</v>
      </c>
      <c r="L265" s="11">
        <v>432</v>
      </c>
      <c r="M265" s="11">
        <v>502</v>
      </c>
      <c r="N265" s="11">
        <v>670</v>
      </c>
      <c r="O265" s="11">
        <v>0</v>
      </c>
      <c r="P265" s="11">
        <v>0</v>
      </c>
      <c r="Q265" s="11">
        <v>0</v>
      </c>
      <c r="R265" s="11">
        <v>0</v>
      </c>
      <c r="S265" s="12">
        <v>4926</v>
      </c>
    </row>
    <row r="266" spans="1:19" ht="17.5" thickBot="1" x14ac:dyDescent="0.65">
      <c r="A266" s="10" t="s">
        <v>599</v>
      </c>
      <c r="B266" s="9" t="s">
        <v>635</v>
      </c>
      <c r="C266" s="9" t="s">
        <v>638</v>
      </c>
      <c r="D266" s="20" t="s">
        <v>639</v>
      </c>
      <c r="E266" s="10" t="s">
        <v>694</v>
      </c>
      <c r="F266" s="10" t="s">
        <v>28</v>
      </c>
      <c r="G266" s="11">
        <v>2518</v>
      </c>
      <c r="H266" s="11">
        <v>1831</v>
      </c>
      <c r="I266" s="11">
        <v>2928</v>
      </c>
      <c r="J266" s="11">
        <v>2072</v>
      </c>
      <c r="K266" s="11">
        <v>1182</v>
      </c>
      <c r="L266" s="11">
        <v>641</v>
      </c>
      <c r="M266" s="11">
        <v>551</v>
      </c>
      <c r="N266" s="11">
        <v>2087</v>
      </c>
      <c r="O266" s="11">
        <v>0</v>
      </c>
      <c r="P266" s="11">
        <v>0</v>
      </c>
      <c r="Q266" s="11">
        <v>0</v>
      </c>
      <c r="R266" s="11">
        <v>0</v>
      </c>
      <c r="S266" s="12">
        <v>13810</v>
      </c>
    </row>
    <row r="267" spans="1:19" ht="17.5" thickBot="1" x14ac:dyDescent="0.65">
      <c r="A267" s="10" t="s">
        <v>599</v>
      </c>
      <c r="B267" s="9" t="s">
        <v>635</v>
      </c>
      <c r="C267" s="9" t="s">
        <v>640</v>
      </c>
      <c r="D267" s="20" t="s">
        <v>641</v>
      </c>
      <c r="E267" s="10" t="s">
        <v>694</v>
      </c>
      <c r="F267" s="10" t="s">
        <v>28</v>
      </c>
      <c r="G267" s="11">
        <v>481</v>
      </c>
      <c r="H267" s="11">
        <v>880</v>
      </c>
      <c r="I267" s="11">
        <v>1528</v>
      </c>
      <c r="J267" s="11">
        <v>1760</v>
      </c>
      <c r="K267" s="11">
        <v>2052</v>
      </c>
      <c r="L267" s="11">
        <v>981</v>
      </c>
      <c r="M267" s="11">
        <v>1118</v>
      </c>
      <c r="N267" s="11">
        <v>391</v>
      </c>
      <c r="O267" s="11">
        <v>0</v>
      </c>
      <c r="P267" s="11">
        <v>0</v>
      </c>
      <c r="Q267" s="11">
        <v>0</v>
      </c>
      <c r="R267" s="11">
        <v>0</v>
      </c>
      <c r="S267" s="12">
        <v>9191</v>
      </c>
    </row>
    <row r="268" spans="1:19" ht="17.5" thickBot="1" x14ac:dyDescent="0.65">
      <c r="A268" s="10" t="s">
        <v>599</v>
      </c>
      <c r="B268" s="9" t="s">
        <v>635</v>
      </c>
      <c r="C268" s="9" t="s">
        <v>642</v>
      </c>
      <c r="D268" s="20" t="s">
        <v>643</v>
      </c>
      <c r="E268" s="10" t="s">
        <v>694</v>
      </c>
      <c r="F268" s="10" t="s">
        <v>28</v>
      </c>
      <c r="G268" s="11">
        <v>285</v>
      </c>
      <c r="H268" s="11">
        <v>21</v>
      </c>
      <c r="I268" s="11">
        <v>262</v>
      </c>
      <c r="J268" s="11">
        <v>381</v>
      </c>
      <c r="K268" s="11">
        <v>80</v>
      </c>
      <c r="L268" s="11">
        <v>0</v>
      </c>
      <c r="M268" s="11">
        <v>10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2">
        <v>1039</v>
      </c>
    </row>
    <row r="269" spans="1:19" ht="17.5" thickBot="1" x14ac:dyDescent="0.65">
      <c r="A269" s="10" t="s">
        <v>599</v>
      </c>
      <c r="B269" s="9" t="s">
        <v>635</v>
      </c>
      <c r="C269" s="9" t="s">
        <v>644</v>
      </c>
      <c r="D269" s="20" t="s">
        <v>645</v>
      </c>
      <c r="E269" s="10" t="s">
        <v>694</v>
      </c>
      <c r="F269" s="10" t="s">
        <v>28</v>
      </c>
      <c r="G269" s="11">
        <v>979</v>
      </c>
      <c r="H269" s="11">
        <v>2332</v>
      </c>
      <c r="I269" s="11">
        <v>1950</v>
      </c>
      <c r="J269" s="11">
        <v>1341</v>
      </c>
      <c r="K269" s="11">
        <v>1701</v>
      </c>
      <c r="L269" s="11">
        <v>2188</v>
      </c>
      <c r="M269" s="11">
        <v>913</v>
      </c>
      <c r="N269" s="11">
        <v>1624</v>
      </c>
      <c r="O269" s="11">
        <v>0</v>
      </c>
      <c r="P269" s="11">
        <v>0</v>
      </c>
      <c r="Q269" s="11">
        <v>0</v>
      </c>
      <c r="R269" s="11">
        <v>0</v>
      </c>
      <c r="S269" s="12">
        <v>13028</v>
      </c>
    </row>
    <row r="270" spans="1:19" ht="17.5" thickBot="1" x14ac:dyDescent="0.65">
      <c r="A270" s="10" t="s">
        <v>599</v>
      </c>
      <c r="B270" s="9" t="s">
        <v>635</v>
      </c>
      <c r="C270" s="9" t="s">
        <v>646</v>
      </c>
      <c r="D270" s="20" t="s">
        <v>647</v>
      </c>
      <c r="E270" s="10" t="s">
        <v>694</v>
      </c>
      <c r="F270" s="10" t="s">
        <v>28</v>
      </c>
      <c r="G270" s="11">
        <v>110</v>
      </c>
      <c r="H270" s="11">
        <v>795</v>
      </c>
      <c r="I270" s="11">
        <v>353</v>
      </c>
      <c r="J270" s="11">
        <v>273</v>
      </c>
      <c r="K270" s="11">
        <v>0</v>
      </c>
      <c r="L270" s="11">
        <v>74</v>
      </c>
      <c r="M270" s="11">
        <v>655</v>
      </c>
      <c r="N270" s="11">
        <v>196</v>
      </c>
      <c r="O270" s="11">
        <v>0</v>
      </c>
      <c r="P270" s="11">
        <v>0</v>
      </c>
      <c r="Q270" s="11">
        <v>0</v>
      </c>
      <c r="R270" s="11">
        <v>0</v>
      </c>
      <c r="S270" s="12">
        <v>2456</v>
      </c>
    </row>
    <row r="271" spans="1:19" ht="17.5" thickBot="1" x14ac:dyDescent="0.65">
      <c r="A271" s="10" t="s">
        <v>599</v>
      </c>
      <c r="B271" s="9" t="s">
        <v>635</v>
      </c>
      <c r="C271" s="9" t="s">
        <v>648</v>
      </c>
      <c r="D271" s="20" t="s">
        <v>649</v>
      </c>
      <c r="E271" s="10" t="s">
        <v>694</v>
      </c>
      <c r="F271" s="10" t="s">
        <v>28</v>
      </c>
      <c r="G271" s="11">
        <v>154</v>
      </c>
      <c r="H271" s="11">
        <v>80</v>
      </c>
      <c r="I271" s="11">
        <v>70</v>
      </c>
      <c r="J271" s="11">
        <v>10</v>
      </c>
      <c r="K271" s="11">
        <v>151</v>
      </c>
      <c r="L271" s="11">
        <v>351</v>
      </c>
      <c r="M271" s="11">
        <v>72</v>
      </c>
      <c r="N271" s="11">
        <v>112</v>
      </c>
      <c r="O271" s="11">
        <v>0</v>
      </c>
      <c r="P271" s="11">
        <v>0</v>
      </c>
      <c r="Q271" s="11">
        <v>0</v>
      </c>
      <c r="R271" s="11">
        <v>0</v>
      </c>
      <c r="S271" s="12">
        <v>1000</v>
      </c>
    </row>
    <row r="272" spans="1:19" ht="17.5" thickBot="1" x14ac:dyDescent="0.65">
      <c r="A272" s="10" t="s">
        <v>599</v>
      </c>
      <c r="B272" s="9" t="s">
        <v>650</v>
      </c>
      <c r="C272" s="9" t="s">
        <v>651</v>
      </c>
      <c r="D272" s="20" t="s">
        <v>652</v>
      </c>
      <c r="E272" s="10" t="s">
        <v>694</v>
      </c>
      <c r="F272" s="10" t="s">
        <v>104</v>
      </c>
      <c r="G272" s="11">
        <v>489</v>
      </c>
      <c r="H272" s="11">
        <v>441</v>
      </c>
      <c r="I272" s="11">
        <v>707</v>
      </c>
      <c r="J272" s="11">
        <v>875</v>
      </c>
      <c r="K272" s="11">
        <v>687</v>
      </c>
      <c r="L272" s="11">
        <v>1067</v>
      </c>
      <c r="M272" s="11">
        <v>1173</v>
      </c>
      <c r="N272" s="11">
        <v>1096</v>
      </c>
      <c r="O272" s="11">
        <v>0</v>
      </c>
      <c r="P272" s="11">
        <v>0</v>
      </c>
      <c r="Q272" s="11">
        <v>0</v>
      </c>
      <c r="R272" s="11">
        <v>0</v>
      </c>
      <c r="S272" s="12">
        <v>6535</v>
      </c>
    </row>
    <row r="273" spans="1:19" ht="17.5" thickBot="1" x14ac:dyDescent="0.65">
      <c r="A273" s="10" t="s">
        <v>599</v>
      </c>
      <c r="B273" s="9" t="s">
        <v>653</v>
      </c>
      <c r="C273" s="9" t="s">
        <v>654</v>
      </c>
      <c r="D273" s="20" t="s">
        <v>655</v>
      </c>
      <c r="E273" s="10" t="s">
        <v>694</v>
      </c>
      <c r="F273" s="10" t="s">
        <v>21</v>
      </c>
      <c r="G273" s="11">
        <v>1802</v>
      </c>
      <c r="H273" s="11">
        <v>1550</v>
      </c>
      <c r="I273" s="11">
        <v>2382</v>
      </c>
      <c r="J273" s="11">
        <v>1199</v>
      </c>
      <c r="K273" s="11">
        <v>981</v>
      </c>
      <c r="L273" s="11">
        <v>1071</v>
      </c>
      <c r="M273" s="11">
        <v>1119</v>
      </c>
      <c r="N273" s="11">
        <v>812</v>
      </c>
      <c r="O273" s="11">
        <v>0</v>
      </c>
      <c r="P273" s="11">
        <v>0</v>
      </c>
      <c r="Q273" s="11">
        <v>0</v>
      </c>
      <c r="R273" s="11">
        <v>0</v>
      </c>
      <c r="S273" s="12">
        <v>10916</v>
      </c>
    </row>
    <row r="274" spans="1:19" ht="17.5" thickBot="1" x14ac:dyDescent="0.65">
      <c r="A274" s="10" t="s">
        <v>599</v>
      </c>
      <c r="B274" s="9" t="s">
        <v>653</v>
      </c>
      <c r="C274" s="9" t="s">
        <v>658</v>
      </c>
      <c r="D274" s="20" t="s">
        <v>659</v>
      </c>
      <c r="E274" s="10" t="s">
        <v>694</v>
      </c>
      <c r="F274" s="10" t="s">
        <v>21</v>
      </c>
      <c r="G274" s="11">
        <v>1926</v>
      </c>
      <c r="H274" s="11">
        <v>1239</v>
      </c>
      <c r="I274" s="11">
        <v>2004</v>
      </c>
      <c r="J274" s="11">
        <v>1787</v>
      </c>
      <c r="K274" s="11">
        <v>1128</v>
      </c>
      <c r="L274" s="11">
        <v>1141</v>
      </c>
      <c r="M274" s="11">
        <v>1514</v>
      </c>
      <c r="N274" s="11">
        <v>1485</v>
      </c>
      <c r="O274" s="11">
        <v>0</v>
      </c>
      <c r="P274" s="11">
        <v>0</v>
      </c>
      <c r="Q274" s="11">
        <v>0</v>
      </c>
      <c r="R274" s="11">
        <v>0</v>
      </c>
      <c r="S274" s="12">
        <v>12224</v>
      </c>
    </row>
    <row r="275" spans="1:19" ht="17.5" thickBot="1" x14ac:dyDescent="0.65">
      <c r="A275" s="10" t="s">
        <v>599</v>
      </c>
      <c r="B275" s="9" t="s">
        <v>653</v>
      </c>
      <c r="C275" s="9" t="s">
        <v>660</v>
      </c>
      <c r="D275" s="20" t="s">
        <v>661</v>
      </c>
      <c r="E275" s="10" t="s">
        <v>694</v>
      </c>
      <c r="F275" s="10" t="s">
        <v>21</v>
      </c>
      <c r="G275" s="11">
        <v>519</v>
      </c>
      <c r="H275" s="11">
        <v>1298</v>
      </c>
      <c r="I275" s="11">
        <v>1190</v>
      </c>
      <c r="J275" s="11">
        <v>1258</v>
      </c>
      <c r="K275" s="11">
        <v>1506</v>
      </c>
      <c r="L275" s="11">
        <v>1764</v>
      </c>
      <c r="M275" s="11">
        <v>1396</v>
      </c>
      <c r="N275" s="11">
        <v>1238</v>
      </c>
      <c r="O275" s="11">
        <v>0</v>
      </c>
      <c r="P275" s="11">
        <v>0</v>
      </c>
      <c r="Q275" s="11">
        <v>0</v>
      </c>
      <c r="R275" s="11">
        <v>0</v>
      </c>
      <c r="S275" s="12">
        <v>10169</v>
      </c>
    </row>
    <row r="276" spans="1:19" ht="17.5" thickBot="1" x14ac:dyDescent="0.65">
      <c r="A276" s="10" t="s">
        <v>599</v>
      </c>
      <c r="B276" s="9" t="s">
        <v>662</v>
      </c>
      <c r="C276" s="9" t="s">
        <v>663</v>
      </c>
      <c r="D276" s="20" t="s">
        <v>664</v>
      </c>
      <c r="E276" s="10" t="s">
        <v>694</v>
      </c>
      <c r="F276" s="10" t="s">
        <v>104</v>
      </c>
      <c r="G276" s="11">
        <v>567</v>
      </c>
      <c r="H276" s="11">
        <v>832</v>
      </c>
      <c r="I276" s="11">
        <v>1663</v>
      </c>
      <c r="J276" s="11">
        <v>1496</v>
      </c>
      <c r="K276" s="11">
        <v>1033</v>
      </c>
      <c r="L276" s="11">
        <v>1392</v>
      </c>
      <c r="M276" s="11">
        <v>1403</v>
      </c>
      <c r="N276" s="11">
        <v>1576</v>
      </c>
      <c r="O276" s="11">
        <v>0</v>
      </c>
      <c r="P276" s="11">
        <v>0</v>
      </c>
      <c r="Q276" s="11">
        <v>0</v>
      </c>
      <c r="R276" s="11">
        <v>0</v>
      </c>
      <c r="S276" s="12">
        <v>9962</v>
      </c>
    </row>
    <row r="277" spans="1:19" ht="17.5" thickBot="1" x14ac:dyDescent="0.65">
      <c r="A277" s="10" t="s">
        <v>599</v>
      </c>
      <c r="B277" s="9" t="s">
        <v>662</v>
      </c>
      <c r="C277" s="9" t="s">
        <v>665</v>
      </c>
      <c r="D277" s="20" t="s">
        <v>666</v>
      </c>
      <c r="E277" s="10" t="s">
        <v>694</v>
      </c>
      <c r="F277" s="10" t="s">
        <v>104</v>
      </c>
      <c r="G277" s="11">
        <v>398</v>
      </c>
      <c r="H277" s="11">
        <v>826</v>
      </c>
      <c r="I277" s="11">
        <v>473</v>
      </c>
      <c r="J277" s="11">
        <v>702</v>
      </c>
      <c r="K277" s="11">
        <v>1079</v>
      </c>
      <c r="L277" s="11">
        <v>456</v>
      </c>
      <c r="M277" s="11">
        <v>1610</v>
      </c>
      <c r="N277" s="11">
        <v>925</v>
      </c>
      <c r="O277" s="11">
        <v>0</v>
      </c>
      <c r="P277" s="11">
        <v>0</v>
      </c>
      <c r="Q277" s="11">
        <v>0</v>
      </c>
      <c r="R277" s="11">
        <v>0</v>
      </c>
      <c r="S277" s="12">
        <v>6469</v>
      </c>
    </row>
    <row r="278" spans="1:19" ht="17.5" thickBot="1" x14ac:dyDescent="0.65">
      <c r="A278" s="10" t="s">
        <v>599</v>
      </c>
      <c r="B278" s="9" t="s">
        <v>667</v>
      </c>
      <c r="C278" s="9" t="s">
        <v>668</v>
      </c>
      <c r="D278" s="20" t="s">
        <v>669</v>
      </c>
      <c r="E278" s="10" t="s">
        <v>694</v>
      </c>
      <c r="F278" s="10" t="s">
        <v>25</v>
      </c>
      <c r="G278" s="11">
        <v>654</v>
      </c>
      <c r="H278" s="11">
        <v>548</v>
      </c>
      <c r="I278" s="11">
        <v>851</v>
      </c>
      <c r="J278" s="11">
        <v>555</v>
      </c>
      <c r="K278" s="11">
        <v>637</v>
      </c>
      <c r="L278" s="11">
        <v>462</v>
      </c>
      <c r="M278" s="11">
        <v>608</v>
      </c>
      <c r="N278" s="11">
        <v>837</v>
      </c>
      <c r="O278" s="11">
        <v>0</v>
      </c>
      <c r="P278" s="11">
        <v>0</v>
      </c>
      <c r="Q278" s="11">
        <v>0</v>
      </c>
      <c r="R278" s="11">
        <v>0</v>
      </c>
      <c r="S278" s="12">
        <v>5152</v>
      </c>
    </row>
    <row r="279" spans="1:19" ht="17.5" thickBot="1" x14ac:dyDescent="0.65">
      <c r="A279" s="10" t="s">
        <v>599</v>
      </c>
      <c r="B279" s="9" t="s">
        <v>667</v>
      </c>
      <c r="C279" s="9" t="s">
        <v>670</v>
      </c>
      <c r="D279" s="20" t="s">
        <v>671</v>
      </c>
      <c r="E279" s="10" t="s">
        <v>694</v>
      </c>
      <c r="F279" s="10" t="s">
        <v>25</v>
      </c>
      <c r="G279" s="11">
        <v>772</v>
      </c>
      <c r="H279" s="11">
        <v>1202</v>
      </c>
      <c r="I279" s="11">
        <v>1695</v>
      </c>
      <c r="J279" s="11">
        <v>1725</v>
      </c>
      <c r="K279" s="11">
        <v>946</v>
      </c>
      <c r="L279" s="11">
        <v>945</v>
      </c>
      <c r="M279" s="11">
        <v>790</v>
      </c>
      <c r="N279" s="11">
        <v>407</v>
      </c>
      <c r="O279" s="11">
        <v>0</v>
      </c>
      <c r="P279" s="11">
        <v>0</v>
      </c>
      <c r="Q279" s="11">
        <v>0</v>
      </c>
      <c r="R279" s="11">
        <v>0</v>
      </c>
      <c r="S279" s="12">
        <v>8482</v>
      </c>
    </row>
    <row r="280" spans="1:19" ht="17.5" thickBot="1" x14ac:dyDescent="0.65">
      <c r="A280" s="10" t="s">
        <v>599</v>
      </c>
      <c r="B280" s="9" t="s">
        <v>672</v>
      </c>
      <c r="C280" s="9" t="s">
        <v>673</v>
      </c>
      <c r="D280" s="20" t="s">
        <v>674</v>
      </c>
      <c r="E280" s="10" t="s">
        <v>694</v>
      </c>
      <c r="F280" s="10" t="s">
        <v>28</v>
      </c>
      <c r="G280" s="11">
        <v>611</v>
      </c>
      <c r="H280" s="11">
        <v>864</v>
      </c>
      <c r="I280" s="11">
        <v>347</v>
      </c>
      <c r="J280" s="11">
        <v>102</v>
      </c>
      <c r="K280" s="11">
        <v>2</v>
      </c>
      <c r="L280" s="11">
        <v>0</v>
      </c>
      <c r="M280" s="11">
        <v>0</v>
      </c>
      <c r="N280" s="11">
        <v>0</v>
      </c>
      <c r="O280" s="11">
        <v>0</v>
      </c>
      <c r="P280" s="11">
        <v>0</v>
      </c>
      <c r="Q280" s="11">
        <v>0</v>
      </c>
      <c r="R280" s="11">
        <v>0</v>
      </c>
      <c r="S280" s="12">
        <v>1926</v>
      </c>
    </row>
    <row r="281" spans="1:19" ht="17.5" thickBot="1" x14ac:dyDescent="0.65">
      <c r="A281" s="10" t="s">
        <v>599</v>
      </c>
      <c r="B281" s="9" t="s">
        <v>675</v>
      </c>
      <c r="C281" s="9" t="s">
        <v>676</v>
      </c>
      <c r="D281" s="20" t="s">
        <v>773</v>
      </c>
      <c r="E281" s="10" t="s">
        <v>695</v>
      </c>
      <c r="F281" s="10" t="s">
        <v>104</v>
      </c>
      <c r="G281" s="11">
        <v>731</v>
      </c>
      <c r="H281" s="11">
        <v>1401</v>
      </c>
      <c r="I281" s="11">
        <v>1457</v>
      </c>
      <c r="J281" s="11">
        <v>1738</v>
      </c>
      <c r="K281" s="11">
        <v>2072</v>
      </c>
      <c r="L281" s="11">
        <v>1224</v>
      </c>
      <c r="M281" s="11">
        <v>594</v>
      </c>
      <c r="N281" s="11">
        <v>701</v>
      </c>
      <c r="O281" s="11">
        <v>0</v>
      </c>
      <c r="P281" s="11">
        <v>0</v>
      </c>
      <c r="Q281" s="11">
        <v>0</v>
      </c>
      <c r="R281" s="11">
        <v>0</v>
      </c>
      <c r="S281" s="12">
        <v>9918</v>
      </c>
    </row>
    <row r="282" spans="1:19" ht="17.5" thickBot="1" x14ac:dyDescent="0.65">
      <c r="A282" s="10" t="s">
        <v>599</v>
      </c>
      <c r="B282" s="9" t="s">
        <v>677</v>
      </c>
      <c r="C282" s="9" t="s">
        <v>678</v>
      </c>
      <c r="D282" s="20" t="s">
        <v>679</v>
      </c>
      <c r="E282" s="10" t="s">
        <v>694</v>
      </c>
      <c r="F282" s="10" t="s">
        <v>21</v>
      </c>
      <c r="G282" s="11">
        <v>1895</v>
      </c>
      <c r="H282" s="11">
        <v>1756</v>
      </c>
      <c r="I282" s="11">
        <v>2059</v>
      </c>
      <c r="J282" s="11">
        <v>1745</v>
      </c>
      <c r="K282" s="11">
        <v>2709</v>
      </c>
      <c r="L282" s="11">
        <v>1589</v>
      </c>
      <c r="M282" s="11">
        <v>2176</v>
      </c>
      <c r="N282" s="11">
        <v>2164</v>
      </c>
      <c r="O282" s="11">
        <v>0</v>
      </c>
      <c r="P282" s="11">
        <v>0</v>
      </c>
      <c r="Q282" s="11">
        <v>0</v>
      </c>
      <c r="R282" s="11">
        <v>0</v>
      </c>
      <c r="S282" s="12">
        <v>16093</v>
      </c>
    </row>
    <row r="283" spans="1:19" ht="17.5" thickBot="1" x14ac:dyDescent="0.65">
      <c r="A283" s="10" t="s">
        <v>599</v>
      </c>
      <c r="B283" s="9" t="s">
        <v>680</v>
      </c>
      <c r="C283" s="9" t="s">
        <v>681</v>
      </c>
      <c r="D283" s="20" t="s">
        <v>682</v>
      </c>
      <c r="E283" s="10" t="s">
        <v>694</v>
      </c>
      <c r="F283" s="10" t="s">
        <v>25</v>
      </c>
      <c r="G283" s="11">
        <v>6489</v>
      </c>
      <c r="H283" s="11">
        <v>7452</v>
      </c>
      <c r="I283" s="11">
        <v>7801</v>
      </c>
      <c r="J283" s="11">
        <v>5787</v>
      </c>
      <c r="K283" s="11">
        <v>6498</v>
      </c>
      <c r="L283" s="11">
        <v>5673</v>
      </c>
      <c r="M283" s="11">
        <v>6543</v>
      </c>
      <c r="N283" s="11">
        <v>6094</v>
      </c>
      <c r="O283" s="11">
        <v>0</v>
      </c>
      <c r="P283" s="11">
        <v>0</v>
      </c>
      <c r="Q283" s="11">
        <v>0</v>
      </c>
      <c r="R283" s="11">
        <v>0</v>
      </c>
      <c r="S283" s="12">
        <v>52337</v>
      </c>
    </row>
    <row r="284" spans="1:19" ht="17.5" thickBot="1" x14ac:dyDescent="0.65">
      <c r="A284" s="10" t="s">
        <v>599</v>
      </c>
      <c r="B284" s="9" t="s">
        <v>680</v>
      </c>
      <c r="C284" s="9" t="s">
        <v>683</v>
      </c>
      <c r="D284" s="20" t="s">
        <v>684</v>
      </c>
      <c r="E284" s="10" t="s">
        <v>694</v>
      </c>
      <c r="F284" s="10" t="s">
        <v>25</v>
      </c>
      <c r="G284" s="11">
        <v>0</v>
      </c>
      <c r="H284" s="11">
        <v>7</v>
      </c>
      <c r="I284" s="11">
        <v>0</v>
      </c>
      <c r="J284" s="11">
        <v>69</v>
      </c>
      <c r="K284" s="11">
        <v>174</v>
      </c>
      <c r="L284" s="11">
        <v>5</v>
      </c>
      <c r="M284" s="11">
        <v>232</v>
      </c>
      <c r="N284" s="11">
        <v>1208</v>
      </c>
      <c r="O284" s="11">
        <v>0</v>
      </c>
      <c r="P284" s="11">
        <v>0</v>
      </c>
      <c r="Q284" s="11">
        <v>0</v>
      </c>
      <c r="R284" s="11">
        <v>0</v>
      </c>
      <c r="S284" s="12">
        <v>1695</v>
      </c>
    </row>
    <row r="285" spans="1:19" ht="17.5" thickBot="1" x14ac:dyDescent="0.65">
      <c r="A285" s="10" t="s">
        <v>599</v>
      </c>
      <c r="B285" s="9" t="s">
        <v>685</v>
      </c>
      <c r="C285" s="9" t="s">
        <v>686</v>
      </c>
      <c r="D285" s="20" t="s">
        <v>687</v>
      </c>
      <c r="E285" s="10" t="s">
        <v>694</v>
      </c>
      <c r="F285" s="10" t="s">
        <v>21</v>
      </c>
      <c r="G285" s="11">
        <v>1233</v>
      </c>
      <c r="H285" s="11">
        <v>1175</v>
      </c>
      <c r="I285" s="11">
        <v>1515</v>
      </c>
      <c r="J285" s="11">
        <v>1388</v>
      </c>
      <c r="K285" s="11">
        <v>1818</v>
      </c>
      <c r="L285" s="11">
        <v>1230</v>
      </c>
      <c r="M285" s="11">
        <v>1099</v>
      </c>
      <c r="N285" s="11">
        <v>1335</v>
      </c>
      <c r="O285" s="11">
        <v>0</v>
      </c>
      <c r="P285" s="11">
        <v>0</v>
      </c>
      <c r="Q285" s="11">
        <v>0</v>
      </c>
      <c r="R285" s="11">
        <v>0</v>
      </c>
      <c r="S285" s="12">
        <v>10793</v>
      </c>
    </row>
    <row r="286" spans="1:19" ht="17.5" thickBot="1" x14ac:dyDescent="0.65">
      <c r="A286" s="10" t="s">
        <v>599</v>
      </c>
      <c r="B286" s="9" t="s">
        <v>688</v>
      </c>
      <c r="C286" s="9" t="s">
        <v>689</v>
      </c>
      <c r="D286" s="22" t="s">
        <v>690</v>
      </c>
      <c r="E286" s="10" t="s">
        <v>694</v>
      </c>
      <c r="F286" s="10" t="s">
        <v>21</v>
      </c>
      <c r="G286" s="11">
        <v>2932</v>
      </c>
      <c r="H286" s="11">
        <v>2831</v>
      </c>
      <c r="I286" s="11">
        <v>1823</v>
      </c>
      <c r="J286" s="11">
        <v>1794</v>
      </c>
      <c r="K286" s="11">
        <v>923</v>
      </c>
      <c r="L286" s="11">
        <v>917</v>
      </c>
      <c r="M286" s="11">
        <v>1145</v>
      </c>
      <c r="N286" s="11">
        <v>1197</v>
      </c>
      <c r="O286" s="11">
        <v>0</v>
      </c>
      <c r="P286" s="11">
        <v>0</v>
      </c>
      <c r="Q286" s="11">
        <v>0</v>
      </c>
      <c r="R286" s="11">
        <v>0</v>
      </c>
      <c r="S286" s="12">
        <v>13562</v>
      </c>
    </row>
    <row r="287" spans="1:19" ht="17.5" thickBot="1" x14ac:dyDescent="0.65">
      <c r="A287" s="10" t="s">
        <v>599</v>
      </c>
      <c r="B287" s="9" t="s">
        <v>688</v>
      </c>
      <c r="C287" s="9" t="s">
        <v>691</v>
      </c>
      <c r="D287" s="22" t="s">
        <v>692</v>
      </c>
      <c r="E287" s="10" t="s">
        <v>694</v>
      </c>
      <c r="F287" s="10" t="s">
        <v>21</v>
      </c>
      <c r="G287" s="11">
        <v>0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  <c r="S287" s="12">
        <v>0</v>
      </c>
    </row>
    <row r="288" spans="1:19" x14ac:dyDescent="0.6">
      <c r="S288" s="43">
        <f>SUM(S2:S287)</f>
        <v>3084244</v>
      </c>
    </row>
  </sheetData>
  <autoFilter ref="A1:S287" xr:uid="{4C4DD3D8-EF70-45A7-AE2E-AF682F75D35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B638-C44B-4528-8C6E-0EC18824FD34}">
  <dimension ref="A1:R298"/>
  <sheetViews>
    <sheetView workbookViewId="0">
      <pane xSplit="5" ySplit="1" topLeftCell="I283" activePane="bottomRight" state="frozen"/>
      <selection pane="topRight" activeCell="F1" sqref="F1"/>
      <selection pane="bottomLeft" activeCell="A2" sqref="A2"/>
      <selection pane="bottomRight" sqref="A1:R297"/>
    </sheetView>
  </sheetViews>
  <sheetFormatPr defaultColWidth="8.26953125" defaultRowHeight="17" x14ac:dyDescent="0.35"/>
  <cols>
    <col min="1" max="1" width="8.81640625" style="23" bestFit="1" customWidth="1"/>
    <col min="2" max="2" width="25.54296875" style="23" customWidth="1"/>
    <col min="3" max="3" width="8.90625" style="23" customWidth="1"/>
    <col min="4" max="4" width="18.453125" style="23" customWidth="1"/>
    <col min="5" max="5" width="15.453125" style="3" customWidth="1"/>
    <col min="6" max="17" width="7.90625" style="23" customWidth="1"/>
    <col min="18" max="18" width="9.1796875" style="23" bestFit="1" customWidth="1"/>
    <col min="19" max="231" width="8.26953125" style="23"/>
    <col min="232" max="232" width="14.453125" style="23" customWidth="1"/>
    <col min="233" max="233" width="6.36328125" style="23" customWidth="1"/>
    <col min="234" max="234" width="13.54296875" style="23" customWidth="1"/>
    <col min="235" max="247" width="11.54296875" style="23" customWidth="1"/>
    <col min="248" max="248" width="0" style="23" hidden="1" customWidth="1"/>
    <col min="249" max="249" width="14.1796875" style="23" bestFit="1" customWidth="1"/>
    <col min="250" max="250" width="14.90625" style="23" bestFit="1" customWidth="1"/>
    <col min="251" max="487" width="8.26953125" style="23"/>
    <col min="488" max="488" width="14.453125" style="23" customWidth="1"/>
    <col min="489" max="489" width="6.36328125" style="23" customWidth="1"/>
    <col min="490" max="490" width="13.54296875" style="23" customWidth="1"/>
    <col min="491" max="503" width="11.54296875" style="23" customWidth="1"/>
    <col min="504" max="504" width="0" style="23" hidden="1" customWidth="1"/>
    <col min="505" max="505" width="14.1796875" style="23" bestFit="1" customWidth="1"/>
    <col min="506" max="506" width="14.90625" style="23" bestFit="1" customWidth="1"/>
    <col min="507" max="743" width="8.26953125" style="23"/>
    <col min="744" max="744" width="14.453125" style="23" customWidth="1"/>
    <col min="745" max="745" width="6.36328125" style="23" customWidth="1"/>
    <col min="746" max="746" width="13.54296875" style="23" customWidth="1"/>
    <col min="747" max="759" width="11.54296875" style="23" customWidth="1"/>
    <col min="760" max="760" width="0" style="23" hidden="1" customWidth="1"/>
    <col min="761" max="761" width="14.1796875" style="23" bestFit="1" customWidth="1"/>
    <col min="762" max="762" width="14.90625" style="23" bestFit="1" customWidth="1"/>
    <col min="763" max="999" width="8.26953125" style="23"/>
    <col min="1000" max="1000" width="14.453125" style="23" customWidth="1"/>
    <col min="1001" max="1001" width="6.36328125" style="23" customWidth="1"/>
    <col min="1002" max="1002" width="13.54296875" style="23" customWidth="1"/>
    <col min="1003" max="1015" width="11.54296875" style="23" customWidth="1"/>
    <col min="1016" max="1016" width="0" style="23" hidden="1" customWidth="1"/>
    <col min="1017" max="1017" width="14.1796875" style="23" bestFit="1" customWidth="1"/>
    <col min="1018" max="1018" width="14.90625" style="23" bestFit="1" customWidth="1"/>
    <col min="1019" max="1255" width="8.26953125" style="23"/>
    <col min="1256" max="1256" width="14.453125" style="23" customWidth="1"/>
    <col min="1257" max="1257" width="6.36328125" style="23" customWidth="1"/>
    <col min="1258" max="1258" width="13.54296875" style="23" customWidth="1"/>
    <col min="1259" max="1271" width="11.54296875" style="23" customWidth="1"/>
    <col min="1272" max="1272" width="0" style="23" hidden="1" customWidth="1"/>
    <col min="1273" max="1273" width="14.1796875" style="23" bestFit="1" customWidth="1"/>
    <col min="1274" max="1274" width="14.90625" style="23" bestFit="1" customWidth="1"/>
    <col min="1275" max="1511" width="8.26953125" style="23"/>
    <col min="1512" max="1512" width="14.453125" style="23" customWidth="1"/>
    <col min="1513" max="1513" width="6.36328125" style="23" customWidth="1"/>
    <col min="1514" max="1514" width="13.54296875" style="23" customWidth="1"/>
    <col min="1515" max="1527" width="11.54296875" style="23" customWidth="1"/>
    <col min="1528" max="1528" width="0" style="23" hidden="1" customWidth="1"/>
    <col min="1529" max="1529" width="14.1796875" style="23" bestFit="1" customWidth="1"/>
    <col min="1530" max="1530" width="14.90625" style="23" bestFit="1" customWidth="1"/>
    <col min="1531" max="1767" width="8.26953125" style="23"/>
    <col min="1768" max="1768" width="14.453125" style="23" customWidth="1"/>
    <col min="1769" max="1769" width="6.36328125" style="23" customWidth="1"/>
    <col min="1770" max="1770" width="13.54296875" style="23" customWidth="1"/>
    <col min="1771" max="1783" width="11.54296875" style="23" customWidth="1"/>
    <col min="1784" max="1784" width="0" style="23" hidden="1" customWidth="1"/>
    <col min="1785" max="1785" width="14.1796875" style="23" bestFit="1" customWidth="1"/>
    <col min="1786" max="1786" width="14.90625" style="23" bestFit="1" customWidth="1"/>
    <col min="1787" max="2023" width="8.26953125" style="23"/>
    <col min="2024" max="2024" width="14.453125" style="23" customWidth="1"/>
    <col min="2025" max="2025" width="6.36328125" style="23" customWidth="1"/>
    <col min="2026" max="2026" width="13.54296875" style="23" customWidth="1"/>
    <col min="2027" max="2039" width="11.54296875" style="23" customWidth="1"/>
    <col min="2040" max="2040" width="0" style="23" hidden="1" customWidth="1"/>
    <col min="2041" max="2041" width="14.1796875" style="23" bestFit="1" customWidth="1"/>
    <col min="2042" max="2042" width="14.90625" style="23" bestFit="1" customWidth="1"/>
    <col min="2043" max="2279" width="8.26953125" style="23"/>
    <col min="2280" max="2280" width="14.453125" style="23" customWidth="1"/>
    <col min="2281" max="2281" width="6.36328125" style="23" customWidth="1"/>
    <col min="2282" max="2282" width="13.54296875" style="23" customWidth="1"/>
    <col min="2283" max="2295" width="11.54296875" style="23" customWidth="1"/>
    <col min="2296" max="2296" width="0" style="23" hidden="1" customWidth="1"/>
    <col min="2297" max="2297" width="14.1796875" style="23" bestFit="1" customWidth="1"/>
    <col min="2298" max="2298" width="14.90625" style="23" bestFit="1" customWidth="1"/>
    <col min="2299" max="2535" width="8.26953125" style="23"/>
    <col min="2536" max="2536" width="14.453125" style="23" customWidth="1"/>
    <col min="2537" max="2537" width="6.36328125" style="23" customWidth="1"/>
    <col min="2538" max="2538" width="13.54296875" style="23" customWidth="1"/>
    <col min="2539" max="2551" width="11.54296875" style="23" customWidth="1"/>
    <col min="2552" max="2552" width="0" style="23" hidden="1" customWidth="1"/>
    <col min="2553" max="2553" width="14.1796875" style="23" bestFit="1" customWidth="1"/>
    <col min="2554" max="2554" width="14.90625" style="23" bestFit="1" customWidth="1"/>
    <col min="2555" max="2791" width="8.26953125" style="23"/>
    <col min="2792" max="2792" width="14.453125" style="23" customWidth="1"/>
    <col min="2793" max="2793" width="6.36328125" style="23" customWidth="1"/>
    <col min="2794" max="2794" width="13.54296875" style="23" customWidth="1"/>
    <col min="2795" max="2807" width="11.54296875" style="23" customWidth="1"/>
    <col min="2808" max="2808" width="0" style="23" hidden="1" customWidth="1"/>
    <col min="2809" max="2809" width="14.1796875" style="23" bestFit="1" customWidth="1"/>
    <col min="2810" max="2810" width="14.90625" style="23" bestFit="1" customWidth="1"/>
    <col min="2811" max="3047" width="8.26953125" style="23"/>
    <col min="3048" max="3048" width="14.453125" style="23" customWidth="1"/>
    <col min="3049" max="3049" width="6.36328125" style="23" customWidth="1"/>
    <col min="3050" max="3050" width="13.54296875" style="23" customWidth="1"/>
    <col min="3051" max="3063" width="11.54296875" style="23" customWidth="1"/>
    <col min="3064" max="3064" width="0" style="23" hidden="1" customWidth="1"/>
    <col min="3065" max="3065" width="14.1796875" style="23" bestFit="1" customWidth="1"/>
    <col min="3066" max="3066" width="14.90625" style="23" bestFit="1" customWidth="1"/>
    <col min="3067" max="3303" width="8.26953125" style="23"/>
    <col min="3304" max="3304" width="14.453125" style="23" customWidth="1"/>
    <col min="3305" max="3305" width="6.36328125" style="23" customWidth="1"/>
    <col min="3306" max="3306" width="13.54296875" style="23" customWidth="1"/>
    <col min="3307" max="3319" width="11.54296875" style="23" customWidth="1"/>
    <col min="3320" max="3320" width="0" style="23" hidden="1" customWidth="1"/>
    <col min="3321" max="3321" width="14.1796875" style="23" bestFit="1" customWidth="1"/>
    <col min="3322" max="3322" width="14.90625" style="23" bestFit="1" customWidth="1"/>
    <col min="3323" max="3559" width="8.26953125" style="23"/>
    <col min="3560" max="3560" width="14.453125" style="23" customWidth="1"/>
    <col min="3561" max="3561" width="6.36328125" style="23" customWidth="1"/>
    <col min="3562" max="3562" width="13.54296875" style="23" customWidth="1"/>
    <col min="3563" max="3575" width="11.54296875" style="23" customWidth="1"/>
    <col min="3576" max="3576" width="0" style="23" hidden="1" customWidth="1"/>
    <col min="3577" max="3577" width="14.1796875" style="23" bestFit="1" customWidth="1"/>
    <col min="3578" max="3578" width="14.90625" style="23" bestFit="1" customWidth="1"/>
    <col min="3579" max="3815" width="8.26953125" style="23"/>
    <col min="3816" max="3816" width="14.453125" style="23" customWidth="1"/>
    <col min="3817" max="3817" width="6.36328125" style="23" customWidth="1"/>
    <col min="3818" max="3818" width="13.54296875" style="23" customWidth="1"/>
    <col min="3819" max="3831" width="11.54296875" style="23" customWidth="1"/>
    <col min="3832" max="3832" width="0" style="23" hidden="1" customWidth="1"/>
    <col min="3833" max="3833" width="14.1796875" style="23" bestFit="1" customWidth="1"/>
    <col min="3834" max="3834" width="14.90625" style="23" bestFit="1" customWidth="1"/>
    <col min="3835" max="4071" width="8.26953125" style="23"/>
    <col min="4072" max="4072" width="14.453125" style="23" customWidth="1"/>
    <col min="4073" max="4073" width="6.36328125" style="23" customWidth="1"/>
    <col min="4074" max="4074" width="13.54296875" style="23" customWidth="1"/>
    <col min="4075" max="4087" width="11.54296875" style="23" customWidth="1"/>
    <col min="4088" max="4088" width="0" style="23" hidden="1" customWidth="1"/>
    <col min="4089" max="4089" width="14.1796875" style="23" bestFit="1" customWidth="1"/>
    <col min="4090" max="4090" width="14.90625" style="23" bestFit="1" customWidth="1"/>
    <col min="4091" max="4327" width="8.26953125" style="23"/>
    <col min="4328" max="4328" width="14.453125" style="23" customWidth="1"/>
    <col min="4329" max="4329" width="6.36328125" style="23" customWidth="1"/>
    <col min="4330" max="4330" width="13.54296875" style="23" customWidth="1"/>
    <col min="4331" max="4343" width="11.54296875" style="23" customWidth="1"/>
    <col min="4344" max="4344" width="0" style="23" hidden="1" customWidth="1"/>
    <col min="4345" max="4345" width="14.1796875" style="23" bestFit="1" customWidth="1"/>
    <col min="4346" max="4346" width="14.90625" style="23" bestFit="1" customWidth="1"/>
    <col min="4347" max="4583" width="8.26953125" style="23"/>
    <col min="4584" max="4584" width="14.453125" style="23" customWidth="1"/>
    <col min="4585" max="4585" width="6.36328125" style="23" customWidth="1"/>
    <col min="4586" max="4586" width="13.54296875" style="23" customWidth="1"/>
    <col min="4587" max="4599" width="11.54296875" style="23" customWidth="1"/>
    <col min="4600" max="4600" width="0" style="23" hidden="1" customWidth="1"/>
    <col min="4601" max="4601" width="14.1796875" style="23" bestFit="1" customWidth="1"/>
    <col min="4602" max="4602" width="14.90625" style="23" bestFit="1" customWidth="1"/>
    <col min="4603" max="4839" width="8.26953125" style="23"/>
    <col min="4840" max="4840" width="14.453125" style="23" customWidth="1"/>
    <col min="4841" max="4841" width="6.36328125" style="23" customWidth="1"/>
    <col min="4842" max="4842" width="13.54296875" style="23" customWidth="1"/>
    <col min="4843" max="4855" width="11.54296875" style="23" customWidth="1"/>
    <col min="4856" max="4856" width="0" style="23" hidden="1" customWidth="1"/>
    <col min="4857" max="4857" width="14.1796875" style="23" bestFit="1" customWidth="1"/>
    <col min="4858" max="4858" width="14.90625" style="23" bestFit="1" customWidth="1"/>
    <col min="4859" max="5095" width="8.26953125" style="23"/>
    <col min="5096" max="5096" width="14.453125" style="23" customWidth="1"/>
    <col min="5097" max="5097" width="6.36328125" style="23" customWidth="1"/>
    <col min="5098" max="5098" width="13.54296875" style="23" customWidth="1"/>
    <col min="5099" max="5111" width="11.54296875" style="23" customWidth="1"/>
    <col min="5112" max="5112" width="0" style="23" hidden="1" customWidth="1"/>
    <col min="5113" max="5113" width="14.1796875" style="23" bestFit="1" customWidth="1"/>
    <col min="5114" max="5114" width="14.90625" style="23" bestFit="1" customWidth="1"/>
    <col min="5115" max="5351" width="8.26953125" style="23"/>
    <col min="5352" max="5352" width="14.453125" style="23" customWidth="1"/>
    <col min="5353" max="5353" width="6.36328125" style="23" customWidth="1"/>
    <col min="5354" max="5354" width="13.54296875" style="23" customWidth="1"/>
    <col min="5355" max="5367" width="11.54296875" style="23" customWidth="1"/>
    <col min="5368" max="5368" width="0" style="23" hidden="1" customWidth="1"/>
    <col min="5369" max="5369" width="14.1796875" style="23" bestFit="1" customWidth="1"/>
    <col min="5370" max="5370" width="14.90625" style="23" bestFit="1" customWidth="1"/>
    <col min="5371" max="5607" width="8.26953125" style="23"/>
    <col min="5608" max="5608" width="14.453125" style="23" customWidth="1"/>
    <col min="5609" max="5609" width="6.36328125" style="23" customWidth="1"/>
    <col min="5610" max="5610" width="13.54296875" style="23" customWidth="1"/>
    <col min="5611" max="5623" width="11.54296875" style="23" customWidth="1"/>
    <col min="5624" max="5624" width="0" style="23" hidden="1" customWidth="1"/>
    <col min="5625" max="5625" width="14.1796875" style="23" bestFit="1" customWidth="1"/>
    <col min="5626" max="5626" width="14.90625" style="23" bestFit="1" customWidth="1"/>
    <col min="5627" max="5863" width="8.26953125" style="23"/>
    <col min="5864" max="5864" width="14.453125" style="23" customWidth="1"/>
    <col min="5865" max="5865" width="6.36328125" style="23" customWidth="1"/>
    <col min="5866" max="5866" width="13.54296875" style="23" customWidth="1"/>
    <col min="5867" max="5879" width="11.54296875" style="23" customWidth="1"/>
    <col min="5880" max="5880" width="0" style="23" hidden="1" customWidth="1"/>
    <col min="5881" max="5881" width="14.1796875" style="23" bestFit="1" customWidth="1"/>
    <col min="5882" max="5882" width="14.90625" style="23" bestFit="1" customWidth="1"/>
    <col min="5883" max="6119" width="8.26953125" style="23"/>
    <col min="6120" max="6120" width="14.453125" style="23" customWidth="1"/>
    <col min="6121" max="6121" width="6.36328125" style="23" customWidth="1"/>
    <col min="6122" max="6122" width="13.54296875" style="23" customWidth="1"/>
    <col min="6123" max="6135" width="11.54296875" style="23" customWidth="1"/>
    <col min="6136" max="6136" width="0" style="23" hidden="1" customWidth="1"/>
    <col min="6137" max="6137" width="14.1796875" style="23" bestFit="1" customWidth="1"/>
    <col min="6138" max="6138" width="14.90625" style="23" bestFit="1" customWidth="1"/>
    <col min="6139" max="6375" width="8.26953125" style="23"/>
    <col min="6376" max="6376" width="14.453125" style="23" customWidth="1"/>
    <col min="6377" max="6377" width="6.36328125" style="23" customWidth="1"/>
    <col min="6378" max="6378" width="13.54296875" style="23" customWidth="1"/>
    <col min="6379" max="6391" width="11.54296875" style="23" customWidth="1"/>
    <col min="6392" max="6392" width="0" style="23" hidden="1" customWidth="1"/>
    <col min="6393" max="6393" width="14.1796875" style="23" bestFit="1" customWidth="1"/>
    <col min="6394" max="6394" width="14.90625" style="23" bestFit="1" customWidth="1"/>
    <col min="6395" max="6631" width="8.26953125" style="23"/>
    <col min="6632" max="6632" width="14.453125" style="23" customWidth="1"/>
    <col min="6633" max="6633" width="6.36328125" style="23" customWidth="1"/>
    <col min="6634" max="6634" width="13.54296875" style="23" customWidth="1"/>
    <col min="6635" max="6647" width="11.54296875" style="23" customWidth="1"/>
    <col min="6648" max="6648" width="0" style="23" hidden="1" customWidth="1"/>
    <col min="6649" max="6649" width="14.1796875" style="23" bestFit="1" customWidth="1"/>
    <col min="6650" max="6650" width="14.90625" style="23" bestFit="1" customWidth="1"/>
    <col min="6651" max="6887" width="8.26953125" style="23"/>
    <col min="6888" max="6888" width="14.453125" style="23" customWidth="1"/>
    <col min="6889" max="6889" width="6.36328125" style="23" customWidth="1"/>
    <col min="6890" max="6890" width="13.54296875" style="23" customWidth="1"/>
    <col min="6891" max="6903" width="11.54296875" style="23" customWidth="1"/>
    <col min="6904" max="6904" width="0" style="23" hidden="1" customWidth="1"/>
    <col min="6905" max="6905" width="14.1796875" style="23" bestFit="1" customWidth="1"/>
    <col min="6906" max="6906" width="14.90625" style="23" bestFit="1" customWidth="1"/>
    <col min="6907" max="7143" width="8.26953125" style="23"/>
    <col min="7144" max="7144" width="14.453125" style="23" customWidth="1"/>
    <col min="7145" max="7145" width="6.36328125" style="23" customWidth="1"/>
    <col min="7146" max="7146" width="13.54296875" style="23" customWidth="1"/>
    <col min="7147" max="7159" width="11.54296875" style="23" customWidth="1"/>
    <col min="7160" max="7160" width="0" style="23" hidden="1" customWidth="1"/>
    <col min="7161" max="7161" width="14.1796875" style="23" bestFit="1" customWidth="1"/>
    <col min="7162" max="7162" width="14.90625" style="23" bestFit="1" customWidth="1"/>
    <col min="7163" max="7399" width="8.26953125" style="23"/>
    <col min="7400" max="7400" width="14.453125" style="23" customWidth="1"/>
    <col min="7401" max="7401" width="6.36328125" style="23" customWidth="1"/>
    <col min="7402" max="7402" width="13.54296875" style="23" customWidth="1"/>
    <col min="7403" max="7415" width="11.54296875" style="23" customWidth="1"/>
    <col min="7416" max="7416" width="0" style="23" hidden="1" customWidth="1"/>
    <col min="7417" max="7417" width="14.1796875" style="23" bestFit="1" customWidth="1"/>
    <col min="7418" max="7418" width="14.90625" style="23" bestFit="1" customWidth="1"/>
    <col min="7419" max="7655" width="8.26953125" style="23"/>
    <col min="7656" max="7656" width="14.453125" style="23" customWidth="1"/>
    <col min="7657" max="7657" width="6.36328125" style="23" customWidth="1"/>
    <col min="7658" max="7658" width="13.54296875" style="23" customWidth="1"/>
    <col min="7659" max="7671" width="11.54296875" style="23" customWidth="1"/>
    <col min="7672" max="7672" width="0" style="23" hidden="1" customWidth="1"/>
    <col min="7673" max="7673" width="14.1796875" style="23" bestFit="1" customWidth="1"/>
    <col min="7674" max="7674" width="14.90625" style="23" bestFit="1" customWidth="1"/>
    <col min="7675" max="7911" width="8.26953125" style="23"/>
    <col min="7912" max="7912" width="14.453125" style="23" customWidth="1"/>
    <col min="7913" max="7913" width="6.36328125" style="23" customWidth="1"/>
    <col min="7914" max="7914" width="13.54296875" style="23" customWidth="1"/>
    <col min="7915" max="7927" width="11.54296875" style="23" customWidth="1"/>
    <col min="7928" max="7928" width="0" style="23" hidden="1" customWidth="1"/>
    <col min="7929" max="7929" width="14.1796875" style="23" bestFit="1" customWidth="1"/>
    <col min="7930" max="7930" width="14.90625" style="23" bestFit="1" customWidth="1"/>
    <col min="7931" max="8167" width="8.26953125" style="23"/>
    <col min="8168" max="8168" width="14.453125" style="23" customWidth="1"/>
    <col min="8169" max="8169" width="6.36328125" style="23" customWidth="1"/>
    <col min="8170" max="8170" width="13.54296875" style="23" customWidth="1"/>
    <col min="8171" max="8183" width="11.54296875" style="23" customWidth="1"/>
    <col min="8184" max="8184" width="0" style="23" hidden="1" customWidth="1"/>
    <col min="8185" max="8185" width="14.1796875" style="23" bestFit="1" customWidth="1"/>
    <col min="8186" max="8186" width="14.90625" style="23" bestFit="1" customWidth="1"/>
    <col min="8187" max="8423" width="8.26953125" style="23"/>
    <col min="8424" max="8424" width="14.453125" style="23" customWidth="1"/>
    <col min="8425" max="8425" width="6.36328125" style="23" customWidth="1"/>
    <col min="8426" max="8426" width="13.54296875" style="23" customWidth="1"/>
    <col min="8427" max="8439" width="11.54296875" style="23" customWidth="1"/>
    <col min="8440" max="8440" width="0" style="23" hidden="1" customWidth="1"/>
    <col min="8441" max="8441" width="14.1796875" style="23" bestFit="1" customWidth="1"/>
    <col min="8442" max="8442" width="14.90625" style="23" bestFit="1" customWidth="1"/>
    <col min="8443" max="8679" width="8.26953125" style="23"/>
    <col min="8680" max="8680" width="14.453125" style="23" customWidth="1"/>
    <col min="8681" max="8681" width="6.36328125" style="23" customWidth="1"/>
    <col min="8682" max="8682" width="13.54296875" style="23" customWidth="1"/>
    <col min="8683" max="8695" width="11.54296875" style="23" customWidth="1"/>
    <col min="8696" max="8696" width="0" style="23" hidden="1" customWidth="1"/>
    <col min="8697" max="8697" width="14.1796875" style="23" bestFit="1" customWidth="1"/>
    <col min="8698" max="8698" width="14.90625" style="23" bestFit="1" customWidth="1"/>
    <col min="8699" max="8935" width="8.26953125" style="23"/>
    <col min="8936" max="8936" width="14.453125" style="23" customWidth="1"/>
    <col min="8937" max="8937" width="6.36328125" style="23" customWidth="1"/>
    <col min="8938" max="8938" width="13.54296875" style="23" customWidth="1"/>
    <col min="8939" max="8951" width="11.54296875" style="23" customWidth="1"/>
    <col min="8952" max="8952" width="0" style="23" hidden="1" customWidth="1"/>
    <col min="8953" max="8953" width="14.1796875" style="23" bestFit="1" customWidth="1"/>
    <col min="8954" max="8954" width="14.90625" style="23" bestFit="1" customWidth="1"/>
    <col min="8955" max="9191" width="8.26953125" style="23"/>
    <col min="9192" max="9192" width="14.453125" style="23" customWidth="1"/>
    <col min="9193" max="9193" width="6.36328125" style="23" customWidth="1"/>
    <col min="9194" max="9194" width="13.54296875" style="23" customWidth="1"/>
    <col min="9195" max="9207" width="11.54296875" style="23" customWidth="1"/>
    <col min="9208" max="9208" width="0" style="23" hidden="1" customWidth="1"/>
    <col min="9209" max="9209" width="14.1796875" style="23" bestFit="1" customWidth="1"/>
    <col min="9210" max="9210" width="14.90625" style="23" bestFit="1" customWidth="1"/>
    <col min="9211" max="9447" width="8.26953125" style="23"/>
    <col min="9448" max="9448" width="14.453125" style="23" customWidth="1"/>
    <col min="9449" max="9449" width="6.36328125" style="23" customWidth="1"/>
    <col min="9450" max="9450" width="13.54296875" style="23" customWidth="1"/>
    <col min="9451" max="9463" width="11.54296875" style="23" customWidth="1"/>
    <col min="9464" max="9464" width="0" style="23" hidden="1" customWidth="1"/>
    <col min="9465" max="9465" width="14.1796875" style="23" bestFit="1" customWidth="1"/>
    <col min="9466" max="9466" width="14.90625" style="23" bestFit="1" customWidth="1"/>
    <col min="9467" max="9703" width="8.26953125" style="23"/>
    <col min="9704" max="9704" width="14.453125" style="23" customWidth="1"/>
    <col min="9705" max="9705" width="6.36328125" style="23" customWidth="1"/>
    <col min="9706" max="9706" width="13.54296875" style="23" customWidth="1"/>
    <col min="9707" max="9719" width="11.54296875" style="23" customWidth="1"/>
    <col min="9720" max="9720" width="0" style="23" hidden="1" customWidth="1"/>
    <col min="9721" max="9721" width="14.1796875" style="23" bestFit="1" customWidth="1"/>
    <col min="9722" max="9722" width="14.90625" style="23" bestFit="1" customWidth="1"/>
    <col min="9723" max="9959" width="8.26953125" style="23"/>
    <col min="9960" max="9960" width="14.453125" style="23" customWidth="1"/>
    <col min="9961" max="9961" width="6.36328125" style="23" customWidth="1"/>
    <col min="9962" max="9962" width="13.54296875" style="23" customWidth="1"/>
    <col min="9963" max="9975" width="11.54296875" style="23" customWidth="1"/>
    <col min="9976" max="9976" width="0" style="23" hidden="1" customWidth="1"/>
    <col min="9977" max="9977" width="14.1796875" style="23" bestFit="1" customWidth="1"/>
    <col min="9978" max="9978" width="14.90625" style="23" bestFit="1" customWidth="1"/>
    <col min="9979" max="10215" width="8.26953125" style="23"/>
    <col min="10216" max="10216" width="14.453125" style="23" customWidth="1"/>
    <col min="10217" max="10217" width="6.36328125" style="23" customWidth="1"/>
    <col min="10218" max="10218" width="13.54296875" style="23" customWidth="1"/>
    <col min="10219" max="10231" width="11.54296875" style="23" customWidth="1"/>
    <col min="10232" max="10232" width="0" style="23" hidden="1" customWidth="1"/>
    <col min="10233" max="10233" width="14.1796875" style="23" bestFit="1" customWidth="1"/>
    <col min="10234" max="10234" width="14.90625" style="23" bestFit="1" customWidth="1"/>
    <col min="10235" max="10471" width="8.26953125" style="23"/>
    <col min="10472" max="10472" width="14.453125" style="23" customWidth="1"/>
    <col min="10473" max="10473" width="6.36328125" style="23" customWidth="1"/>
    <col min="10474" max="10474" width="13.54296875" style="23" customWidth="1"/>
    <col min="10475" max="10487" width="11.54296875" style="23" customWidth="1"/>
    <col min="10488" max="10488" width="0" style="23" hidden="1" customWidth="1"/>
    <col min="10489" max="10489" width="14.1796875" style="23" bestFit="1" customWidth="1"/>
    <col min="10490" max="10490" width="14.90625" style="23" bestFit="1" customWidth="1"/>
    <col min="10491" max="10727" width="8.26953125" style="23"/>
    <col min="10728" max="10728" width="14.453125" style="23" customWidth="1"/>
    <col min="10729" max="10729" width="6.36328125" style="23" customWidth="1"/>
    <col min="10730" max="10730" width="13.54296875" style="23" customWidth="1"/>
    <col min="10731" max="10743" width="11.54296875" style="23" customWidth="1"/>
    <col min="10744" max="10744" width="0" style="23" hidden="1" customWidth="1"/>
    <col min="10745" max="10745" width="14.1796875" style="23" bestFit="1" customWidth="1"/>
    <col min="10746" max="10746" width="14.90625" style="23" bestFit="1" customWidth="1"/>
    <col min="10747" max="10983" width="8.26953125" style="23"/>
    <col min="10984" max="10984" width="14.453125" style="23" customWidth="1"/>
    <col min="10985" max="10985" width="6.36328125" style="23" customWidth="1"/>
    <col min="10986" max="10986" width="13.54296875" style="23" customWidth="1"/>
    <col min="10987" max="10999" width="11.54296875" style="23" customWidth="1"/>
    <col min="11000" max="11000" width="0" style="23" hidden="1" customWidth="1"/>
    <col min="11001" max="11001" width="14.1796875" style="23" bestFit="1" customWidth="1"/>
    <col min="11002" max="11002" width="14.90625" style="23" bestFit="1" customWidth="1"/>
    <col min="11003" max="11239" width="8.26953125" style="23"/>
    <col min="11240" max="11240" width="14.453125" style="23" customWidth="1"/>
    <col min="11241" max="11241" width="6.36328125" style="23" customWidth="1"/>
    <col min="11242" max="11242" width="13.54296875" style="23" customWidth="1"/>
    <col min="11243" max="11255" width="11.54296875" style="23" customWidth="1"/>
    <col min="11256" max="11256" width="0" style="23" hidden="1" customWidth="1"/>
    <col min="11257" max="11257" width="14.1796875" style="23" bestFit="1" customWidth="1"/>
    <col min="11258" max="11258" width="14.90625" style="23" bestFit="1" customWidth="1"/>
    <col min="11259" max="11495" width="8.26953125" style="23"/>
    <col min="11496" max="11496" width="14.453125" style="23" customWidth="1"/>
    <col min="11497" max="11497" width="6.36328125" style="23" customWidth="1"/>
    <col min="11498" max="11498" width="13.54296875" style="23" customWidth="1"/>
    <col min="11499" max="11511" width="11.54296875" style="23" customWidth="1"/>
    <col min="11512" max="11512" width="0" style="23" hidden="1" customWidth="1"/>
    <col min="11513" max="11513" width="14.1796875" style="23" bestFit="1" customWidth="1"/>
    <col min="11514" max="11514" width="14.90625" style="23" bestFit="1" customWidth="1"/>
    <col min="11515" max="11751" width="8.26953125" style="23"/>
    <col min="11752" max="11752" width="14.453125" style="23" customWidth="1"/>
    <col min="11753" max="11753" width="6.36328125" style="23" customWidth="1"/>
    <col min="11754" max="11754" width="13.54296875" style="23" customWidth="1"/>
    <col min="11755" max="11767" width="11.54296875" style="23" customWidth="1"/>
    <col min="11768" max="11768" width="0" style="23" hidden="1" customWidth="1"/>
    <col min="11769" max="11769" width="14.1796875" style="23" bestFit="1" customWidth="1"/>
    <col min="11770" max="11770" width="14.90625" style="23" bestFit="1" customWidth="1"/>
    <col min="11771" max="12007" width="8.26953125" style="23"/>
    <col min="12008" max="12008" width="14.453125" style="23" customWidth="1"/>
    <col min="12009" max="12009" width="6.36328125" style="23" customWidth="1"/>
    <col min="12010" max="12010" width="13.54296875" style="23" customWidth="1"/>
    <col min="12011" max="12023" width="11.54296875" style="23" customWidth="1"/>
    <col min="12024" max="12024" width="0" style="23" hidden="1" customWidth="1"/>
    <col min="12025" max="12025" width="14.1796875" style="23" bestFit="1" customWidth="1"/>
    <col min="12026" max="12026" width="14.90625" style="23" bestFit="1" customWidth="1"/>
    <col min="12027" max="12263" width="8.26953125" style="23"/>
    <col min="12264" max="12264" width="14.453125" style="23" customWidth="1"/>
    <col min="12265" max="12265" width="6.36328125" style="23" customWidth="1"/>
    <col min="12266" max="12266" width="13.54296875" style="23" customWidth="1"/>
    <col min="12267" max="12279" width="11.54296875" style="23" customWidth="1"/>
    <col min="12280" max="12280" width="0" style="23" hidden="1" customWidth="1"/>
    <col min="12281" max="12281" width="14.1796875" style="23" bestFit="1" customWidth="1"/>
    <col min="12282" max="12282" width="14.90625" style="23" bestFit="1" customWidth="1"/>
    <col min="12283" max="12519" width="8.26953125" style="23"/>
    <col min="12520" max="12520" width="14.453125" style="23" customWidth="1"/>
    <col min="12521" max="12521" width="6.36328125" style="23" customWidth="1"/>
    <col min="12522" max="12522" width="13.54296875" style="23" customWidth="1"/>
    <col min="12523" max="12535" width="11.54296875" style="23" customWidth="1"/>
    <col min="12536" max="12536" width="0" style="23" hidden="1" customWidth="1"/>
    <col min="12537" max="12537" width="14.1796875" style="23" bestFit="1" customWidth="1"/>
    <col min="12538" max="12538" width="14.90625" style="23" bestFit="1" customWidth="1"/>
    <col min="12539" max="12775" width="8.26953125" style="23"/>
    <col min="12776" max="12776" width="14.453125" style="23" customWidth="1"/>
    <col min="12777" max="12777" width="6.36328125" style="23" customWidth="1"/>
    <col min="12778" max="12778" width="13.54296875" style="23" customWidth="1"/>
    <col min="12779" max="12791" width="11.54296875" style="23" customWidth="1"/>
    <col min="12792" max="12792" width="0" style="23" hidden="1" customWidth="1"/>
    <col min="12793" max="12793" width="14.1796875" style="23" bestFit="1" customWidth="1"/>
    <col min="12794" max="12794" width="14.90625" style="23" bestFit="1" customWidth="1"/>
    <col min="12795" max="13031" width="8.26953125" style="23"/>
    <col min="13032" max="13032" width="14.453125" style="23" customWidth="1"/>
    <col min="13033" max="13033" width="6.36328125" style="23" customWidth="1"/>
    <col min="13034" max="13034" width="13.54296875" style="23" customWidth="1"/>
    <col min="13035" max="13047" width="11.54296875" style="23" customWidth="1"/>
    <col min="13048" max="13048" width="0" style="23" hidden="1" customWidth="1"/>
    <col min="13049" max="13049" width="14.1796875" style="23" bestFit="1" customWidth="1"/>
    <col min="13050" max="13050" width="14.90625" style="23" bestFit="1" customWidth="1"/>
    <col min="13051" max="13287" width="8.26953125" style="23"/>
    <col min="13288" max="13288" width="14.453125" style="23" customWidth="1"/>
    <col min="13289" max="13289" width="6.36328125" style="23" customWidth="1"/>
    <col min="13290" max="13290" width="13.54296875" style="23" customWidth="1"/>
    <col min="13291" max="13303" width="11.54296875" style="23" customWidth="1"/>
    <col min="13304" max="13304" width="0" style="23" hidden="1" customWidth="1"/>
    <col min="13305" max="13305" width="14.1796875" style="23" bestFit="1" customWidth="1"/>
    <col min="13306" max="13306" width="14.90625" style="23" bestFit="1" customWidth="1"/>
    <col min="13307" max="13543" width="8.26953125" style="23"/>
    <col min="13544" max="13544" width="14.453125" style="23" customWidth="1"/>
    <col min="13545" max="13545" width="6.36328125" style="23" customWidth="1"/>
    <col min="13546" max="13546" width="13.54296875" style="23" customWidth="1"/>
    <col min="13547" max="13559" width="11.54296875" style="23" customWidth="1"/>
    <col min="13560" max="13560" width="0" style="23" hidden="1" customWidth="1"/>
    <col min="13561" max="13561" width="14.1796875" style="23" bestFit="1" customWidth="1"/>
    <col min="13562" max="13562" width="14.90625" style="23" bestFit="1" customWidth="1"/>
    <col min="13563" max="13799" width="8.26953125" style="23"/>
    <col min="13800" max="13800" width="14.453125" style="23" customWidth="1"/>
    <col min="13801" max="13801" width="6.36328125" style="23" customWidth="1"/>
    <col min="13802" max="13802" width="13.54296875" style="23" customWidth="1"/>
    <col min="13803" max="13815" width="11.54296875" style="23" customWidth="1"/>
    <col min="13816" max="13816" width="0" style="23" hidden="1" customWidth="1"/>
    <col min="13817" max="13817" width="14.1796875" style="23" bestFit="1" customWidth="1"/>
    <col min="13818" max="13818" width="14.90625" style="23" bestFit="1" customWidth="1"/>
    <col min="13819" max="14055" width="8.26953125" style="23"/>
    <col min="14056" max="14056" width="14.453125" style="23" customWidth="1"/>
    <col min="14057" max="14057" width="6.36328125" style="23" customWidth="1"/>
    <col min="14058" max="14058" width="13.54296875" style="23" customWidth="1"/>
    <col min="14059" max="14071" width="11.54296875" style="23" customWidth="1"/>
    <col min="14072" max="14072" width="0" style="23" hidden="1" customWidth="1"/>
    <col min="14073" max="14073" width="14.1796875" style="23" bestFit="1" customWidth="1"/>
    <col min="14074" max="14074" width="14.90625" style="23" bestFit="1" customWidth="1"/>
    <col min="14075" max="14311" width="8.26953125" style="23"/>
    <col min="14312" max="14312" width="14.453125" style="23" customWidth="1"/>
    <col min="14313" max="14313" width="6.36328125" style="23" customWidth="1"/>
    <col min="14314" max="14314" width="13.54296875" style="23" customWidth="1"/>
    <col min="14315" max="14327" width="11.54296875" style="23" customWidth="1"/>
    <col min="14328" max="14328" width="0" style="23" hidden="1" customWidth="1"/>
    <col min="14329" max="14329" width="14.1796875" style="23" bestFit="1" customWidth="1"/>
    <col min="14330" max="14330" width="14.90625" style="23" bestFit="1" customWidth="1"/>
    <col min="14331" max="14567" width="8.26953125" style="23"/>
    <col min="14568" max="14568" width="14.453125" style="23" customWidth="1"/>
    <col min="14569" max="14569" width="6.36328125" style="23" customWidth="1"/>
    <col min="14570" max="14570" width="13.54296875" style="23" customWidth="1"/>
    <col min="14571" max="14583" width="11.54296875" style="23" customWidth="1"/>
    <col min="14584" max="14584" width="0" style="23" hidden="1" customWidth="1"/>
    <col min="14585" max="14585" width="14.1796875" style="23" bestFit="1" customWidth="1"/>
    <col min="14586" max="14586" width="14.90625" style="23" bestFit="1" customWidth="1"/>
    <col min="14587" max="14823" width="8.26953125" style="23"/>
    <col min="14824" max="14824" width="14.453125" style="23" customWidth="1"/>
    <col min="14825" max="14825" width="6.36328125" style="23" customWidth="1"/>
    <col min="14826" max="14826" width="13.54296875" style="23" customWidth="1"/>
    <col min="14827" max="14839" width="11.54296875" style="23" customWidth="1"/>
    <col min="14840" max="14840" width="0" style="23" hidden="1" customWidth="1"/>
    <col min="14841" max="14841" width="14.1796875" style="23" bestFit="1" customWidth="1"/>
    <col min="14842" max="14842" width="14.90625" style="23" bestFit="1" customWidth="1"/>
    <col min="14843" max="15079" width="8.26953125" style="23"/>
    <col min="15080" max="15080" width="14.453125" style="23" customWidth="1"/>
    <col min="15081" max="15081" width="6.36328125" style="23" customWidth="1"/>
    <col min="15082" max="15082" width="13.54296875" style="23" customWidth="1"/>
    <col min="15083" max="15095" width="11.54296875" style="23" customWidth="1"/>
    <col min="15096" max="15096" width="0" style="23" hidden="1" customWidth="1"/>
    <col min="15097" max="15097" width="14.1796875" style="23" bestFit="1" customWidth="1"/>
    <col min="15098" max="15098" width="14.90625" style="23" bestFit="1" customWidth="1"/>
    <col min="15099" max="15335" width="8.26953125" style="23"/>
    <col min="15336" max="15336" width="14.453125" style="23" customWidth="1"/>
    <col min="15337" max="15337" width="6.36328125" style="23" customWidth="1"/>
    <col min="15338" max="15338" width="13.54296875" style="23" customWidth="1"/>
    <col min="15339" max="15351" width="11.54296875" style="23" customWidth="1"/>
    <col min="15352" max="15352" width="0" style="23" hidden="1" customWidth="1"/>
    <col min="15353" max="15353" width="14.1796875" style="23" bestFit="1" customWidth="1"/>
    <col min="15354" max="15354" width="14.90625" style="23" bestFit="1" customWidth="1"/>
    <col min="15355" max="15591" width="8.26953125" style="23"/>
    <col min="15592" max="15592" width="14.453125" style="23" customWidth="1"/>
    <col min="15593" max="15593" width="6.36328125" style="23" customWidth="1"/>
    <col min="15594" max="15594" width="13.54296875" style="23" customWidth="1"/>
    <col min="15595" max="15607" width="11.54296875" style="23" customWidth="1"/>
    <col min="15608" max="15608" width="0" style="23" hidden="1" customWidth="1"/>
    <col min="15609" max="15609" width="14.1796875" style="23" bestFit="1" customWidth="1"/>
    <col min="15610" max="15610" width="14.90625" style="23" bestFit="1" customWidth="1"/>
    <col min="15611" max="15847" width="8.26953125" style="23"/>
    <col min="15848" max="15848" width="14.453125" style="23" customWidth="1"/>
    <col min="15849" max="15849" width="6.36328125" style="23" customWidth="1"/>
    <col min="15850" max="15850" width="13.54296875" style="23" customWidth="1"/>
    <col min="15851" max="15863" width="11.54296875" style="23" customWidth="1"/>
    <col min="15864" max="15864" width="0" style="23" hidden="1" customWidth="1"/>
    <col min="15865" max="15865" width="14.1796875" style="23" bestFit="1" customWidth="1"/>
    <col min="15866" max="15866" width="14.90625" style="23" bestFit="1" customWidth="1"/>
    <col min="15867" max="16103" width="8.26953125" style="23"/>
    <col min="16104" max="16104" width="14.453125" style="23" customWidth="1"/>
    <col min="16105" max="16105" width="6.36328125" style="23" customWidth="1"/>
    <col min="16106" max="16106" width="13.54296875" style="23" customWidth="1"/>
    <col min="16107" max="16119" width="11.54296875" style="23" customWidth="1"/>
    <col min="16120" max="16120" width="0" style="23" hidden="1" customWidth="1"/>
    <col min="16121" max="16121" width="14.1796875" style="23" bestFit="1" customWidth="1"/>
    <col min="16122" max="16122" width="14.90625" style="23" bestFit="1" customWidth="1"/>
    <col min="16123" max="16384" width="8.26953125" style="23"/>
  </cols>
  <sheetData>
    <row r="1" spans="1:18" s="28" customFormat="1" ht="17.5" thickBot="1" x14ac:dyDescent="0.4">
      <c r="A1" s="24" t="s">
        <v>0</v>
      </c>
      <c r="B1" s="25" t="s">
        <v>710</v>
      </c>
      <c r="C1" s="25" t="s">
        <v>1</v>
      </c>
      <c r="D1" s="25" t="s">
        <v>2</v>
      </c>
      <c r="E1" s="25" t="s">
        <v>3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7" t="s">
        <v>693</v>
      </c>
    </row>
    <row r="2" spans="1:18" s="6" customFormat="1" ht="17.5" thickBot="1" x14ac:dyDescent="0.65">
      <c r="A2" s="29" t="s">
        <v>18</v>
      </c>
      <c r="B2" s="29" t="s">
        <v>26</v>
      </c>
      <c r="C2" s="29" t="s">
        <v>27</v>
      </c>
      <c r="D2" s="30" t="s">
        <v>718</v>
      </c>
      <c r="E2" s="31" t="s">
        <v>695</v>
      </c>
      <c r="F2" s="32">
        <v>850</v>
      </c>
      <c r="G2" s="32">
        <v>990</v>
      </c>
      <c r="H2" s="32">
        <v>1030</v>
      </c>
      <c r="I2" s="32">
        <v>680</v>
      </c>
      <c r="J2" s="32">
        <v>850</v>
      </c>
      <c r="K2" s="32">
        <v>990</v>
      </c>
      <c r="L2" s="32">
        <v>1000</v>
      </c>
      <c r="M2" s="32">
        <v>860</v>
      </c>
      <c r="N2" s="32">
        <v>0</v>
      </c>
      <c r="O2" s="32">
        <v>0</v>
      </c>
      <c r="P2" s="32">
        <v>0</v>
      </c>
      <c r="Q2" s="32">
        <v>0</v>
      </c>
      <c r="R2" s="13">
        <v>7250</v>
      </c>
    </row>
    <row r="3" spans="1:18" s="6" customFormat="1" ht="17.5" thickBot="1" x14ac:dyDescent="0.65">
      <c r="A3" s="29" t="s">
        <v>18</v>
      </c>
      <c r="B3" s="29" t="s">
        <v>22</v>
      </c>
      <c r="C3" s="29" t="s">
        <v>23</v>
      </c>
      <c r="D3" s="30" t="s">
        <v>24</v>
      </c>
      <c r="E3" s="31" t="s">
        <v>695</v>
      </c>
      <c r="F3" s="32">
        <v>1675</v>
      </c>
      <c r="G3" s="32">
        <v>1907</v>
      </c>
      <c r="H3" s="32">
        <v>2085</v>
      </c>
      <c r="I3" s="32">
        <v>1365</v>
      </c>
      <c r="J3" s="32">
        <v>1620</v>
      </c>
      <c r="K3" s="32">
        <v>1790</v>
      </c>
      <c r="L3" s="32">
        <v>1910</v>
      </c>
      <c r="M3" s="32">
        <v>1670</v>
      </c>
      <c r="N3" s="32">
        <v>0</v>
      </c>
      <c r="O3" s="32">
        <v>0</v>
      </c>
      <c r="P3" s="32">
        <v>0</v>
      </c>
      <c r="Q3" s="32">
        <v>0</v>
      </c>
      <c r="R3" s="13">
        <v>14022</v>
      </c>
    </row>
    <row r="4" spans="1:18" s="6" customFormat="1" ht="17.5" thickBot="1" x14ac:dyDescent="0.65">
      <c r="A4" s="29" t="s">
        <v>18</v>
      </c>
      <c r="B4" s="29" t="s">
        <v>19</v>
      </c>
      <c r="C4" s="29" t="s">
        <v>20</v>
      </c>
      <c r="D4" s="30" t="s">
        <v>719</v>
      </c>
      <c r="E4" s="31" t="s">
        <v>695</v>
      </c>
      <c r="F4" s="32">
        <v>2433</v>
      </c>
      <c r="G4" s="32">
        <v>2750</v>
      </c>
      <c r="H4" s="32">
        <v>3065</v>
      </c>
      <c r="I4" s="32">
        <v>2015</v>
      </c>
      <c r="J4" s="32">
        <v>2470</v>
      </c>
      <c r="K4" s="32">
        <v>2770</v>
      </c>
      <c r="L4" s="32">
        <v>2800</v>
      </c>
      <c r="M4" s="32">
        <v>2480</v>
      </c>
      <c r="N4" s="32">
        <v>0</v>
      </c>
      <c r="O4" s="32">
        <v>0</v>
      </c>
      <c r="P4" s="32">
        <v>0</v>
      </c>
      <c r="Q4" s="32">
        <v>0</v>
      </c>
      <c r="R4" s="13">
        <v>20783</v>
      </c>
    </row>
    <row r="5" spans="1:18" s="6" customFormat="1" ht="17.5" thickBot="1" x14ac:dyDescent="0.65">
      <c r="A5" s="29" t="s">
        <v>18</v>
      </c>
      <c r="B5" s="29" t="s">
        <v>29</v>
      </c>
      <c r="C5" s="29" t="s">
        <v>30</v>
      </c>
      <c r="D5" s="30" t="s">
        <v>31</v>
      </c>
      <c r="E5" s="31" t="s">
        <v>694</v>
      </c>
      <c r="F5" s="32">
        <v>1000</v>
      </c>
      <c r="G5" s="32">
        <v>1000</v>
      </c>
      <c r="H5" s="32">
        <v>1000</v>
      </c>
      <c r="I5" s="32">
        <v>1000</v>
      </c>
      <c r="J5" s="32">
        <v>1000</v>
      </c>
      <c r="K5" s="32">
        <v>1000</v>
      </c>
      <c r="L5" s="32">
        <v>1000</v>
      </c>
      <c r="M5" s="32">
        <v>1000</v>
      </c>
      <c r="N5" s="32">
        <v>0</v>
      </c>
      <c r="O5" s="32">
        <v>0</v>
      </c>
      <c r="P5" s="32">
        <v>0</v>
      </c>
      <c r="Q5" s="32">
        <v>0</v>
      </c>
      <c r="R5" s="13">
        <v>8000</v>
      </c>
    </row>
    <row r="6" spans="1:18" ht="17.5" thickBot="1" x14ac:dyDescent="0.65">
      <c r="A6" s="33" t="s">
        <v>129</v>
      </c>
      <c r="B6" s="29" t="s">
        <v>132</v>
      </c>
      <c r="C6" s="29" t="s">
        <v>133</v>
      </c>
      <c r="D6" s="34" t="s">
        <v>134</v>
      </c>
      <c r="E6" s="31" t="s">
        <v>694</v>
      </c>
      <c r="F6" s="32">
        <v>1000</v>
      </c>
      <c r="G6" s="32">
        <v>1000</v>
      </c>
      <c r="H6" s="32">
        <v>1050</v>
      </c>
      <c r="I6" s="32">
        <v>600</v>
      </c>
      <c r="J6" s="32">
        <v>950</v>
      </c>
      <c r="K6" s="32">
        <v>950</v>
      </c>
      <c r="L6" s="32">
        <v>950</v>
      </c>
      <c r="M6" s="32">
        <v>950</v>
      </c>
      <c r="N6" s="32">
        <v>0</v>
      </c>
      <c r="O6" s="32">
        <v>0</v>
      </c>
      <c r="P6" s="32">
        <v>0</v>
      </c>
      <c r="Q6" s="32">
        <v>0</v>
      </c>
      <c r="R6" s="13">
        <v>7450</v>
      </c>
    </row>
    <row r="7" spans="1:18" ht="17.5" thickBot="1" x14ac:dyDescent="0.65">
      <c r="A7" s="33" t="s">
        <v>129</v>
      </c>
      <c r="B7" s="29" t="s">
        <v>126</v>
      </c>
      <c r="C7" s="29" t="s">
        <v>130</v>
      </c>
      <c r="D7" s="34" t="s">
        <v>131</v>
      </c>
      <c r="E7" s="31" t="s">
        <v>694</v>
      </c>
      <c r="F7" s="32">
        <v>1250</v>
      </c>
      <c r="G7" s="32">
        <v>1250</v>
      </c>
      <c r="H7" s="32">
        <v>1250</v>
      </c>
      <c r="I7" s="32">
        <v>900</v>
      </c>
      <c r="J7" s="32">
        <v>1300</v>
      </c>
      <c r="K7" s="32">
        <v>1300</v>
      </c>
      <c r="L7" s="32">
        <v>1250</v>
      </c>
      <c r="M7" s="32">
        <v>1250</v>
      </c>
      <c r="N7" s="32">
        <v>0</v>
      </c>
      <c r="O7" s="32">
        <v>0</v>
      </c>
      <c r="P7" s="32">
        <v>0</v>
      </c>
      <c r="Q7" s="32">
        <v>0</v>
      </c>
      <c r="R7" s="13">
        <v>9750</v>
      </c>
    </row>
    <row r="8" spans="1:18" ht="17.5" thickBot="1" x14ac:dyDescent="0.65">
      <c r="A8" s="33" t="s">
        <v>129</v>
      </c>
      <c r="B8" s="29" t="s">
        <v>135</v>
      </c>
      <c r="C8" s="29" t="s">
        <v>140</v>
      </c>
      <c r="D8" s="34" t="s">
        <v>141</v>
      </c>
      <c r="E8" s="31" t="s">
        <v>694</v>
      </c>
      <c r="F8" s="32">
        <v>700</v>
      </c>
      <c r="G8" s="32">
        <v>700</v>
      </c>
      <c r="H8" s="32">
        <v>800</v>
      </c>
      <c r="I8" s="32">
        <v>400</v>
      </c>
      <c r="J8" s="32">
        <v>700</v>
      </c>
      <c r="K8" s="32">
        <v>700</v>
      </c>
      <c r="L8" s="32">
        <v>700</v>
      </c>
      <c r="M8" s="32">
        <v>700</v>
      </c>
      <c r="N8" s="32">
        <v>0</v>
      </c>
      <c r="O8" s="32">
        <v>0</v>
      </c>
      <c r="P8" s="32">
        <v>0</v>
      </c>
      <c r="Q8" s="32">
        <v>0</v>
      </c>
      <c r="R8" s="13">
        <v>5400</v>
      </c>
    </row>
    <row r="9" spans="1:18" ht="17.5" thickBot="1" x14ac:dyDescent="0.65">
      <c r="A9" s="33" t="s">
        <v>129</v>
      </c>
      <c r="B9" s="29" t="s">
        <v>135</v>
      </c>
      <c r="C9" s="29" t="s">
        <v>136</v>
      </c>
      <c r="D9" s="34" t="s">
        <v>137</v>
      </c>
      <c r="E9" s="31" t="s">
        <v>694</v>
      </c>
      <c r="F9" s="32">
        <v>1400</v>
      </c>
      <c r="G9" s="32">
        <v>1400</v>
      </c>
      <c r="H9" s="32">
        <v>1150</v>
      </c>
      <c r="I9" s="32">
        <v>700</v>
      </c>
      <c r="J9" s="32">
        <v>1050</v>
      </c>
      <c r="K9" s="32">
        <v>1050</v>
      </c>
      <c r="L9" s="32">
        <v>1050</v>
      </c>
      <c r="M9" s="32">
        <v>1050</v>
      </c>
      <c r="N9" s="32">
        <v>0</v>
      </c>
      <c r="O9" s="32">
        <v>0</v>
      </c>
      <c r="P9" s="32">
        <v>0</v>
      </c>
      <c r="Q9" s="32">
        <v>0</v>
      </c>
      <c r="R9" s="13">
        <v>8850</v>
      </c>
    </row>
    <row r="10" spans="1:18" ht="17.5" thickBot="1" x14ac:dyDescent="0.65">
      <c r="A10" s="33" t="s">
        <v>129</v>
      </c>
      <c r="B10" s="29" t="s">
        <v>142</v>
      </c>
      <c r="C10" s="29" t="s">
        <v>143</v>
      </c>
      <c r="D10" s="34" t="s">
        <v>144</v>
      </c>
      <c r="E10" s="31" t="s">
        <v>694</v>
      </c>
      <c r="F10" s="32">
        <v>300</v>
      </c>
      <c r="G10" s="32">
        <v>300</v>
      </c>
      <c r="H10" s="32">
        <v>350</v>
      </c>
      <c r="I10" s="32">
        <v>200</v>
      </c>
      <c r="J10" s="32">
        <v>300</v>
      </c>
      <c r="K10" s="32">
        <v>300</v>
      </c>
      <c r="L10" s="32">
        <v>300</v>
      </c>
      <c r="M10" s="32">
        <v>300</v>
      </c>
      <c r="N10" s="32">
        <v>0</v>
      </c>
      <c r="O10" s="32">
        <v>0</v>
      </c>
      <c r="P10" s="32">
        <v>0</v>
      </c>
      <c r="Q10" s="32">
        <v>0</v>
      </c>
      <c r="R10" s="13">
        <v>2350</v>
      </c>
    </row>
    <row r="11" spans="1:18" ht="17.5" thickBot="1" x14ac:dyDescent="0.65">
      <c r="A11" s="33" t="s">
        <v>129</v>
      </c>
      <c r="B11" s="29" t="s">
        <v>142</v>
      </c>
      <c r="C11" s="29" t="s">
        <v>145</v>
      </c>
      <c r="D11" s="34" t="s">
        <v>146</v>
      </c>
      <c r="E11" s="31" t="s">
        <v>694</v>
      </c>
      <c r="F11" s="32">
        <v>1500</v>
      </c>
      <c r="G11" s="32">
        <v>1450</v>
      </c>
      <c r="H11" s="32">
        <v>1600</v>
      </c>
      <c r="I11" s="32">
        <v>1100</v>
      </c>
      <c r="J11" s="32">
        <v>1500</v>
      </c>
      <c r="K11" s="32">
        <v>1500</v>
      </c>
      <c r="L11" s="32">
        <v>1500</v>
      </c>
      <c r="M11" s="32">
        <v>1450</v>
      </c>
      <c r="N11" s="32">
        <v>0</v>
      </c>
      <c r="O11" s="32">
        <v>0</v>
      </c>
      <c r="P11" s="32">
        <v>0</v>
      </c>
      <c r="Q11" s="32">
        <v>0</v>
      </c>
      <c r="R11" s="13">
        <v>11600</v>
      </c>
    </row>
    <row r="12" spans="1:18" ht="17.5" thickBot="1" x14ac:dyDescent="0.65">
      <c r="A12" s="33" t="s">
        <v>129</v>
      </c>
      <c r="B12" s="29" t="s">
        <v>142</v>
      </c>
      <c r="C12" s="29" t="s">
        <v>147</v>
      </c>
      <c r="D12" s="34" t="s">
        <v>696</v>
      </c>
      <c r="E12" s="31" t="s">
        <v>694</v>
      </c>
      <c r="F12" s="32">
        <v>700</v>
      </c>
      <c r="G12" s="32">
        <v>700</v>
      </c>
      <c r="H12" s="32">
        <v>800</v>
      </c>
      <c r="I12" s="32">
        <v>500</v>
      </c>
      <c r="J12" s="32">
        <v>700</v>
      </c>
      <c r="K12" s="32">
        <v>700</v>
      </c>
      <c r="L12" s="32">
        <v>700</v>
      </c>
      <c r="M12" s="32">
        <v>700</v>
      </c>
      <c r="N12" s="32">
        <v>0</v>
      </c>
      <c r="O12" s="32">
        <v>0</v>
      </c>
      <c r="P12" s="32">
        <v>0</v>
      </c>
      <c r="Q12" s="32">
        <v>0</v>
      </c>
      <c r="R12" s="13">
        <v>5500</v>
      </c>
    </row>
    <row r="13" spans="1:18" ht="17.5" thickBot="1" x14ac:dyDescent="0.65">
      <c r="A13" s="33" t="s">
        <v>129</v>
      </c>
      <c r="B13" s="29" t="s">
        <v>142</v>
      </c>
      <c r="C13" s="29" t="s">
        <v>149</v>
      </c>
      <c r="D13" s="34" t="s">
        <v>150</v>
      </c>
      <c r="E13" s="31" t="s">
        <v>694</v>
      </c>
      <c r="F13" s="32">
        <v>1200</v>
      </c>
      <c r="G13" s="32">
        <v>1200</v>
      </c>
      <c r="H13" s="32">
        <v>1300</v>
      </c>
      <c r="I13" s="32">
        <v>800</v>
      </c>
      <c r="J13" s="32">
        <v>1200</v>
      </c>
      <c r="K13" s="32">
        <v>1200</v>
      </c>
      <c r="L13" s="32">
        <v>1200</v>
      </c>
      <c r="M13" s="32">
        <v>1200</v>
      </c>
      <c r="N13" s="32">
        <v>0</v>
      </c>
      <c r="O13" s="32">
        <v>0</v>
      </c>
      <c r="P13" s="32">
        <v>0</v>
      </c>
      <c r="Q13" s="32">
        <v>0</v>
      </c>
      <c r="R13" s="13">
        <v>9300</v>
      </c>
    </row>
    <row r="14" spans="1:18" ht="17.5" thickBot="1" x14ac:dyDescent="0.65">
      <c r="A14" s="33" t="s">
        <v>129</v>
      </c>
      <c r="B14" s="29" t="s">
        <v>135</v>
      </c>
      <c r="C14" s="29" t="s">
        <v>138</v>
      </c>
      <c r="D14" s="34" t="s">
        <v>139</v>
      </c>
      <c r="E14" s="31" t="s">
        <v>694</v>
      </c>
      <c r="F14" s="32">
        <v>700</v>
      </c>
      <c r="G14" s="32">
        <v>700</v>
      </c>
      <c r="H14" s="32">
        <v>800</v>
      </c>
      <c r="I14" s="32">
        <v>500</v>
      </c>
      <c r="J14" s="32">
        <v>700</v>
      </c>
      <c r="K14" s="32">
        <v>700</v>
      </c>
      <c r="L14" s="32">
        <v>700</v>
      </c>
      <c r="M14" s="32">
        <v>700</v>
      </c>
      <c r="N14" s="32">
        <v>0</v>
      </c>
      <c r="O14" s="32">
        <v>0</v>
      </c>
      <c r="P14" s="32">
        <v>0</v>
      </c>
      <c r="Q14" s="32">
        <v>0</v>
      </c>
      <c r="R14" s="13">
        <v>5500</v>
      </c>
    </row>
    <row r="15" spans="1:18" ht="17.5" thickBot="1" x14ac:dyDescent="0.65">
      <c r="A15" s="33" t="s">
        <v>129</v>
      </c>
      <c r="B15" s="29" t="s">
        <v>142</v>
      </c>
      <c r="C15" s="29" t="s">
        <v>151</v>
      </c>
      <c r="D15" s="34" t="s">
        <v>697</v>
      </c>
      <c r="E15" s="31" t="s">
        <v>694</v>
      </c>
      <c r="F15" s="32">
        <v>600</v>
      </c>
      <c r="G15" s="32">
        <v>600</v>
      </c>
      <c r="H15" s="32">
        <v>700</v>
      </c>
      <c r="I15" s="32">
        <v>400</v>
      </c>
      <c r="J15" s="32">
        <v>600</v>
      </c>
      <c r="K15" s="32">
        <v>600</v>
      </c>
      <c r="L15" s="32">
        <v>600</v>
      </c>
      <c r="M15" s="32">
        <v>600</v>
      </c>
      <c r="N15" s="32">
        <v>0</v>
      </c>
      <c r="O15" s="32">
        <v>0</v>
      </c>
      <c r="P15" s="32">
        <v>0</v>
      </c>
      <c r="Q15" s="32">
        <v>0</v>
      </c>
      <c r="R15" s="13">
        <v>4700</v>
      </c>
    </row>
    <row r="16" spans="1:18" ht="17.5" thickBot="1" x14ac:dyDescent="0.65">
      <c r="A16" s="33" t="s">
        <v>129</v>
      </c>
      <c r="B16" s="29" t="s">
        <v>153</v>
      </c>
      <c r="C16" s="29" t="s">
        <v>156</v>
      </c>
      <c r="D16" s="34" t="s">
        <v>720</v>
      </c>
      <c r="E16" s="31" t="s">
        <v>694</v>
      </c>
      <c r="F16" s="32">
        <v>1700</v>
      </c>
      <c r="G16" s="32">
        <v>1700</v>
      </c>
      <c r="H16" s="32">
        <v>2000</v>
      </c>
      <c r="I16" s="32">
        <v>1500</v>
      </c>
      <c r="J16" s="32">
        <v>1900</v>
      </c>
      <c r="K16" s="32">
        <v>1900</v>
      </c>
      <c r="L16" s="32">
        <v>1900</v>
      </c>
      <c r="M16" s="32">
        <v>1900</v>
      </c>
      <c r="N16" s="32">
        <v>0</v>
      </c>
      <c r="O16" s="32">
        <v>0</v>
      </c>
      <c r="P16" s="32">
        <v>0</v>
      </c>
      <c r="Q16" s="32">
        <v>0</v>
      </c>
      <c r="R16" s="13">
        <v>14500</v>
      </c>
    </row>
    <row r="17" spans="1:18" ht="17.5" thickBot="1" x14ac:dyDescent="0.65">
      <c r="A17" s="33" t="s">
        <v>129</v>
      </c>
      <c r="B17" s="29" t="s">
        <v>161</v>
      </c>
      <c r="C17" s="29" t="s">
        <v>162</v>
      </c>
      <c r="D17" s="34" t="s">
        <v>163</v>
      </c>
      <c r="E17" s="31" t="s">
        <v>694</v>
      </c>
      <c r="F17" s="32">
        <v>600</v>
      </c>
      <c r="G17" s="32">
        <v>500</v>
      </c>
      <c r="H17" s="32">
        <v>600</v>
      </c>
      <c r="I17" s="32">
        <v>500</v>
      </c>
      <c r="J17" s="32">
        <v>600</v>
      </c>
      <c r="K17" s="32">
        <v>600</v>
      </c>
      <c r="L17" s="32">
        <v>600</v>
      </c>
      <c r="M17" s="32">
        <v>700</v>
      </c>
      <c r="N17" s="32">
        <v>0</v>
      </c>
      <c r="O17" s="32">
        <v>0</v>
      </c>
      <c r="P17" s="32">
        <v>0</v>
      </c>
      <c r="Q17" s="32">
        <v>0</v>
      </c>
      <c r="R17" s="13">
        <v>4700</v>
      </c>
    </row>
    <row r="18" spans="1:18" ht="17.5" thickBot="1" x14ac:dyDescent="0.65">
      <c r="A18" s="33" t="s">
        <v>129</v>
      </c>
      <c r="B18" s="29" t="s">
        <v>153</v>
      </c>
      <c r="C18" s="29" t="s">
        <v>154</v>
      </c>
      <c r="D18" s="34" t="s">
        <v>155</v>
      </c>
      <c r="E18" s="31" t="s">
        <v>694</v>
      </c>
      <c r="F18" s="32">
        <v>1700</v>
      </c>
      <c r="G18" s="32">
        <v>1700</v>
      </c>
      <c r="H18" s="32">
        <v>1600</v>
      </c>
      <c r="I18" s="32">
        <v>1200</v>
      </c>
      <c r="J18" s="32">
        <v>1500</v>
      </c>
      <c r="K18" s="32">
        <v>1600</v>
      </c>
      <c r="L18" s="32">
        <v>1700</v>
      </c>
      <c r="M18" s="32">
        <v>1700</v>
      </c>
      <c r="N18" s="32">
        <v>0</v>
      </c>
      <c r="O18" s="32">
        <v>0</v>
      </c>
      <c r="P18" s="32">
        <v>0</v>
      </c>
      <c r="Q18" s="32">
        <v>0</v>
      </c>
      <c r="R18" s="13">
        <v>12700</v>
      </c>
    </row>
    <row r="19" spans="1:18" ht="17.5" thickBot="1" x14ac:dyDescent="0.65">
      <c r="A19" s="33" t="s">
        <v>129</v>
      </c>
      <c r="B19" s="29" t="s">
        <v>153</v>
      </c>
      <c r="C19" s="29" t="s">
        <v>157</v>
      </c>
      <c r="D19" s="34" t="s">
        <v>158</v>
      </c>
      <c r="E19" s="31" t="s">
        <v>694</v>
      </c>
      <c r="F19" s="32">
        <v>500</v>
      </c>
      <c r="G19" s="32">
        <v>500</v>
      </c>
      <c r="H19" s="32">
        <v>500</v>
      </c>
      <c r="I19" s="32">
        <v>500</v>
      </c>
      <c r="J19" s="32">
        <v>500</v>
      </c>
      <c r="K19" s="32">
        <v>500</v>
      </c>
      <c r="L19" s="32">
        <v>500</v>
      </c>
      <c r="M19" s="32">
        <v>500</v>
      </c>
      <c r="N19" s="32">
        <v>0</v>
      </c>
      <c r="O19" s="32">
        <v>0</v>
      </c>
      <c r="P19" s="32">
        <v>0</v>
      </c>
      <c r="Q19" s="32">
        <v>0</v>
      </c>
      <c r="R19" s="13">
        <v>4000</v>
      </c>
    </row>
    <row r="20" spans="1:18" ht="17.5" thickBot="1" x14ac:dyDescent="0.65">
      <c r="A20" s="33" t="s">
        <v>129</v>
      </c>
      <c r="B20" s="29" t="s">
        <v>153</v>
      </c>
      <c r="C20" s="29" t="s">
        <v>159</v>
      </c>
      <c r="D20" s="34" t="s">
        <v>160</v>
      </c>
      <c r="E20" s="31" t="s">
        <v>694</v>
      </c>
      <c r="F20" s="32">
        <v>800</v>
      </c>
      <c r="G20" s="32">
        <v>700</v>
      </c>
      <c r="H20" s="32">
        <v>500</v>
      </c>
      <c r="I20" s="32">
        <v>600</v>
      </c>
      <c r="J20" s="32">
        <v>800</v>
      </c>
      <c r="K20" s="32">
        <v>600</v>
      </c>
      <c r="L20" s="32">
        <v>700</v>
      </c>
      <c r="M20" s="32">
        <v>600</v>
      </c>
      <c r="N20" s="32">
        <v>0</v>
      </c>
      <c r="O20" s="32">
        <v>0</v>
      </c>
      <c r="P20" s="32">
        <v>0</v>
      </c>
      <c r="Q20" s="32">
        <v>0</v>
      </c>
      <c r="R20" s="13">
        <v>5300</v>
      </c>
    </row>
    <row r="21" spans="1:18" ht="17.5" thickBot="1" x14ac:dyDescent="0.65">
      <c r="A21" s="33" t="s">
        <v>129</v>
      </c>
      <c r="B21" s="29" t="s">
        <v>164</v>
      </c>
      <c r="C21" s="29" t="s">
        <v>165</v>
      </c>
      <c r="D21" s="34" t="s">
        <v>166</v>
      </c>
      <c r="E21" s="31" t="s">
        <v>694</v>
      </c>
      <c r="F21" s="32">
        <v>1000</v>
      </c>
      <c r="G21" s="32">
        <v>700</v>
      </c>
      <c r="H21" s="32">
        <v>1000</v>
      </c>
      <c r="I21" s="32">
        <v>500</v>
      </c>
      <c r="J21" s="32">
        <v>1000</v>
      </c>
      <c r="K21" s="32">
        <v>700</v>
      </c>
      <c r="L21" s="32">
        <v>1000</v>
      </c>
      <c r="M21" s="32">
        <v>1000</v>
      </c>
      <c r="N21" s="32">
        <v>0</v>
      </c>
      <c r="O21" s="32">
        <v>0</v>
      </c>
      <c r="P21" s="32">
        <v>0</v>
      </c>
      <c r="Q21" s="32">
        <v>0</v>
      </c>
      <c r="R21" s="13">
        <v>6900</v>
      </c>
    </row>
    <row r="22" spans="1:18" ht="17.5" thickBot="1" x14ac:dyDescent="0.65">
      <c r="A22" s="33" t="s">
        <v>129</v>
      </c>
      <c r="B22" s="29" t="s">
        <v>176</v>
      </c>
      <c r="C22" s="29" t="s">
        <v>177</v>
      </c>
      <c r="D22" s="34" t="s">
        <v>178</v>
      </c>
      <c r="E22" s="31" t="s">
        <v>694</v>
      </c>
      <c r="F22" s="32">
        <v>1200</v>
      </c>
      <c r="G22" s="32">
        <v>1100</v>
      </c>
      <c r="H22" s="32">
        <v>1200</v>
      </c>
      <c r="I22" s="32">
        <v>700</v>
      </c>
      <c r="J22" s="32">
        <v>1200</v>
      </c>
      <c r="K22" s="32">
        <v>1200</v>
      </c>
      <c r="L22" s="32">
        <v>1200</v>
      </c>
      <c r="M22" s="32">
        <v>1100</v>
      </c>
      <c r="N22" s="32">
        <v>0</v>
      </c>
      <c r="O22" s="32">
        <v>0</v>
      </c>
      <c r="P22" s="32">
        <v>0</v>
      </c>
      <c r="Q22" s="32">
        <v>0</v>
      </c>
      <c r="R22" s="13">
        <v>8900</v>
      </c>
    </row>
    <row r="23" spans="1:18" ht="17.5" thickBot="1" x14ac:dyDescent="0.65">
      <c r="A23" s="33" t="s">
        <v>129</v>
      </c>
      <c r="B23" s="29" t="s">
        <v>167</v>
      </c>
      <c r="C23" s="29" t="s">
        <v>168</v>
      </c>
      <c r="D23" s="34" t="s">
        <v>169</v>
      </c>
      <c r="E23" s="31" t="s">
        <v>694</v>
      </c>
      <c r="F23" s="32">
        <v>2700</v>
      </c>
      <c r="G23" s="32">
        <v>2600</v>
      </c>
      <c r="H23" s="32">
        <v>2600</v>
      </c>
      <c r="I23" s="32">
        <v>2000</v>
      </c>
      <c r="J23" s="32">
        <v>2700</v>
      </c>
      <c r="K23" s="32">
        <v>2700</v>
      </c>
      <c r="L23" s="32">
        <v>2700</v>
      </c>
      <c r="M23" s="32">
        <v>2700</v>
      </c>
      <c r="N23" s="32">
        <v>0</v>
      </c>
      <c r="O23" s="32">
        <v>0</v>
      </c>
      <c r="P23" s="32">
        <v>0</v>
      </c>
      <c r="Q23" s="32">
        <v>0</v>
      </c>
      <c r="R23" s="13">
        <v>20700</v>
      </c>
    </row>
    <row r="24" spans="1:18" ht="17.5" thickBot="1" x14ac:dyDescent="0.65">
      <c r="A24" s="33" t="s">
        <v>129</v>
      </c>
      <c r="B24" s="29" t="s">
        <v>170</v>
      </c>
      <c r="C24" s="29" t="s">
        <v>171</v>
      </c>
      <c r="D24" s="34" t="s">
        <v>172</v>
      </c>
      <c r="E24" s="31" t="s">
        <v>694</v>
      </c>
      <c r="F24" s="32">
        <v>500</v>
      </c>
      <c r="G24" s="32">
        <v>500</v>
      </c>
      <c r="H24" s="32">
        <v>600</v>
      </c>
      <c r="I24" s="32">
        <v>500</v>
      </c>
      <c r="J24" s="32">
        <v>500</v>
      </c>
      <c r="K24" s="32">
        <v>500</v>
      </c>
      <c r="L24" s="32">
        <v>500</v>
      </c>
      <c r="M24" s="32">
        <v>600</v>
      </c>
      <c r="N24" s="32">
        <v>0</v>
      </c>
      <c r="O24" s="32">
        <v>0</v>
      </c>
      <c r="P24" s="32">
        <v>0</v>
      </c>
      <c r="Q24" s="32">
        <v>0</v>
      </c>
      <c r="R24" s="13">
        <v>4200</v>
      </c>
    </row>
    <row r="25" spans="1:18" ht="17.5" thickBot="1" x14ac:dyDescent="0.65">
      <c r="A25" s="33" t="s">
        <v>129</v>
      </c>
      <c r="B25" s="29" t="s">
        <v>173</v>
      </c>
      <c r="C25" s="29" t="s">
        <v>174</v>
      </c>
      <c r="D25" s="34" t="s">
        <v>175</v>
      </c>
      <c r="E25" s="31" t="s">
        <v>694</v>
      </c>
      <c r="F25" s="32">
        <v>1400</v>
      </c>
      <c r="G25" s="32">
        <v>1300</v>
      </c>
      <c r="H25" s="32">
        <v>1400</v>
      </c>
      <c r="I25" s="32">
        <v>1000</v>
      </c>
      <c r="J25" s="32">
        <v>1400</v>
      </c>
      <c r="K25" s="32">
        <v>1400</v>
      </c>
      <c r="L25" s="32">
        <v>1300</v>
      </c>
      <c r="M25" s="32">
        <v>1300</v>
      </c>
      <c r="N25" s="32">
        <v>0</v>
      </c>
      <c r="O25" s="32">
        <v>0</v>
      </c>
      <c r="P25" s="32">
        <v>0</v>
      </c>
      <c r="Q25" s="32">
        <v>0</v>
      </c>
      <c r="R25" s="13">
        <v>10500</v>
      </c>
    </row>
    <row r="26" spans="1:18" ht="17.5" thickBot="1" x14ac:dyDescent="0.65">
      <c r="A26" s="35" t="s">
        <v>129</v>
      </c>
      <c r="B26" s="36"/>
      <c r="C26" s="36" t="s">
        <v>711</v>
      </c>
      <c r="D26" s="41" t="s">
        <v>712</v>
      </c>
      <c r="E26" s="42" t="s">
        <v>694</v>
      </c>
      <c r="F26" s="32">
        <v>300</v>
      </c>
      <c r="G26" s="32">
        <v>300</v>
      </c>
      <c r="H26" s="32">
        <v>300</v>
      </c>
      <c r="I26" s="32">
        <v>250</v>
      </c>
      <c r="J26" s="32">
        <v>300</v>
      </c>
      <c r="K26" s="32">
        <v>300</v>
      </c>
      <c r="L26" s="32">
        <v>300</v>
      </c>
      <c r="M26" s="32">
        <v>300</v>
      </c>
      <c r="N26" s="32">
        <v>0</v>
      </c>
      <c r="O26" s="32">
        <v>0</v>
      </c>
      <c r="P26" s="32">
        <v>0</v>
      </c>
      <c r="Q26" s="32">
        <v>0</v>
      </c>
      <c r="R26" s="13">
        <v>2350</v>
      </c>
    </row>
    <row r="27" spans="1:18" ht="17.5" thickBot="1" x14ac:dyDescent="0.65">
      <c r="A27" s="33" t="s">
        <v>32</v>
      </c>
      <c r="B27" s="29" t="s">
        <v>126</v>
      </c>
      <c r="C27" s="29" t="s">
        <v>127</v>
      </c>
      <c r="D27" s="33" t="s">
        <v>128</v>
      </c>
      <c r="E27" s="31" t="s">
        <v>694</v>
      </c>
      <c r="F27" s="32">
        <v>750</v>
      </c>
      <c r="G27" s="32">
        <v>850</v>
      </c>
      <c r="H27" s="32">
        <v>960</v>
      </c>
      <c r="I27" s="32">
        <v>700</v>
      </c>
      <c r="J27" s="32">
        <v>690</v>
      </c>
      <c r="K27" s="32">
        <v>960</v>
      </c>
      <c r="L27" s="32">
        <v>960</v>
      </c>
      <c r="M27" s="32">
        <v>1010</v>
      </c>
      <c r="N27" s="32">
        <v>0</v>
      </c>
      <c r="O27" s="32">
        <v>0</v>
      </c>
      <c r="P27" s="32">
        <v>0</v>
      </c>
      <c r="Q27" s="32">
        <v>0</v>
      </c>
      <c r="R27" s="13">
        <v>6880</v>
      </c>
    </row>
    <row r="28" spans="1:18" ht="17.5" thickBot="1" x14ac:dyDescent="0.65">
      <c r="A28" s="33" t="s">
        <v>32</v>
      </c>
      <c r="B28" s="29" t="s">
        <v>47</v>
      </c>
      <c r="C28" s="29" t="s">
        <v>48</v>
      </c>
      <c r="D28" s="33" t="s">
        <v>49</v>
      </c>
      <c r="E28" s="31" t="s">
        <v>694</v>
      </c>
      <c r="F28" s="32">
        <v>1470</v>
      </c>
      <c r="G28" s="32">
        <v>1920</v>
      </c>
      <c r="H28" s="32">
        <v>2150</v>
      </c>
      <c r="I28" s="32">
        <v>1650</v>
      </c>
      <c r="J28" s="32">
        <v>1620</v>
      </c>
      <c r="K28" s="32">
        <v>2150</v>
      </c>
      <c r="L28" s="32">
        <v>2140</v>
      </c>
      <c r="M28" s="32">
        <v>2260</v>
      </c>
      <c r="N28" s="32">
        <v>0</v>
      </c>
      <c r="O28" s="32">
        <v>0</v>
      </c>
      <c r="P28" s="32">
        <v>0</v>
      </c>
      <c r="Q28" s="32">
        <v>0</v>
      </c>
      <c r="R28" s="13">
        <v>15360</v>
      </c>
    </row>
    <row r="29" spans="1:18" ht="17.5" thickBot="1" x14ac:dyDescent="0.65">
      <c r="A29" s="33" t="s">
        <v>32</v>
      </c>
      <c r="B29" s="29" t="s">
        <v>29</v>
      </c>
      <c r="C29" s="29" t="s">
        <v>35</v>
      </c>
      <c r="D29" s="33" t="s">
        <v>36</v>
      </c>
      <c r="E29" s="31" t="s">
        <v>694</v>
      </c>
      <c r="F29" s="32">
        <v>1680</v>
      </c>
      <c r="G29" s="32">
        <v>1910</v>
      </c>
      <c r="H29" s="32">
        <v>2180</v>
      </c>
      <c r="I29" s="32">
        <v>1600</v>
      </c>
      <c r="J29" s="32">
        <v>1560</v>
      </c>
      <c r="K29" s="32">
        <v>2190</v>
      </c>
      <c r="L29" s="32">
        <v>2150</v>
      </c>
      <c r="M29" s="32">
        <v>2320</v>
      </c>
      <c r="N29" s="32">
        <v>0</v>
      </c>
      <c r="O29" s="32">
        <v>0</v>
      </c>
      <c r="P29" s="32">
        <v>0</v>
      </c>
      <c r="Q29" s="32">
        <v>0</v>
      </c>
      <c r="R29" s="13">
        <v>15590</v>
      </c>
    </row>
    <row r="30" spans="1:18" ht="17.5" thickBot="1" x14ac:dyDescent="0.65">
      <c r="A30" s="33" t="s">
        <v>32</v>
      </c>
      <c r="B30" s="29" t="s">
        <v>90</v>
      </c>
      <c r="C30" s="29" t="s">
        <v>91</v>
      </c>
      <c r="D30" s="33" t="s">
        <v>92</v>
      </c>
      <c r="E30" s="31" t="s">
        <v>694</v>
      </c>
      <c r="F30" s="32">
        <v>2210</v>
      </c>
      <c r="G30" s="32">
        <v>2530</v>
      </c>
      <c r="H30" s="32">
        <v>2860</v>
      </c>
      <c r="I30" s="32">
        <v>2110</v>
      </c>
      <c r="J30" s="32">
        <v>2060</v>
      </c>
      <c r="K30" s="32">
        <v>2880</v>
      </c>
      <c r="L30" s="32">
        <v>2830</v>
      </c>
      <c r="M30" s="32">
        <v>3040</v>
      </c>
      <c r="N30" s="32">
        <v>0</v>
      </c>
      <c r="O30" s="32">
        <v>0</v>
      </c>
      <c r="P30" s="32">
        <v>0</v>
      </c>
      <c r="Q30" s="32">
        <v>0</v>
      </c>
      <c r="R30" s="13">
        <v>20520</v>
      </c>
    </row>
    <row r="31" spans="1:18" ht="17.5" thickBot="1" x14ac:dyDescent="0.65">
      <c r="A31" s="33" t="s">
        <v>32</v>
      </c>
      <c r="B31" s="29" t="s">
        <v>29</v>
      </c>
      <c r="C31" s="29" t="s">
        <v>33</v>
      </c>
      <c r="D31" s="33" t="s">
        <v>34</v>
      </c>
      <c r="E31" s="31" t="s">
        <v>694</v>
      </c>
      <c r="F31" s="32">
        <v>1550</v>
      </c>
      <c r="G31" s="32">
        <v>1710</v>
      </c>
      <c r="H31" s="32">
        <v>1910</v>
      </c>
      <c r="I31" s="32">
        <v>1410</v>
      </c>
      <c r="J31" s="32">
        <v>1370</v>
      </c>
      <c r="K31" s="32">
        <v>1930</v>
      </c>
      <c r="L31" s="32">
        <v>1900</v>
      </c>
      <c r="M31" s="32">
        <v>2040</v>
      </c>
      <c r="N31" s="32">
        <v>0</v>
      </c>
      <c r="O31" s="32">
        <v>0</v>
      </c>
      <c r="P31" s="32">
        <v>0</v>
      </c>
      <c r="Q31" s="32">
        <v>0</v>
      </c>
      <c r="R31" s="13">
        <v>13820</v>
      </c>
    </row>
    <row r="32" spans="1:18" ht="17.5" thickBot="1" x14ac:dyDescent="0.65">
      <c r="A32" s="33" t="s">
        <v>32</v>
      </c>
      <c r="B32" s="29" t="s">
        <v>29</v>
      </c>
      <c r="C32" s="29" t="s">
        <v>37</v>
      </c>
      <c r="D32" s="33" t="s">
        <v>38</v>
      </c>
      <c r="E32" s="31" t="s">
        <v>694</v>
      </c>
      <c r="F32" s="32">
        <v>1130</v>
      </c>
      <c r="G32" s="32">
        <v>1190</v>
      </c>
      <c r="H32" s="32">
        <v>1190</v>
      </c>
      <c r="I32" s="32">
        <v>1000</v>
      </c>
      <c r="J32" s="32">
        <v>1330</v>
      </c>
      <c r="K32" s="32">
        <v>1500</v>
      </c>
      <c r="L32" s="32">
        <v>1500</v>
      </c>
      <c r="M32" s="32">
        <v>1500</v>
      </c>
      <c r="N32" s="32">
        <v>0</v>
      </c>
      <c r="O32" s="32">
        <v>0</v>
      </c>
      <c r="P32" s="32">
        <v>0</v>
      </c>
      <c r="Q32" s="32">
        <v>0</v>
      </c>
      <c r="R32" s="13">
        <v>10340</v>
      </c>
    </row>
    <row r="33" spans="1:18" ht="17.5" thickBot="1" x14ac:dyDescent="0.65">
      <c r="A33" s="33" t="s">
        <v>32</v>
      </c>
      <c r="B33" s="29" t="s">
        <v>96</v>
      </c>
      <c r="C33" s="29" t="s">
        <v>99</v>
      </c>
      <c r="D33" s="33" t="s">
        <v>100</v>
      </c>
      <c r="E33" s="31" t="s">
        <v>694</v>
      </c>
      <c r="F33" s="32">
        <v>1650</v>
      </c>
      <c r="G33" s="32">
        <v>2140</v>
      </c>
      <c r="H33" s="32">
        <v>2680</v>
      </c>
      <c r="I33" s="32">
        <v>2770</v>
      </c>
      <c r="J33" s="32">
        <v>2860</v>
      </c>
      <c r="K33" s="32">
        <v>2800</v>
      </c>
      <c r="L33" s="32">
        <v>3460</v>
      </c>
      <c r="M33" s="32">
        <v>3010</v>
      </c>
      <c r="N33" s="32">
        <v>0</v>
      </c>
      <c r="O33" s="32">
        <v>0</v>
      </c>
      <c r="P33" s="32">
        <v>0</v>
      </c>
      <c r="Q33" s="32">
        <v>0</v>
      </c>
      <c r="R33" s="13">
        <v>21370</v>
      </c>
    </row>
    <row r="34" spans="1:18" ht="17.5" thickBot="1" x14ac:dyDescent="0.65">
      <c r="A34" s="33" t="s">
        <v>32</v>
      </c>
      <c r="B34" s="29" t="s">
        <v>114</v>
      </c>
      <c r="C34" s="29" t="s">
        <v>115</v>
      </c>
      <c r="D34" s="33" t="s">
        <v>116</v>
      </c>
      <c r="E34" s="31" t="s">
        <v>694</v>
      </c>
      <c r="F34" s="32">
        <v>670</v>
      </c>
      <c r="G34" s="32">
        <v>840</v>
      </c>
      <c r="H34" s="32">
        <v>940</v>
      </c>
      <c r="I34" s="32">
        <v>980</v>
      </c>
      <c r="J34" s="32">
        <v>1020</v>
      </c>
      <c r="K34" s="32">
        <v>1000</v>
      </c>
      <c r="L34" s="32">
        <v>1250</v>
      </c>
      <c r="M34" s="32">
        <v>1060</v>
      </c>
      <c r="N34" s="32">
        <v>0</v>
      </c>
      <c r="O34" s="32">
        <v>0</v>
      </c>
      <c r="P34" s="32">
        <v>0</v>
      </c>
      <c r="Q34" s="32">
        <v>0</v>
      </c>
      <c r="R34" s="13">
        <v>7760</v>
      </c>
    </row>
    <row r="35" spans="1:18" ht="17.5" thickBot="1" x14ac:dyDescent="0.65">
      <c r="A35" s="33" t="s">
        <v>32</v>
      </c>
      <c r="B35" s="29" t="s">
        <v>93</v>
      </c>
      <c r="C35" s="29" t="s">
        <v>94</v>
      </c>
      <c r="D35" s="33" t="s">
        <v>95</v>
      </c>
      <c r="E35" s="31" t="s">
        <v>694</v>
      </c>
      <c r="F35" s="32">
        <v>2510</v>
      </c>
      <c r="G35" s="32">
        <v>3050</v>
      </c>
      <c r="H35" s="32">
        <v>2350</v>
      </c>
      <c r="I35" s="32">
        <v>2300</v>
      </c>
      <c r="J35" s="32">
        <v>2710</v>
      </c>
      <c r="K35" s="32">
        <v>2620</v>
      </c>
      <c r="L35" s="32">
        <v>2140</v>
      </c>
      <c r="M35" s="32">
        <v>2810</v>
      </c>
      <c r="N35" s="32">
        <v>0</v>
      </c>
      <c r="O35" s="32">
        <v>0</v>
      </c>
      <c r="P35" s="32">
        <v>0</v>
      </c>
      <c r="Q35" s="32">
        <v>0</v>
      </c>
      <c r="R35" s="13">
        <v>20490</v>
      </c>
    </row>
    <row r="36" spans="1:18" ht="17.5" thickBot="1" x14ac:dyDescent="0.65">
      <c r="A36" s="33" t="s">
        <v>32</v>
      </c>
      <c r="B36" s="29" t="s">
        <v>47</v>
      </c>
      <c r="C36" s="29" t="s">
        <v>50</v>
      </c>
      <c r="D36" s="33" t="s">
        <v>51</v>
      </c>
      <c r="E36" s="31" t="s">
        <v>694</v>
      </c>
      <c r="F36" s="32">
        <v>740</v>
      </c>
      <c r="G36" s="32">
        <v>820</v>
      </c>
      <c r="H36" s="32">
        <v>740</v>
      </c>
      <c r="I36" s="32">
        <v>520</v>
      </c>
      <c r="J36" s="32">
        <v>500</v>
      </c>
      <c r="K36" s="32">
        <v>750</v>
      </c>
      <c r="L36" s="32">
        <v>740</v>
      </c>
      <c r="M36" s="32">
        <v>800</v>
      </c>
      <c r="N36" s="32">
        <v>0</v>
      </c>
      <c r="O36" s="32">
        <v>0</v>
      </c>
      <c r="P36" s="32">
        <v>0</v>
      </c>
      <c r="Q36" s="32">
        <v>0</v>
      </c>
      <c r="R36" s="13">
        <v>5610</v>
      </c>
    </row>
    <row r="37" spans="1:18" ht="17.5" thickBot="1" x14ac:dyDescent="0.65">
      <c r="A37" s="33" t="s">
        <v>32</v>
      </c>
      <c r="B37" s="29" t="s">
        <v>29</v>
      </c>
      <c r="C37" s="29" t="s">
        <v>39</v>
      </c>
      <c r="D37" s="33" t="s">
        <v>40</v>
      </c>
      <c r="E37" s="31" t="s">
        <v>694</v>
      </c>
      <c r="F37" s="32">
        <v>510</v>
      </c>
      <c r="G37" s="32">
        <v>500</v>
      </c>
      <c r="H37" s="32">
        <v>490</v>
      </c>
      <c r="I37" s="32">
        <v>490</v>
      </c>
      <c r="J37" s="32">
        <v>490</v>
      </c>
      <c r="K37" s="32">
        <v>490</v>
      </c>
      <c r="L37" s="32">
        <v>560</v>
      </c>
      <c r="M37" s="32">
        <v>620</v>
      </c>
      <c r="N37" s="32">
        <v>0</v>
      </c>
      <c r="O37" s="32">
        <v>0</v>
      </c>
      <c r="P37" s="32">
        <v>0</v>
      </c>
      <c r="Q37" s="32">
        <v>0</v>
      </c>
      <c r="R37" s="13">
        <v>4150</v>
      </c>
    </row>
    <row r="38" spans="1:18" ht="17.5" thickBot="1" x14ac:dyDescent="0.65">
      <c r="A38" s="33" t="s">
        <v>32</v>
      </c>
      <c r="B38" s="29" t="s">
        <v>44</v>
      </c>
      <c r="C38" s="29" t="s">
        <v>45</v>
      </c>
      <c r="D38" s="33" t="s">
        <v>46</v>
      </c>
      <c r="E38" s="31" t="s">
        <v>694</v>
      </c>
      <c r="F38" s="32">
        <v>1730</v>
      </c>
      <c r="G38" s="32">
        <v>1980</v>
      </c>
      <c r="H38" s="32">
        <v>2240</v>
      </c>
      <c r="I38" s="32">
        <v>1690</v>
      </c>
      <c r="J38" s="32">
        <v>1820</v>
      </c>
      <c r="K38" s="32">
        <v>2250</v>
      </c>
      <c r="L38" s="32">
        <v>2230</v>
      </c>
      <c r="M38" s="32">
        <v>2430</v>
      </c>
      <c r="N38" s="32">
        <v>0</v>
      </c>
      <c r="O38" s="32">
        <v>0</v>
      </c>
      <c r="P38" s="32">
        <v>0</v>
      </c>
      <c r="Q38" s="32">
        <v>0</v>
      </c>
      <c r="R38" s="13">
        <v>16370</v>
      </c>
    </row>
    <row r="39" spans="1:18" ht="17.5" thickBot="1" x14ac:dyDescent="0.65">
      <c r="A39" s="33" t="s">
        <v>32</v>
      </c>
      <c r="B39" s="29" t="s">
        <v>41</v>
      </c>
      <c r="C39" s="29" t="s">
        <v>42</v>
      </c>
      <c r="D39" s="33" t="s">
        <v>43</v>
      </c>
      <c r="E39" s="31" t="s">
        <v>694</v>
      </c>
      <c r="F39" s="32">
        <v>810</v>
      </c>
      <c r="G39" s="32">
        <v>930</v>
      </c>
      <c r="H39" s="32">
        <v>1050</v>
      </c>
      <c r="I39" s="32">
        <v>760</v>
      </c>
      <c r="J39" s="32">
        <v>760</v>
      </c>
      <c r="K39" s="32">
        <v>960</v>
      </c>
      <c r="L39" s="32">
        <v>940</v>
      </c>
      <c r="M39" s="32">
        <v>1010</v>
      </c>
      <c r="N39" s="32">
        <v>0</v>
      </c>
      <c r="O39" s="32">
        <v>0</v>
      </c>
      <c r="P39" s="32">
        <v>0</v>
      </c>
      <c r="Q39" s="32">
        <v>0</v>
      </c>
      <c r="R39" s="13">
        <v>7220</v>
      </c>
    </row>
    <row r="40" spans="1:18" ht="17.5" thickBot="1" x14ac:dyDescent="0.65">
      <c r="A40" s="33" t="s">
        <v>32</v>
      </c>
      <c r="B40" s="29" t="s">
        <v>61</v>
      </c>
      <c r="C40" s="29" t="s">
        <v>62</v>
      </c>
      <c r="D40" s="33" t="s">
        <v>63</v>
      </c>
      <c r="E40" s="31" t="s">
        <v>694</v>
      </c>
      <c r="F40" s="32">
        <v>2580</v>
      </c>
      <c r="G40" s="32">
        <v>2690</v>
      </c>
      <c r="H40" s="32">
        <v>2750</v>
      </c>
      <c r="I40" s="32">
        <v>2270</v>
      </c>
      <c r="J40" s="32">
        <v>2670</v>
      </c>
      <c r="K40" s="32">
        <v>3550</v>
      </c>
      <c r="L40" s="32">
        <v>3720</v>
      </c>
      <c r="M40" s="32">
        <v>3960</v>
      </c>
      <c r="N40" s="32">
        <v>0</v>
      </c>
      <c r="O40" s="32">
        <v>0</v>
      </c>
      <c r="P40" s="32">
        <v>0</v>
      </c>
      <c r="Q40" s="32">
        <v>0</v>
      </c>
      <c r="R40" s="13">
        <v>24190</v>
      </c>
    </row>
    <row r="41" spans="1:18" ht="17.5" thickBot="1" x14ac:dyDescent="0.65">
      <c r="A41" s="33" t="s">
        <v>32</v>
      </c>
      <c r="B41" s="29" t="s">
        <v>85</v>
      </c>
      <c r="C41" s="29" t="s">
        <v>88</v>
      </c>
      <c r="D41" s="33" t="s">
        <v>89</v>
      </c>
      <c r="E41" s="31" t="s">
        <v>694</v>
      </c>
      <c r="F41" s="32">
        <v>2820</v>
      </c>
      <c r="G41" s="32">
        <v>3430</v>
      </c>
      <c r="H41" s="32">
        <v>2550</v>
      </c>
      <c r="I41" s="32">
        <v>2490</v>
      </c>
      <c r="J41" s="32">
        <v>2920</v>
      </c>
      <c r="K41" s="32">
        <v>2850</v>
      </c>
      <c r="L41" s="32">
        <v>2280</v>
      </c>
      <c r="M41" s="32">
        <v>3080</v>
      </c>
      <c r="N41" s="32">
        <v>0</v>
      </c>
      <c r="O41" s="32">
        <v>0</v>
      </c>
      <c r="P41" s="32">
        <v>0</v>
      </c>
      <c r="Q41" s="32">
        <v>0</v>
      </c>
      <c r="R41" s="13">
        <v>22420</v>
      </c>
    </row>
    <row r="42" spans="1:18" ht="17.5" thickBot="1" x14ac:dyDescent="0.65">
      <c r="A42" s="33" t="s">
        <v>32</v>
      </c>
      <c r="B42" s="29" t="s">
        <v>85</v>
      </c>
      <c r="C42" s="29" t="s">
        <v>86</v>
      </c>
      <c r="D42" s="33" t="s">
        <v>87</v>
      </c>
      <c r="E42" s="31" t="s">
        <v>694</v>
      </c>
      <c r="F42" s="32">
        <v>2460</v>
      </c>
      <c r="G42" s="32">
        <v>3000</v>
      </c>
      <c r="H42" s="32">
        <v>2220</v>
      </c>
      <c r="I42" s="32">
        <v>2160</v>
      </c>
      <c r="J42" s="32">
        <v>2560</v>
      </c>
      <c r="K42" s="32">
        <v>2480</v>
      </c>
      <c r="L42" s="32">
        <v>2000</v>
      </c>
      <c r="M42" s="32">
        <v>2670</v>
      </c>
      <c r="N42" s="32">
        <v>0</v>
      </c>
      <c r="O42" s="32">
        <v>0</v>
      </c>
      <c r="P42" s="32">
        <v>0</v>
      </c>
      <c r="Q42" s="32">
        <v>0</v>
      </c>
      <c r="R42" s="13">
        <v>19550</v>
      </c>
    </row>
    <row r="43" spans="1:18" ht="17.5" thickBot="1" x14ac:dyDescent="0.65">
      <c r="A43" s="33" t="s">
        <v>32</v>
      </c>
      <c r="B43" s="29" t="s">
        <v>66</v>
      </c>
      <c r="C43" s="29" t="s">
        <v>67</v>
      </c>
      <c r="D43" s="33" t="s">
        <v>68</v>
      </c>
      <c r="E43" s="31" t="s">
        <v>694</v>
      </c>
      <c r="F43" s="32">
        <v>5040</v>
      </c>
      <c r="G43" s="32">
        <v>4820</v>
      </c>
      <c r="H43" s="32">
        <v>5120</v>
      </c>
      <c r="I43" s="32">
        <v>4150</v>
      </c>
      <c r="J43" s="32">
        <v>4770</v>
      </c>
      <c r="K43" s="32">
        <v>6690</v>
      </c>
      <c r="L43" s="32">
        <v>7050</v>
      </c>
      <c r="M43" s="32">
        <v>7580</v>
      </c>
      <c r="N43" s="32">
        <v>0</v>
      </c>
      <c r="O43" s="32">
        <v>0</v>
      </c>
      <c r="P43" s="32">
        <v>0</v>
      </c>
      <c r="Q43" s="32">
        <v>0</v>
      </c>
      <c r="R43" s="13">
        <v>45220</v>
      </c>
    </row>
    <row r="44" spans="1:18" ht="17.5" thickBot="1" x14ac:dyDescent="0.65">
      <c r="A44" s="33" t="s">
        <v>32</v>
      </c>
      <c r="B44" s="29" t="s">
        <v>66</v>
      </c>
      <c r="C44" s="29" t="s">
        <v>71</v>
      </c>
      <c r="D44" s="33" t="s">
        <v>72</v>
      </c>
      <c r="E44" s="31" t="s">
        <v>694</v>
      </c>
      <c r="F44" s="32">
        <v>3680</v>
      </c>
      <c r="G44" s="32">
        <v>3780</v>
      </c>
      <c r="H44" s="32">
        <v>3850</v>
      </c>
      <c r="I44" s="32">
        <v>3270</v>
      </c>
      <c r="J44" s="32">
        <v>3850</v>
      </c>
      <c r="K44" s="32">
        <v>4290</v>
      </c>
      <c r="L44" s="32">
        <v>4840</v>
      </c>
      <c r="M44" s="32">
        <v>5580</v>
      </c>
      <c r="N44" s="32">
        <v>0</v>
      </c>
      <c r="O44" s="32">
        <v>0</v>
      </c>
      <c r="P44" s="32">
        <v>0</v>
      </c>
      <c r="Q44" s="32">
        <v>0</v>
      </c>
      <c r="R44" s="13">
        <v>33140</v>
      </c>
    </row>
    <row r="45" spans="1:18" ht="17.5" thickBot="1" x14ac:dyDescent="0.65">
      <c r="A45" s="33" t="s">
        <v>32</v>
      </c>
      <c r="B45" s="29" t="s">
        <v>66</v>
      </c>
      <c r="C45" s="29" t="s">
        <v>73</v>
      </c>
      <c r="D45" s="33" t="s">
        <v>74</v>
      </c>
      <c r="E45" s="31" t="s">
        <v>694</v>
      </c>
      <c r="F45" s="32">
        <v>3080</v>
      </c>
      <c r="G45" s="32">
        <v>2950</v>
      </c>
      <c r="H45" s="32">
        <v>3030</v>
      </c>
      <c r="I45" s="32">
        <v>2440</v>
      </c>
      <c r="J45" s="32">
        <v>2820</v>
      </c>
      <c r="K45" s="32">
        <v>4000</v>
      </c>
      <c r="L45" s="32">
        <v>4210</v>
      </c>
      <c r="M45" s="32">
        <v>4510</v>
      </c>
      <c r="N45" s="32">
        <v>0</v>
      </c>
      <c r="O45" s="32">
        <v>0</v>
      </c>
      <c r="P45" s="32">
        <v>0</v>
      </c>
      <c r="Q45" s="32">
        <v>0</v>
      </c>
      <c r="R45" s="13">
        <v>27040</v>
      </c>
    </row>
    <row r="46" spans="1:18" ht="17.5" thickBot="1" x14ac:dyDescent="0.65">
      <c r="A46" s="33" t="s">
        <v>32</v>
      </c>
      <c r="B46" s="29" t="s">
        <v>61</v>
      </c>
      <c r="C46" s="29" t="s">
        <v>64</v>
      </c>
      <c r="D46" s="33" t="s">
        <v>65</v>
      </c>
      <c r="E46" s="31" t="s">
        <v>694</v>
      </c>
      <c r="F46" s="32">
        <v>2560</v>
      </c>
      <c r="G46" s="32">
        <v>2460</v>
      </c>
      <c r="H46" s="32">
        <v>2510</v>
      </c>
      <c r="I46" s="32">
        <v>2140</v>
      </c>
      <c r="J46" s="32">
        <v>2380</v>
      </c>
      <c r="K46" s="32">
        <v>3120</v>
      </c>
      <c r="L46" s="32">
        <v>3270</v>
      </c>
      <c r="M46" s="32">
        <v>3480</v>
      </c>
      <c r="N46" s="32">
        <v>0</v>
      </c>
      <c r="O46" s="32">
        <v>0</v>
      </c>
      <c r="P46" s="32">
        <v>0</v>
      </c>
      <c r="Q46" s="32">
        <v>0</v>
      </c>
      <c r="R46" s="13">
        <v>21920</v>
      </c>
    </row>
    <row r="47" spans="1:18" ht="17.5" thickBot="1" x14ac:dyDescent="0.65">
      <c r="A47" s="33" t="s">
        <v>32</v>
      </c>
      <c r="B47" s="29" t="s">
        <v>66</v>
      </c>
      <c r="C47" s="29" t="s">
        <v>77</v>
      </c>
      <c r="D47" s="33" t="s">
        <v>78</v>
      </c>
      <c r="E47" s="31" t="s">
        <v>694</v>
      </c>
      <c r="F47" s="32">
        <v>2940</v>
      </c>
      <c r="G47" s="32">
        <v>2920</v>
      </c>
      <c r="H47" s="32">
        <v>3000</v>
      </c>
      <c r="I47" s="32">
        <v>2500</v>
      </c>
      <c r="J47" s="32">
        <v>3000</v>
      </c>
      <c r="K47" s="32">
        <v>3340</v>
      </c>
      <c r="L47" s="32">
        <v>3770</v>
      </c>
      <c r="M47" s="32">
        <v>4460</v>
      </c>
      <c r="N47" s="32">
        <v>0</v>
      </c>
      <c r="O47" s="32">
        <v>0</v>
      </c>
      <c r="P47" s="32">
        <v>0</v>
      </c>
      <c r="Q47" s="32">
        <v>0</v>
      </c>
      <c r="R47" s="13">
        <v>25930</v>
      </c>
    </row>
    <row r="48" spans="1:18" ht="17.5" thickBot="1" x14ac:dyDescent="0.65">
      <c r="A48" s="33" t="s">
        <v>32</v>
      </c>
      <c r="B48" s="29" t="s">
        <v>66</v>
      </c>
      <c r="C48" s="29" t="s">
        <v>81</v>
      </c>
      <c r="D48" s="33" t="s">
        <v>82</v>
      </c>
      <c r="E48" s="31" t="s">
        <v>694</v>
      </c>
      <c r="F48" s="32">
        <v>3240</v>
      </c>
      <c r="G48" s="32">
        <v>3240</v>
      </c>
      <c r="H48" s="32">
        <v>3310</v>
      </c>
      <c r="I48" s="32">
        <v>2760</v>
      </c>
      <c r="J48" s="32">
        <v>3310</v>
      </c>
      <c r="K48" s="32">
        <v>3700</v>
      </c>
      <c r="L48" s="32">
        <v>4180</v>
      </c>
      <c r="M48" s="32">
        <v>4980</v>
      </c>
      <c r="N48" s="32">
        <v>0</v>
      </c>
      <c r="O48" s="32">
        <v>0</v>
      </c>
      <c r="P48" s="32">
        <v>0</v>
      </c>
      <c r="Q48" s="32">
        <v>0</v>
      </c>
      <c r="R48" s="13">
        <v>28720</v>
      </c>
    </row>
    <row r="49" spans="1:18" ht="17.5" thickBot="1" x14ac:dyDescent="0.65">
      <c r="A49" s="33" t="s">
        <v>32</v>
      </c>
      <c r="B49" s="29" t="s">
        <v>66</v>
      </c>
      <c r="C49" s="29" t="s">
        <v>83</v>
      </c>
      <c r="D49" s="33" t="s">
        <v>84</v>
      </c>
      <c r="E49" s="31" t="s">
        <v>694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13">
        <v>0</v>
      </c>
    </row>
    <row r="50" spans="1:18" ht="17.5" thickBot="1" x14ac:dyDescent="0.65">
      <c r="A50" s="33" t="s">
        <v>32</v>
      </c>
      <c r="B50" s="29" t="s">
        <v>52</v>
      </c>
      <c r="C50" s="29" t="s">
        <v>53</v>
      </c>
      <c r="D50" s="33" t="s">
        <v>54</v>
      </c>
      <c r="E50" s="31" t="s">
        <v>694</v>
      </c>
      <c r="F50" s="32">
        <v>4510</v>
      </c>
      <c r="G50" s="32">
        <v>4490</v>
      </c>
      <c r="H50" s="32">
        <v>4760</v>
      </c>
      <c r="I50" s="32">
        <v>3970</v>
      </c>
      <c r="J50" s="32">
        <v>4360</v>
      </c>
      <c r="K50" s="32">
        <v>4920</v>
      </c>
      <c r="L50" s="32">
        <v>5610</v>
      </c>
      <c r="M50" s="32">
        <v>6710</v>
      </c>
      <c r="N50" s="32">
        <v>0</v>
      </c>
      <c r="O50" s="32">
        <v>0</v>
      </c>
      <c r="P50" s="32">
        <v>0</v>
      </c>
      <c r="Q50" s="32">
        <v>0</v>
      </c>
      <c r="R50" s="13">
        <v>39330</v>
      </c>
    </row>
    <row r="51" spans="1:18" ht="17.5" thickBot="1" x14ac:dyDescent="0.65">
      <c r="A51" s="33" t="s">
        <v>32</v>
      </c>
      <c r="B51" s="29" t="s">
        <v>52</v>
      </c>
      <c r="C51" s="29" t="s">
        <v>55</v>
      </c>
      <c r="D51" s="33" t="s">
        <v>56</v>
      </c>
      <c r="E51" s="31" t="s">
        <v>694</v>
      </c>
      <c r="F51" s="32">
        <v>530</v>
      </c>
      <c r="G51" s="32">
        <v>510</v>
      </c>
      <c r="H51" s="32">
        <v>510</v>
      </c>
      <c r="I51" s="32">
        <v>510</v>
      </c>
      <c r="J51" s="32">
        <v>510</v>
      </c>
      <c r="K51" s="32">
        <v>510</v>
      </c>
      <c r="L51" s="32">
        <v>580</v>
      </c>
      <c r="M51" s="32">
        <v>580</v>
      </c>
      <c r="N51" s="32">
        <v>0</v>
      </c>
      <c r="O51" s="32">
        <v>0</v>
      </c>
      <c r="P51" s="32">
        <v>0</v>
      </c>
      <c r="Q51" s="32">
        <v>0</v>
      </c>
      <c r="R51" s="13">
        <v>4240</v>
      </c>
    </row>
    <row r="52" spans="1:18" ht="17.5" thickBot="1" x14ac:dyDescent="0.65">
      <c r="A52" s="33" t="s">
        <v>32</v>
      </c>
      <c r="B52" s="29" t="s">
        <v>52</v>
      </c>
      <c r="C52" s="29" t="s">
        <v>57</v>
      </c>
      <c r="D52" s="33" t="s">
        <v>58</v>
      </c>
      <c r="E52" s="31" t="s">
        <v>694</v>
      </c>
      <c r="F52" s="32">
        <v>4650</v>
      </c>
      <c r="G52" s="32">
        <v>4660</v>
      </c>
      <c r="H52" s="32">
        <v>4770</v>
      </c>
      <c r="I52" s="32">
        <v>4000</v>
      </c>
      <c r="J52" s="32">
        <v>4810</v>
      </c>
      <c r="K52" s="32">
        <v>4340</v>
      </c>
      <c r="L52" s="32">
        <v>5100</v>
      </c>
      <c r="M52" s="32">
        <v>5150</v>
      </c>
      <c r="N52" s="32">
        <v>0</v>
      </c>
      <c r="O52" s="32">
        <v>0</v>
      </c>
      <c r="P52" s="32">
        <v>0</v>
      </c>
      <c r="Q52" s="32">
        <v>0</v>
      </c>
      <c r="R52" s="13">
        <v>37480</v>
      </c>
    </row>
    <row r="53" spans="1:18" ht="17.5" thickBot="1" x14ac:dyDescent="0.65">
      <c r="A53" s="33" t="s">
        <v>32</v>
      </c>
      <c r="B53" s="29" t="s">
        <v>52</v>
      </c>
      <c r="C53" s="29" t="s">
        <v>59</v>
      </c>
      <c r="D53" s="33" t="s">
        <v>60</v>
      </c>
      <c r="E53" s="31" t="s">
        <v>694</v>
      </c>
      <c r="F53" s="32">
        <v>2660</v>
      </c>
      <c r="G53" s="32">
        <v>2650</v>
      </c>
      <c r="H53" s="32">
        <v>2210</v>
      </c>
      <c r="I53" s="32">
        <v>1770</v>
      </c>
      <c r="J53" s="32">
        <v>2220</v>
      </c>
      <c r="K53" s="32">
        <v>2530</v>
      </c>
      <c r="L53" s="32">
        <v>2940</v>
      </c>
      <c r="M53" s="32">
        <v>3540</v>
      </c>
      <c r="N53" s="32">
        <v>0</v>
      </c>
      <c r="O53" s="32">
        <v>0</v>
      </c>
      <c r="P53" s="32">
        <v>0</v>
      </c>
      <c r="Q53" s="32">
        <v>0</v>
      </c>
      <c r="R53" s="13">
        <v>20520</v>
      </c>
    </row>
    <row r="54" spans="1:18" ht="17.5" thickBot="1" x14ac:dyDescent="0.65">
      <c r="A54" s="33" t="s">
        <v>32</v>
      </c>
      <c r="B54" s="29" t="s">
        <v>66</v>
      </c>
      <c r="C54" s="29" t="s">
        <v>69</v>
      </c>
      <c r="D54" s="33" t="s">
        <v>70</v>
      </c>
      <c r="E54" s="31" t="s">
        <v>694</v>
      </c>
      <c r="F54" s="32">
        <v>2420</v>
      </c>
      <c r="G54" s="32">
        <v>2880</v>
      </c>
      <c r="H54" s="32">
        <v>3490</v>
      </c>
      <c r="I54" s="32">
        <v>2780</v>
      </c>
      <c r="J54" s="32">
        <v>3080</v>
      </c>
      <c r="K54" s="32">
        <v>3680</v>
      </c>
      <c r="L54" s="32">
        <v>3430</v>
      </c>
      <c r="M54" s="32">
        <v>3740</v>
      </c>
      <c r="N54" s="32">
        <v>0</v>
      </c>
      <c r="O54" s="32">
        <v>0</v>
      </c>
      <c r="P54" s="32">
        <v>0</v>
      </c>
      <c r="Q54" s="32">
        <v>0</v>
      </c>
      <c r="R54" s="13">
        <v>25500</v>
      </c>
    </row>
    <row r="55" spans="1:18" ht="17.5" thickBot="1" x14ac:dyDescent="0.65">
      <c r="A55" s="33" t="s">
        <v>32</v>
      </c>
      <c r="B55" s="29" t="s">
        <v>101</v>
      </c>
      <c r="C55" s="29" t="s">
        <v>102</v>
      </c>
      <c r="D55" s="33" t="s">
        <v>103</v>
      </c>
      <c r="E55" s="31" t="s">
        <v>694</v>
      </c>
      <c r="F55" s="32">
        <v>2600</v>
      </c>
      <c r="G55" s="32">
        <v>2570</v>
      </c>
      <c r="H55" s="32">
        <v>2580</v>
      </c>
      <c r="I55" s="32">
        <v>1570</v>
      </c>
      <c r="J55" s="32">
        <v>2580</v>
      </c>
      <c r="K55" s="32">
        <v>2580</v>
      </c>
      <c r="L55" s="32">
        <v>2580</v>
      </c>
      <c r="M55" s="32">
        <v>2580</v>
      </c>
      <c r="N55" s="32">
        <v>0</v>
      </c>
      <c r="O55" s="32">
        <v>0</v>
      </c>
      <c r="P55" s="32">
        <v>0</v>
      </c>
      <c r="Q55" s="32">
        <v>0</v>
      </c>
      <c r="R55" s="13">
        <v>19640</v>
      </c>
    </row>
    <row r="56" spans="1:18" ht="17.5" thickBot="1" x14ac:dyDescent="0.65">
      <c r="A56" s="33" t="s">
        <v>32</v>
      </c>
      <c r="B56" s="29" t="s">
        <v>66</v>
      </c>
      <c r="C56" s="29" t="s">
        <v>75</v>
      </c>
      <c r="D56" s="33" t="s">
        <v>76</v>
      </c>
      <c r="E56" s="31" t="s">
        <v>694</v>
      </c>
      <c r="F56" s="32">
        <v>2020</v>
      </c>
      <c r="G56" s="32">
        <v>2080</v>
      </c>
      <c r="H56" s="32">
        <v>2450</v>
      </c>
      <c r="I56" s="32">
        <v>1180</v>
      </c>
      <c r="J56" s="32">
        <v>1320</v>
      </c>
      <c r="K56" s="32">
        <v>1950</v>
      </c>
      <c r="L56" s="32">
        <v>1720</v>
      </c>
      <c r="M56" s="32">
        <v>1780</v>
      </c>
      <c r="N56" s="32">
        <v>0</v>
      </c>
      <c r="O56" s="32">
        <v>0</v>
      </c>
      <c r="P56" s="32">
        <v>0</v>
      </c>
      <c r="Q56" s="32">
        <v>0</v>
      </c>
      <c r="R56" s="13">
        <v>14500</v>
      </c>
    </row>
    <row r="57" spans="1:18" ht="17.5" thickBot="1" x14ac:dyDescent="0.65">
      <c r="A57" s="33" t="s">
        <v>32</v>
      </c>
      <c r="B57" s="29" t="s">
        <v>123</v>
      </c>
      <c r="C57" s="29" t="s">
        <v>124</v>
      </c>
      <c r="D57" s="33" t="s">
        <v>125</v>
      </c>
      <c r="E57" s="31" t="s">
        <v>694</v>
      </c>
      <c r="F57" s="32">
        <v>500</v>
      </c>
      <c r="G57" s="32">
        <v>500</v>
      </c>
      <c r="H57" s="32">
        <v>500</v>
      </c>
      <c r="I57" s="32">
        <v>500</v>
      </c>
      <c r="J57" s="32">
        <v>500</v>
      </c>
      <c r="K57" s="32">
        <v>500</v>
      </c>
      <c r="L57" s="32">
        <v>610</v>
      </c>
      <c r="M57" s="32">
        <v>800</v>
      </c>
      <c r="N57" s="32">
        <v>0</v>
      </c>
      <c r="O57" s="32">
        <v>0</v>
      </c>
      <c r="P57" s="32">
        <v>0</v>
      </c>
      <c r="Q57" s="32">
        <v>0</v>
      </c>
      <c r="R57" s="13">
        <v>4410</v>
      </c>
    </row>
    <row r="58" spans="1:18" ht="17.5" thickBot="1" x14ac:dyDescent="0.65">
      <c r="A58" s="33" t="s">
        <v>32</v>
      </c>
      <c r="B58" s="29" t="s">
        <v>66</v>
      </c>
      <c r="C58" s="29" t="s">
        <v>79</v>
      </c>
      <c r="D58" s="33" t="s">
        <v>80</v>
      </c>
      <c r="E58" s="31" t="s">
        <v>694</v>
      </c>
      <c r="F58" s="32">
        <v>4370</v>
      </c>
      <c r="G58" s="32">
        <v>4340</v>
      </c>
      <c r="H58" s="32">
        <v>4340</v>
      </c>
      <c r="I58" s="32">
        <v>3070</v>
      </c>
      <c r="J58" s="32">
        <v>4340</v>
      </c>
      <c r="K58" s="32">
        <v>4340</v>
      </c>
      <c r="L58" s="32">
        <v>4340</v>
      </c>
      <c r="M58" s="32">
        <v>5050</v>
      </c>
      <c r="N58" s="32">
        <v>0</v>
      </c>
      <c r="O58" s="32">
        <v>0</v>
      </c>
      <c r="P58" s="32">
        <v>0</v>
      </c>
      <c r="Q58" s="32">
        <v>0</v>
      </c>
      <c r="R58" s="13">
        <v>34190</v>
      </c>
    </row>
    <row r="59" spans="1:18" ht="17.5" thickBot="1" x14ac:dyDescent="0.65">
      <c r="A59" s="33" t="s">
        <v>32</v>
      </c>
      <c r="B59" s="29" t="s">
        <v>96</v>
      </c>
      <c r="C59" s="29" t="s">
        <v>97</v>
      </c>
      <c r="D59" s="33" t="s">
        <v>98</v>
      </c>
      <c r="E59" s="31" t="s">
        <v>694</v>
      </c>
      <c r="F59" s="32">
        <v>4520</v>
      </c>
      <c r="G59" s="32">
        <v>4650</v>
      </c>
      <c r="H59" s="32">
        <v>4620</v>
      </c>
      <c r="I59" s="32">
        <v>1580</v>
      </c>
      <c r="J59" s="32">
        <v>1910</v>
      </c>
      <c r="K59" s="32">
        <v>3420</v>
      </c>
      <c r="L59" s="32">
        <v>2910</v>
      </c>
      <c r="M59" s="32">
        <v>3040</v>
      </c>
      <c r="N59" s="32">
        <v>0</v>
      </c>
      <c r="O59" s="32">
        <v>0</v>
      </c>
      <c r="P59" s="32">
        <v>0</v>
      </c>
      <c r="Q59" s="32">
        <v>0</v>
      </c>
      <c r="R59" s="13">
        <v>26650</v>
      </c>
    </row>
    <row r="60" spans="1:18" ht="17.5" thickBot="1" x14ac:dyDescent="0.65">
      <c r="A60" s="33" t="s">
        <v>32</v>
      </c>
      <c r="B60" s="29" t="s">
        <v>105</v>
      </c>
      <c r="C60" s="29" t="s">
        <v>106</v>
      </c>
      <c r="D60" s="33" t="s">
        <v>107</v>
      </c>
      <c r="E60" s="31" t="s">
        <v>694</v>
      </c>
      <c r="F60" s="32">
        <v>440</v>
      </c>
      <c r="G60" s="32">
        <v>400</v>
      </c>
      <c r="H60" s="32">
        <v>540</v>
      </c>
      <c r="I60" s="32">
        <v>510</v>
      </c>
      <c r="J60" s="32">
        <v>510</v>
      </c>
      <c r="K60" s="32">
        <v>540</v>
      </c>
      <c r="L60" s="32">
        <v>510</v>
      </c>
      <c r="M60" s="32">
        <v>510</v>
      </c>
      <c r="N60" s="32">
        <v>0</v>
      </c>
      <c r="O60" s="32">
        <v>0</v>
      </c>
      <c r="P60" s="32">
        <v>0</v>
      </c>
      <c r="Q60" s="32">
        <v>0</v>
      </c>
      <c r="R60" s="13">
        <v>3960</v>
      </c>
    </row>
    <row r="61" spans="1:18" ht="17.5" thickBot="1" x14ac:dyDescent="0.65">
      <c r="A61" s="33" t="s">
        <v>32</v>
      </c>
      <c r="B61" s="29" t="s">
        <v>111</v>
      </c>
      <c r="C61" s="29" t="s">
        <v>112</v>
      </c>
      <c r="D61" s="33" t="s">
        <v>721</v>
      </c>
      <c r="E61" s="31" t="s">
        <v>695</v>
      </c>
      <c r="F61" s="32">
        <v>4600</v>
      </c>
      <c r="G61" s="32">
        <v>5100</v>
      </c>
      <c r="H61" s="32">
        <v>6000</v>
      </c>
      <c r="I61" s="32">
        <v>4100</v>
      </c>
      <c r="J61" s="32">
        <v>5100</v>
      </c>
      <c r="K61" s="32">
        <v>5600</v>
      </c>
      <c r="L61" s="32">
        <v>5500</v>
      </c>
      <c r="M61" s="32">
        <v>5500</v>
      </c>
      <c r="N61" s="32">
        <v>0</v>
      </c>
      <c r="O61" s="32">
        <v>0</v>
      </c>
      <c r="P61" s="32">
        <v>0</v>
      </c>
      <c r="Q61" s="32">
        <v>0</v>
      </c>
      <c r="R61" s="13">
        <v>41500</v>
      </c>
    </row>
    <row r="62" spans="1:18" ht="17.5" thickBot="1" x14ac:dyDescent="0.65">
      <c r="A62" s="33" t="s">
        <v>32</v>
      </c>
      <c r="B62" s="29" t="s">
        <v>119</v>
      </c>
      <c r="C62" s="29" t="s">
        <v>120</v>
      </c>
      <c r="D62" s="33" t="s">
        <v>722</v>
      </c>
      <c r="E62" s="31" t="s">
        <v>695</v>
      </c>
      <c r="F62" s="32">
        <v>1900</v>
      </c>
      <c r="G62" s="32">
        <v>1300</v>
      </c>
      <c r="H62" s="32">
        <v>1800</v>
      </c>
      <c r="I62" s="32">
        <v>1300</v>
      </c>
      <c r="J62" s="32">
        <v>1740</v>
      </c>
      <c r="K62" s="32">
        <v>1800</v>
      </c>
      <c r="L62" s="32">
        <v>1800</v>
      </c>
      <c r="M62" s="32">
        <v>2000</v>
      </c>
      <c r="N62" s="32">
        <v>0</v>
      </c>
      <c r="O62" s="32">
        <v>0</v>
      </c>
      <c r="P62" s="32">
        <v>0</v>
      </c>
      <c r="Q62" s="32">
        <v>0</v>
      </c>
      <c r="R62" s="13">
        <v>13640</v>
      </c>
    </row>
    <row r="63" spans="1:18" ht="17.5" thickBot="1" x14ac:dyDescent="0.65">
      <c r="A63" s="33" t="s">
        <v>32</v>
      </c>
      <c r="B63" s="29" t="s">
        <v>108</v>
      </c>
      <c r="C63" s="29" t="s">
        <v>109</v>
      </c>
      <c r="D63" s="33" t="s">
        <v>110</v>
      </c>
      <c r="E63" s="31" t="s">
        <v>695</v>
      </c>
      <c r="F63" s="32">
        <v>1000</v>
      </c>
      <c r="G63" s="32">
        <v>1000</v>
      </c>
      <c r="H63" s="32">
        <v>1500</v>
      </c>
      <c r="I63" s="32">
        <v>800</v>
      </c>
      <c r="J63" s="32">
        <v>1500</v>
      </c>
      <c r="K63" s="32">
        <v>1500</v>
      </c>
      <c r="L63" s="32">
        <v>1500</v>
      </c>
      <c r="M63" s="32">
        <v>1500</v>
      </c>
      <c r="N63" s="32">
        <v>0</v>
      </c>
      <c r="O63" s="32">
        <v>0</v>
      </c>
      <c r="P63" s="32">
        <v>0</v>
      </c>
      <c r="Q63" s="32">
        <v>0</v>
      </c>
      <c r="R63" s="13">
        <v>10300</v>
      </c>
    </row>
    <row r="64" spans="1:18" ht="17.5" thickBot="1" x14ac:dyDescent="0.65">
      <c r="A64" s="33" t="s">
        <v>32</v>
      </c>
      <c r="B64" s="29" t="s">
        <v>121</v>
      </c>
      <c r="C64" s="29" t="s">
        <v>122</v>
      </c>
      <c r="D64" s="33" t="s">
        <v>723</v>
      </c>
      <c r="E64" s="31" t="s">
        <v>695</v>
      </c>
      <c r="F64" s="32">
        <v>3000</v>
      </c>
      <c r="G64" s="32">
        <v>3500</v>
      </c>
      <c r="H64" s="32">
        <v>5000</v>
      </c>
      <c r="I64" s="32">
        <v>3000</v>
      </c>
      <c r="J64" s="32">
        <v>4000</v>
      </c>
      <c r="K64" s="32">
        <v>4000</v>
      </c>
      <c r="L64" s="32">
        <v>4500</v>
      </c>
      <c r="M64" s="32">
        <v>5000</v>
      </c>
      <c r="N64" s="32">
        <v>0</v>
      </c>
      <c r="O64" s="32">
        <v>0</v>
      </c>
      <c r="P64" s="32">
        <v>0</v>
      </c>
      <c r="Q64" s="32">
        <v>0</v>
      </c>
      <c r="R64" s="13">
        <v>32000</v>
      </c>
    </row>
    <row r="65" spans="1:18" ht="17.5" thickBot="1" x14ac:dyDescent="0.65">
      <c r="A65" s="33" t="s">
        <v>32</v>
      </c>
      <c r="B65" s="29" t="s">
        <v>117</v>
      </c>
      <c r="C65" s="29" t="s">
        <v>118</v>
      </c>
      <c r="D65" s="33" t="s">
        <v>724</v>
      </c>
      <c r="E65" s="31" t="s">
        <v>695</v>
      </c>
      <c r="F65" s="32">
        <v>50</v>
      </c>
      <c r="G65" s="32">
        <v>200</v>
      </c>
      <c r="H65" s="32">
        <v>300</v>
      </c>
      <c r="I65" s="32">
        <v>50</v>
      </c>
      <c r="J65" s="32">
        <v>300</v>
      </c>
      <c r="K65" s="32">
        <v>300</v>
      </c>
      <c r="L65" s="32">
        <v>300</v>
      </c>
      <c r="M65" s="32">
        <v>300</v>
      </c>
      <c r="N65" s="32">
        <v>0</v>
      </c>
      <c r="O65" s="32">
        <v>0</v>
      </c>
      <c r="P65" s="32">
        <v>0</v>
      </c>
      <c r="Q65" s="32">
        <v>0</v>
      </c>
      <c r="R65" s="13">
        <v>1800</v>
      </c>
    </row>
    <row r="66" spans="1:18" ht="17.5" thickBot="1" x14ac:dyDescent="0.65">
      <c r="A66" s="37" t="s">
        <v>32</v>
      </c>
      <c r="B66" s="38" t="s">
        <v>117</v>
      </c>
      <c r="C66" s="38" t="s">
        <v>698</v>
      </c>
      <c r="D66" s="37" t="s">
        <v>699</v>
      </c>
      <c r="E66" s="39" t="s">
        <v>695</v>
      </c>
      <c r="F66" s="32">
        <v>50</v>
      </c>
      <c r="G66" s="32">
        <v>100</v>
      </c>
      <c r="H66" s="32">
        <v>100</v>
      </c>
      <c r="I66" s="32">
        <v>50</v>
      </c>
      <c r="J66" s="32">
        <v>200</v>
      </c>
      <c r="K66" s="32">
        <v>200</v>
      </c>
      <c r="L66" s="32">
        <v>200</v>
      </c>
      <c r="M66" s="32">
        <v>200</v>
      </c>
      <c r="N66" s="32">
        <v>0</v>
      </c>
      <c r="O66" s="32">
        <v>0</v>
      </c>
      <c r="P66" s="32">
        <v>0</v>
      </c>
      <c r="Q66" s="32">
        <v>0</v>
      </c>
      <c r="R66" s="13">
        <v>1100</v>
      </c>
    </row>
    <row r="67" spans="1:18" ht="17.5" thickBot="1" x14ac:dyDescent="0.65">
      <c r="A67" s="37" t="s">
        <v>32</v>
      </c>
      <c r="B67" s="38"/>
      <c r="C67" s="38" t="s">
        <v>700</v>
      </c>
      <c r="D67" s="37" t="s">
        <v>701</v>
      </c>
      <c r="E67" s="39" t="s">
        <v>695</v>
      </c>
      <c r="F67" s="32">
        <v>1200</v>
      </c>
      <c r="G67" s="32">
        <v>1200</v>
      </c>
      <c r="H67" s="32">
        <v>1200</v>
      </c>
      <c r="I67" s="32">
        <v>1000</v>
      </c>
      <c r="J67" s="32">
        <v>1100</v>
      </c>
      <c r="K67" s="32">
        <v>1100</v>
      </c>
      <c r="L67" s="32">
        <v>1000</v>
      </c>
      <c r="M67" s="32">
        <v>1000</v>
      </c>
      <c r="N67" s="32">
        <v>0</v>
      </c>
      <c r="O67" s="32">
        <v>0</v>
      </c>
      <c r="P67" s="32">
        <v>0</v>
      </c>
      <c r="Q67" s="32">
        <v>0</v>
      </c>
      <c r="R67" s="13">
        <v>8800</v>
      </c>
    </row>
    <row r="68" spans="1:18" ht="17.5" thickBot="1" x14ac:dyDescent="0.65">
      <c r="A68" s="33" t="s">
        <v>179</v>
      </c>
      <c r="B68" s="29" t="s">
        <v>331</v>
      </c>
      <c r="C68" s="29" t="s">
        <v>332</v>
      </c>
      <c r="D68" s="33" t="s">
        <v>725</v>
      </c>
      <c r="E68" s="31" t="s">
        <v>695</v>
      </c>
      <c r="F68" s="32">
        <v>450</v>
      </c>
      <c r="G68" s="32">
        <v>450</v>
      </c>
      <c r="H68" s="32">
        <v>600</v>
      </c>
      <c r="I68" s="32">
        <v>300</v>
      </c>
      <c r="J68" s="32">
        <v>500</v>
      </c>
      <c r="K68" s="32">
        <v>500</v>
      </c>
      <c r="L68" s="32">
        <v>500</v>
      </c>
      <c r="M68" s="32">
        <v>500</v>
      </c>
      <c r="N68" s="32">
        <v>0</v>
      </c>
      <c r="O68" s="32">
        <v>0</v>
      </c>
      <c r="P68" s="32">
        <v>0</v>
      </c>
      <c r="Q68" s="32">
        <v>0</v>
      </c>
      <c r="R68" s="13">
        <v>3800</v>
      </c>
    </row>
    <row r="69" spans="1:18" ht="17.5" thickBot="1" x14ac:dyDescent="0.65">
      <c r="A69" s="33" t="s">
        <v>179</v>
      </c>
      <c r="B69" s="29" t="s">
        <v>336</v>
      </c>
      <c r="C69" s="29" t="s">
        <v>337</v>
      </c>
      <c r="D69" s="33" t="s">
        <v>726</v>
      </c>
      <c r="E69" s="31" t="s">
        <v>695</v>
      </c>
      <c r="F69" s="32">
        <v>1000</v>
      </c>
      <c r="G69" s="32">
        <v>1000</v>
      </c>
      <c r="H69" s="32">
        <v>1300</v>
      </c>
      <c r="I69" s="32">
        <v>700</v>
      </c>
      <c r="J69" s="32">
        <v>900</v>
      </c>
      <c r="K69" s="32">
        <v>1000</v>
      </c>
      <c r="L69" s="32">
        <v>900</v>
      </c>
      <c r="M69" s="32">
        <v>1000</v>
      </c>
      <c r="N69" s="32">
        <v>0</v>
      </c>
      <c r="O69" s="32">
        <v>0</v>
      </c>
      <c r="P69" s="32">
        <v>0</v>
      </c>
      <c r="Q69" s="32">
        <v>0</v>
      </c>
      <c r="R69" s="13">
        <v>7800</v>
      </c>
    </row>
    <row r="70" spans="1:18" ht="17.5" thickBot="1" x14ac:dyDescent="0.65">
      <c r="A70" s="33" t="s">
        <v>179</v>
      </c>
      <c r="B70" s="29" t="s">
        <v>336</v>
      </c>
      <c r="C70" s="29" t="s">
        <v>338</v>
      </c>
      <c r="D70" s="33" t="s">
        <v>727</v>
      </c>
      <c r="E70" s="31" t="s">
        <v>695</v>
      </c>
      <c r="F70" s="32">
        <v>1200</v>
      </c>
      <c r="G70" s="32">
        <v>1100</v>
      </c>
      <c r="H70" s="32">
        <v>1600</v>
      </c>
      <c r="I70" s="32">
        <v>1100</v>
      </c>
      <c r="J70" s="32">
        <v>1400</v>
      </c>
      <c r="K70" s="32">
        <v>1400</v>
      </c>
      <c r="L70" s="32">
        <v>1400</v>
      </c>
      <c r="M70" s="32">
        <v>1200</v>
      </c>
      <c r="N70" s="32">
        <v>0</v>
      </c>
      <c r="O70" s="32">
        <v>0</v>
      </c>
      <c r="P70" s="32">
        <v>0</v>
      </c>
      <c r="Q70" s="32">
        <v>0</v>
      </c>
      <c r="R70" s="13">
        <v>10400</v>
      </c>
    </row>
    <row r="71" spans="1:18" ht="17.5" thickBot="1" x14ac:dyDescent="0.65">
      <c r="A71" s="33" t="s">
        <v>179</v>
      </c>
      <c r="B71" s="29" t="s">
        <v>344</v>
      </c>
      <c r="C71" s="29" t="s">
        <v>345</v>
      </c>
      <c r="D71" s="33" t="s">
        <v>728</v>
      </c>
      <c r="E71" s="31" t="s">
        <v>695</v>
      </c>
      <c r="F71" s="32">
        <v>900</v>
      </c>
      <c r="G71" s="32">
        <v>900</v>
      </c>
      <c r="H71" s="32">
        <v>1300</v>
      </c>
      <c r="I71" s="32">
        <v>700</v>
      </c>
      <c r="J71" s="32">
        <v>900</v>
      </c>
      <c r="K71" s="32">
        <v>1000</v>
      </c>
      <c r="L71" s="32">
        <v>1050</v>
      </c>
      <c r="M71" s="32">
        <v>1000</v>
      </c>
      <c r="N71" s="32">
        <v>0</v>
      </c>
      <c r="O71" s="32">
        <v>0</v>
      </c>
      <c r="P71" s="32">
        <v>0</v>
      </c>
      <c r="Q71" s="32">
        <v>0</v>
      </c>
      <c r="R71" s="13">
        <v>7750</v>
      </c>
    </row>
    <row r="72" spans="1:18" ht="17.5" thickBot="1" x14ac:dyDescent="0.65">
      <c r="A72" s="33" t="s">
        <v>179</v>
      </c>
      <c r="B72" s="29" t="s">
        <v>190</v>
      </c>
      <c r="C72" s="29" t="s">
        <v>191</v>
      </c>
      <c r="D72" s="33" t="s">
        <v>192</v>
      </c>
      <c r="E72" s="31" t="s">
        <v>694</v>
      </c>
      <c r="F72" s="32">
        <v>800</v>
      </c>
      <c r="G72" s="32">
        <v>600</v>
      </c>
      <c r="H72" s="32">
        <v>800</v>
      </c>
      <c r="I72" s="32">
        <v>500</v>
      </c>
      <c r="J72" s="32">
        <v>700</v>
      </c>
      <c r="K72" s="32">
        <v>700</v>
      </c>
      <c r="L72" s="32">
        <v>600</v>
      </c>
      <c r="M72" s="32">
        <v>600</v>
      </c>
      <c r="N72" s="32">
        <v>0</v>
      </c>
      <c r="O72" s="32">
        <v>0</v>
      </c>
      <c r="P72" s="32">
        <v>0</v>
      </c>
      <c r="Q72" s="32">
        <v>0</v>
      </c>
      <c r="R72" s="13">
        <v>5300</v>
      </c>
    </row>
    <row r="73" spans="1:18" ht="17.5" thickBot="1" x14ac:dyDescent="0.65">
      <c r="A73" s="33" t="s">
        <v>179</v>
      </c>
      <c r="B73" s="29" t="s">
        <v>180</v>
      </c>
      <c r="C73" s="29" t="s">
        <v>181</v>
      </c>
      <c r="D73" s="33" t="s">
        <v>182</v>
      </c>
      <c r="E73" s="31" t="s">
        <v>694</v>
      </c>
      <c r="F73" s="32">
        <v>2300</v>
      </c>
      <c r="G73" s="32">
        <v>2100</v>
      </c>
      <c r="H73" s="32">
        <v>2200</v>
      </c>
      <c r="I73" s="32">
        <v>2000</v>
      </c>
      <c r="J73" s="32">
        <v>2100</v>
      </c>
      <c r="K73" s="32">
        <v>2100</v>
      </c>
      <c r="L73" s="32">
        <v>2000</v>
      </c>
      <c r="M73" s="32">
        <v>2000</v>
      </c>
      <c r="N73" s="32">
        <v>0</v>
      </c>
      <c r="O73" s="32">
        <v>0</v>
      </c>
      <c r="P73" s="32">
        <v>0</v>
      </c>
      <c r="Q73" s="32">
        <v>0</v>
      </c>
      <c r="R73" s="13">
        <v>16800</v>
      </c>
    </row>
    <row r="74" spans="1:18" ht="17.5" thickBot="1" x14ac:dyDescent="0.65">
      <c r="A74" s="33" t="s">
        <v>179</v>
      </c>
      <c r="B74" s="29" t="s">
        <v>193</v>
      </c>
      <c r="C74" s="29" t="s">
        <v>194</v>
      </c>
      <c r="D74" s="33" t="s">
        <v>195</v>
      </c>
      <c r="E74" s="31" t="s">
        <v>694</v>
      </c>
      <c r="F74" s="32">
        <v>800</v>
      </c>
      <c r="G74" s="32">
        <v>600</v>
      </c>
      <c r="H74" s="32">
        <v>800</v>
      </c>
      <c r="I74" s="32">
        <v>600</v>
      </c>
      <c r="J74" s="32">
        <v>700</v>
      </c>
      <c r="K74" s="32">
        <v>700</v>
      </c>
      <c r="L74" s="32">
        <v>600</v>
      </c>
      <c r="M74" s="32">
        <v>600</v>
      </c>
      <c r="N74" s="32">
        <v>0</v>
      </c>
      <c r="O74" s="32">
        <v>0</v>
      </c>
      <c r="P74" s="32">
        <v>0</v>
      </c>
      <c r="Q74" s="32">
        <v>0</v>
      </c>
      <c r="R74" s="13">
        <v>5400</v>
      </c>
    </row>
    <row r="75" spans="1:18" ht="17.5" thickBot="1" x14ac:dyDescent="0.65">
      <c r="A75" s="33" t="s">
        <v>179</v>
      </c>
      <c r="B75" s="29" t="s">
        <v>322</v>
      </c>
      <c r="C75" s="29" t="s">
        <v>323</v>
      </c>
      <c r="D75" s="33" t="s">
        <v>729</v>
      </c>
      <c r="E75" s="31" t="s">
        <v>694</v>
      </c>
      <c r="F75" s="32">
        <v>500</v>
      </c>
      <c r="G75" s="32">
        <v>500</v>
      </c>
      <c r="H75" s="32">
        <v>500</v>
      </c>
      <c r="I75" s="32">
        <v>500</v>
      </c>
      <c r="J75" s="32">
        <v>500</v>
      </c>
      <c r="K75" s="32">
        <v>500</v>
      </c>
      <c r="L75" s="32">
        <v>400</v>
      </c>
      <c r="M75" s="32">
        <v>400</v>
      </c>
      <c r="N75" s="32">
        <v>0</v>
      </c>
      <c r="O75" s="32">
        <v>0</v>
      </c>
      <c r="P75" s="32">
        <v>0</v>
      </c>
      <c r="Q75" s="32">
        <v>0</v>
      </c>
      <c r="R75" s="13">
        <v>3800</v>
      </c>
    </row>
    <row r="76" spans="1:18" ht="17.5" thickBot="1" x14ac:dyDescent="0.65">
      <c r="A76" s="33" t="s">
        <v>179</v>
      </c>
      <c r="B76" s="29" t="s">
        <v>187</v>
      </c>
      <c r="C76" s="29" t="s">
        <v>188</v>
      </c>
      <c r="D76" s="33" t="s">
        <v>189</v>
      </c>
      <c r="E76" s="31" t="s">
        <v>694</v>
      </c>
      <c r="F76" s="32">
        <v>1300</v>
      </c>
      <c r="G76" s="32">
        <v>1100</v>
      </c>
      <c r="H76" s="32">
        <v>1300</v>
      </c>
      <c r="I76" s="32">
        <v>1100</v>
      </c>
      <c r="J76" s="32">
        <v>1200</v>
      </c>
      <c r="K76" s="32">
        <v>1200</v>
      </c>
      <c r="L76" s="32">
        <v>1100</v>
      </c>
      <c r="M76" s="32">
        <v>1100</v>
      </c>
      <c r="N76" s="32">
        <v>0</v>
      </c>
      <c r="O76" s="32">
        <v>0</v>
      </c>
      <c r="P76" s="32">
        <v>0</v>
      </c>
      <c r="Q76" s="32">
        <v>0</v>
      </c>
      <c r="R76" s="13">
        <v>9400</v>
      </c>
    </row>
    <row r="77" spans="1:18" ht="17.5" thickBot="1" x14ac:dyDescent="0.65">
      <c r="A77" s="33" t="s">
        <v>179</v>
      </c>
      <c r="B77" s="29" t="s">
        <v>180</v>
      </c>
      <c r="C77" s="29" t="s">
        <v>183</v>
      </c>
      <c r="D77" s="33" t="s">
        <v>184</v>
      </c>
      <c r="E77" s="31" t="s">
        <v>694</v>
      </c>
      <c r="F77" s="32">
        <v>1900</v>
      </c>
      <c r="G77" s="32">
        <v>1500</v>
      </c>
      <c r="H77" s="32">
        <v>1900</v>
      </c>
      <c r="I77" s="32">
        <v>1500</v>
      </c>
      <c r="J77" s="32">
        <v>1700</v>
      </c>
      <c r="K77" s="32">
        <v>1700</v>
      </c>
      <c r="L77" s="32">
        <v>1500</v>
      </c>
      <c r="M77" s="32">
        <v>1500</v>
      </c>
      <c r="N77" s="32">
        <v>0</v>
      </c>
      <c r="O77" s="32">
        <v>0</v>
      </c>
      <c r="P77" s="32">
        <v>0</v>
      </c>
      <c r="Q77" s="32">
        <v>0</v>
      </c>
      <c r="R77" s="13">
        <v>13200</v>
      </c>
    </row>
    <row r="78" spans="1:18" ht="17.5" thickBot="1" x14ac:dyDescent="0.65">
      <c r="A78" s="33" t="s">
        <v>179</v>
      </c>
      <c r="B78" s="29" t="s">
        <v>196</v>
      </c>
      <c r="C78" s="29" t="s">
        <v>197</v>
      </c>
      <c r="D78" s="33" t="s">
        <v>198</v>
      </c>
      <c r="E78" s="31" t="s">
        <v>694</v>
      </c>
      <c r="F78" s="32">
        <v>1500</v>
      </c>
      <c r="G78" s="32">
        <v>1300</v>
      </c>
      <c r="H78" s="32">
        <v>1500</v>
      </c>
      <c r="I78" s="32">
        <v>1300</v>
      </c>
      <c r="J78" s="32">
        <v>1400</v>
      </c>
      <c r="K78" s="32">
        <v>1400</v>
      </c>
      <c r="L78" s="32">
        <v>1300</v>
      </c>
      <c r="M78" s="32">
        <v>1300</v>
      </c>
      <c r="N78" s="32">
        <v>0</v>
      </c>
      <c r="O78" s="32">
        <v>0</v>
      </c>
      <c r="P78" s="32">
        <v>0</v>
      </c>
      <c r="Q78" s="32">
        <v>0</v>
      </c>
      <c r="R78" s="13">
        <v>11000</v>
      </c>
    </row>
    <row r="79" spans="1:18" ht="17.5" thickBot="1" x14ac:dyDescent="0.65">
      <c r="A79" s="33" t="s">
        <v>179</v>
      </c>
      <c r="B79" s="29" t="s">
        <v>196</v>
      </c>
      <c r="C79" s="29" t="s">
        <v>199</v>
      </c>
      <c r="D79" s="33" t="s">
        <v>200</v>
      </c>
      <c r="E79" s="31" t="s">
        <v>694</v>
      </c>
      <c r="F79" s="32">
        <v>500</v>
      </c>
      <c r="G79" s="32">
        <v>300</v>
      </c>
      <c r="H79" s="32">
        <v>500</v>
      </c>
      <c r="I79" s="32">
        <v>300</v>
      </c>
      <c r="J79" s="32">
        <v>400</v>
      </c>
      <c r="K79" s="32">
        <v>400</v>
      </c>
      <c r="L79" s="32">
        <v>300</v>
      </c>
      <c r="M79" s="32">
        <v>300</v>
      </c>
      <c r="N79" s="32">
        <v>0</v>
      </c>
      <c r="O79" s="32">
        <v>0</v>
      </c>
      <c r="P79" s="32">
        <v>0</v>
      </c>
      <c r="Q79" s="32">
        <v>0</v>
      </c>
      <c r="R79" s="13">
        <v>3000</v>
      </c>
    </row>
    <row r="80" spans="1:18" ht="17.5" thickBot="1" x14ac:dyDescent="0.65">
      <c r="A80" s="33" t="s">
        <v>179</v>
      </c>
      <c r="B80" s="29" t="s">
        <v>180</v>
      </c>
      <c r="C80" s="29" t="s">
        <v>185</v>
      </c>
      <c r="D80" s="33" t="s">
        <v>186</v>
      </c>
      <c r="E80" s="31" t="s">
        <v>694</v>
      </c>
      <c r="F80" s="32">
        <v>1800</v>
      </c>
      <c r="G80" s="32">
        <v>1600</v>
      </c>
      <c r="H80" s="32">
        <v>1800</v>
      </c>
      <c r="I80" s="32">
        <v>1600</v>
      </c>
      <c r="J80" s="32">
        <v>1700</v>
      </c>
      <c r="K80" s="32">
        <v>1700</v>
      </c>
      <c r="L80" s="32">
        <v>1600</v>
      </c>
      <c r="M80" s="32">
        <v>1600</v>
      </c>
      <c r="N80" s="32">
        <v>0</v>
      </c>
      <c r="O80" s="32">
        <v>0</v>
      </c>
      <c r="P80" s="32">
        <v>0</v>
      </c>
      <c r="Q80" s="32">
        <v>0</v>
      </c>
      <c r="R80" s="13">
        <v>13400</v>
      </c>
    </row>
    <row r="81" spans="1:18" ht="17.5" thickBot="1" x14ac:dyDescent="0.65">
      <c r="A81" s="33" t="s">
        <v>179</v>
      </c>
      <c r="B81" s="29" t="s">
        <v>312</v>
      </c>
      <c r="C81" s="29" t="s">
        <v>313</v>
      </c>
      <c r="D81" s="33" t="s">
        <v>314</v>
      </c>
      <c r="E81" s="31" t="s">
        <v>694</v>
      </c>
      <c r="F81" s="32">
        <v>2600</v>
      </c>
      <c r="G81" s="32">
        <v>2400</v>
      </c>
      <c r="H81" s="32">
        <v>2600</v>
      </c>
      <c r="I81" s="32">
        <v>2400</v>
      </c>
      <c r="J81" s="32">
        <v>2500</v>
      </c>
      <c r="K81" s="32">
        <v>2500</v>
      </c>
      <c r="L81" s="32">
        <v>2400</v>
      </c>
      <c r="M81" s="32">
        <v>2400</v>
      </c>
      <c r="N81" s="32">
        <v>0</v>
      </c>
      <c r="O81" s="32">
        <v>0</v>
      </c>
      <c r="P81" s="32">
        <v>0</v>
      </c>
      <c r="Q81" s="32">
        <v>0</v>
      </c>
      <c r="R81" s="13">
        <v>19800</v>
      </c>
    </row>
    <row r="82" spans="1:18" ht="17.5" thickBot="1" x14ac:dyDescent="0.65">
      <c r="A82" s="33" t="s">
        <v>179</v>
      </c>
      <c r="B82" s="29" t="s">
        <v>329</v>
      </c>
      <c r="C82" s="29" t="s">
        <v>330</v>
      </c>
      <c r="D82" s="33" t="s">
        <v>730</v>
      </c>
      <c r="E82" s="31" t="s">
        <v>694</v>
      </c>
      <c r="F82" s="32">
        <v>400</v>
      </c>
      <c r="G82" s="32">
        <v>200</v>
      </c>
      <c r="H82" s="32">
        <v>400</v>
      </c>
      <c r="I82" s="32">
        <v>200</v>
      </c>
      <c r="J82" s="32">
        <v>300</v>
      </c>
      <c r="K82" s="32">
        <v>300</v>
      </c>
      <c r="L82" s="32">
        <v>200</v>
      </c>
      <c r="M82" s="32">
        <v>200</v>
      </c>
      <c r="N82" s="32">
        <v>0</v>
      </c>
      <c r="O82" s="32">
        <v>0</v>
      </c>
      <c r="P82" s="32">
        <v>0</v>
      </c>
      <c r="Q82" s="32">
        <v>0</v>
      </c>
      <c r="R82" s="13">
        <v>2200</v>
      </c>
    </row>
    <row r="83" spans="1:18" ht="17.5" thickBot="1" x14ac:dyDescent="0.65">
      <c r="A83" s="33" t="s">
        <v>179</v>
      </c>
      <c r="B83" s="29" t="s">
        <v>346</v>
      </c>
      <c r="C83" s="29" t="s">
        <v>347</v>
      </c>
      <c r="D83" s="33" t="s">
        <v>731</v>
      </c>
      <c r="E83" s="31" t="s">
        <v>694</v>
      </c>
      <c r="F83" s="32">
        <v>400</v>
      </c>
      <c r="G83" s="32">
        <v>200</v>
      </c>
      <c r="H83" s="32">
        <v>400</v>
      </c>
      <c r="I83" s="32">
        <v>200</v>
      </c>
      <c r="J83" s="32">
        <v>300</v>
      </c>
      <c r="K83" s="32">
        <v>300</v>
      </c>
      <c r="L83" s="32">
        <v>200</v>
      </c>
      <c r="M83" s="32">
        <v>200</v>
      </c>
      <c r="N83" s="32">
        <v>0</v>
      </c>
      <c r="O83" s="32">
        <v>0</v>
      </c>
      <c r="P83" s="32">
        <v>0</v>
      </c>
      <c r="Q83" s="32">
        <v>0</v>
      </c>
      <c r="R83" s="13">
        <v>2200</v>
      </c>
    </row>
    <row r="84" spans="1:18" ht="17.5" thickBot="1" x14ac:dyDescent="0.65">
      <c r="A84" s="33" t="s">
        <v>179</v>
      </c>
      <c r="B84" s="29" t="s">
        <v>322</v>
      </c>
      <c r="C84" s="29" t="s">
        <v>324</v>
      </c>
      <c r="D84" s="33" t="s">
        <v>732</v>
      </c>
      <c r="E84" s="31" t="s">
        <v>694</v>
      </c>
      <c r="F84" s="32">
        <v>200</v>
      </c>
      <c r="G84" s="32">
        <v>200</v>
      </c>
      <c r="H84" s="32">
        <v>200</v>
      </c>
      <c r="I84" s="32">
        <v>200</v>
      </c>
      <c r="J84" s="32">
        <v>200</v>
      </c>
      <c r="K84" s="32">
        <v>200</v>
      </c>
      <c r="L84" s="32">
        <v>200</v>
      </c>
      <c r="M84" s="32">
        <v>200</v>
      </c>
      <c r="N84" s="32">
        <v>0</v>
      </c>
      <c r="O84" s="32">
        <v>0</v>
      </c>
      <c r="P84" s="32">
        <v>0</v>
      </c>
      <c r="Q84" s="32">
        <v>0</v>
      </c>
      <c r="R84" s="13">
        <v>1600</v>
      </c>
    </row>
    <row r="85" spans="1:18" ht="17.5" thickBot="1" x14ac:dyDescent="0.65">
      <c r="A85" s="33" t="s">
        <v>179</v>
      </c>
      <c r="B85" s="29" t="s">
        <v>217</v>
      </c>
      <c r="C85" s="29" t="s">
        <v>218</v>
      </c>
      <c r="D85" s="33" t="s">
        <v>219</v>
      </c>
      <c r="E85" s="31" t="s">
        <v>694</v>
      </c>
      <c r="F85" s="32">
        <v>2400</v>
      </c>
      <c r="G85" s="32">
        <v>2400</v>
      </c>
      <c r="H85" s="32">
        <v>2900</v>
      </c>
      <c r="I85" s="32">
        <v>1900</v>
      </c>
      <c r="J85" s="32">
        <v>2700</v>
      </c>
      <c r="K85" s="32">
        <v>2700</v>
      </c>
      <c r="L85" s="32">
        <v>2700</v>
      </c>
      <c r="M85" s="32">
        <v>2700</v>
      </c>
      <c r="N85" s="32">
        <v>0</v>
      </c>
      <c r="O85" s="32">
        <v>0</v>
      </c>
      <c r="P85" s="32">
        <v>0</v>
      </c>
      <c r="Q85" s="32">
        <v>0</v>
      </c>
      <c r="R85" s="13">
        <v>20400</v>
      </c>
    </row>
    <row r="86" spans="1:18" ht="17.5" thickBot="1" x14ac:dyDescent="0.65">
      <c r="A86" s="33" t="s">
        <v>179</v>
      </c>
      <c r="B86" s="29" t="s">
        <v>217</v>
      </c>
      <c r="C86" s="29" t="s">
        <v>222</v>
      </c>
      <c r="D86" s="33" t="s">
        <v>223</v>
      </c>
      <c r="E86" s="31" t="s">
        <v>694</v>
      </c>
      <c r="F86" s="32">
        <v>900</v>
      </c>
      <c r="G86" s="32">
        <v>900</v>
      </c>
      <c r="H86" s="32">
        <v>1100</v>
      </c>
      <c r="I86" s="32">
        <v>700</v>
      </c>
      <c r="J86" s="32">
        <v>1000</v>
      </c>
      <c r="K86" s="32">
        <v>1000</v>
      </c>
      <c r="L86" s="32">
        <v>1100</v>
      </c>
      <c r="M86" s="32">
        <v>1100</v>
      </c>
      <c r="N86" s="32">
        <v>0</v>
      </c>
      <c r="O86" s="32">
        <v>0</v>
      </c>
      <c r="P86" s="32">
        <v>0</v>
      </c>
      <c r="Q86" s="32">
        <v>0</v>
      </c>
      <c r="R86" s="13">
        <v>7800</v>
      </c>
    </row>
    <row r="87" spans="1:18" ht="17.5" thickBot="1" x14ac:dyDescent="0.65">
      <c r="A87" s="33" t="s">
        <v>179</v>
      </c>
      <c r="B87" s="29" t="s">
        <v>227</v>
      </c>
      <c r="C87" s="29" t="s">
        <v>228</v>
      </c>
      <c r="D87" s="33" t="s">
        <v>229</v>
      </c>
      <c r="E87" s="31" t="s">
        <v>694</v>
      </c>
      <c r="F87" s="32">
        <v>1000</v>
      </c>
      <c r="G87" s="32">
        <v>1000</v>
      </c>
      <c r="H87" s="32">
        <v>1200</v>
      </c>
      <c r="I87" s="32">
        <v>800</v>
      </c>
      <c r="J87" s="32">
        <v>1000</v>
      </c>
      <c r="K87" s="32">
        <v>1000</v>
      </c>
      <c r="L87" s="32">
        <v>1000</v>
      </c>
      <c r="M87" s="32">
        <v>1100</v>
      </c>
      <c r="N87" s="32">
        <v>0</v>
      </c>
      <c r="O87" s="32">
        <v>0</v>
      </c>
      <c r="P87" s="32">
        <v>0</v>
      </c>
      <c r="Q87" s="32">
        <v>0</v>
      </c>
      <c r="R87" s="13">
        <v>8100</v>
      </c>
    </row>
    <row r="88" spans="1:18" ht="17.5" thickBot="1" x14ac:dyDescent="0.65">
      <c r="A88" s="33" t="s">
        <v>179</v>
      </c>
      <c r="B88" s="29" t="s">
        <v>331</v>
      </c>
      <c r="C88" s="29" t="s">
        <v>333</v>
      </c>
      <c r="D88" s="33" t="s">
        <v>733</v>
      </c>
      <c r="E88" s="31" t="s">
        <v>694</v>
      </c>
      <c r="F88" s="32">
        <v>1350</v>
      </c>
      <c r="G88" s="32">
        <v>1300</v>
      </c>
      <c r="H88" s="32">
        <v>1700</v>
      </c>
      <c r="I88" s="32">
        <v>950</v>
      </c>
      <c r="J88" s="32">
        <v>1450</v>
      </c>
      <c r="K88" s="32">
        <v>1450</v>
      </c>
      <c r="L88" s="32">
        <v>1500</v>
      </c>
      <c r="M88" s="32">
        <v>1500</v>
      </c>
      <c r="N88" s="32">
        <v>0</v>
      </c>
      <c r="O88" s="32">
        <v>0</v>
      </c>
      <c r="P88" s="32">
        <v>0</v>
      </c>
      <c r="Q88" s="32">
        <v>0</v>
      </c>
      <c r="R88" s="13">
        <v>11200</v>
      </c>
    </row>
    <row r="89" spans="1:18" ht="17.5" thickBot="1" x14ac:dyDescent="0.65">
      <c r="A89" s="33" t="s">
        <v>179</v>
      </c>
      <c r="B89" s="29" t="s">
        <v>214</v>
      </c>
      <c r="C89" s="29" t="s">
        <v>215</v>
      </c>
      <c r="D89" s="33" t="s">
        <v>216</v>
      </c>
      <c r="E89" s="31" t="s">
        <v>694</v>
      </c>
      <c r="F89" s="32">
        <v>1200</v>
      </c>
      <c r="G89" s="32">
        <v>1200</v>
      </c>
      <c r="H89" s="32">
        <v>1700</v>
      </c>
      <c r="I89" s="32">
        <v>900</v>
      </c>
      <c r="J89" s="32">
        <v>1300</v>
      </c>
      <c r="K89" s="32">
        <v>1300</v>
      </c>
      <c r="L89" s="32">
        <v>1300</v>
      </c>
      <c r="M89" s="32">
        <v>1300</v>
      </c>
      <c r="N89" s="32">
        <v>0</v>
      </c>
      <c r="O89" s="32">
        <v>0</v>
      </c>
      <c r="P89" s="32">
        <v>0</v>
      </c>
      <c r="Q89" s="32">
        <v>0</v>
      </c>
      <c r="R89" s="13">
        <v>10200</v>
      </c>
    </row>
    <row r="90" spans="1:18" ht="17.5" thickBot="1" x14ac:dyDescent="0.65">
      <c r="A90" s="33" t="s">
        <v>179</v>
      </c>
      <c r="B90" s="29" t="s">
        <v>201</v>
      </c>
      <c r="C90" s="29" t="s">
        <v>208</v>
      </c>
      <c r="D90" s="33" t="s">
        <v>209</v>
      </c>
      <c r="E90" s="31" t="s">
        <v>694</v>
      </c>
      <c r="F90" s="32">
        <v>1200</v>
      </c>
      <c r="G90" s="32">
        <v>1200</v>
      </c>
      <c r="H90" s="32">
        <v>1600</v>
      </c>
      <c r="I90" s="32">
        <v>900</v>
      </c>
      <c r="J90" s="32">
        <v>1300</v>
      </c>
      <c r="K90" s="32">
        <v>1400</v>
      </c>
      <c r="L90" s="32">
        <v>1400</v>
      </c>
      <c r="M90" s="32">
        <v>1400</v>
      </c>
      <c r="N90" s="32">
        <v>0</v>
      </c>
      <c r="O90" s="32">
        <v>0</v>
      </c>
      <c r="P90" s="32">
        <v>0</v>
      </c>
      <c r="Q90" s="32">
        <v>0</v>
      </c>
      <c r="R90" s="13">
        <v>10400</v>
      </c>
    </row>
    <row r="91" spans="1:18" ht="17.5" thickBot="1" x14ac:dyDescent="0.65">
      <c r="A91" s="33" t="s">
        <v>179</v>
      </c>
      <c r="B91" s="29" t="s">
        <v>217</v>
      </c>
      <c r="C91" s="29" t="s">
        <v>220</v>
      </c>
      <c r="D91" s="33" t="s">
        <v>221</v>
      </c>
      <c r="E91" s="31" t="s">
        <v>694</v>
      </c>
      <c r="F91" s="32">
        <v>1000</v>
      </c>
      <c r="G91" s="32">
        <v>1000</v>
      </c>
      <c r="H91" s="32">
        <v>1300</v>
      </c>
      <c r="I91" s="32">
        <v>800</v>
      </c>
      <c r="J91" s="32">
        <v>1200</v>
      </c>
      <c r="K91" s="32">
        <v>1100</v>
      </c>
      <c r="L91" s="32">
        <v>1200</v>
      </c>
      <c r="M91" s="32">
        <v>1200</v>
      </c>
      <c r="N91" s="32">
        <v>0</v>
      </c>
      <c r="O91" s="32">
        <v>0</v>
      </c>
      <c r="P91" s="32">
        <v>0</v>
      </c>
      <c r="Q91" s="32">
        <v>0</v>
      </c>
      <c r="R91" s="13">
        <v>8800</v>
      </c>
    </row>
    <row r="92" spans="1:18" ht="17.5" thickBot="1" x14ac:dyDescent="0.65">
      <c r="A92" s="33" t="s">
        <v>179</v>
      </c>
      <c r="B92" s="29" t="s">
        <v>224</v>
      </c>
      <c r="C92" s="29" t="s">
        <v>225</v>
      </c>
      <c r="D92" s="33" t="s">
        <v>226</v>
      </c>
      <c r="E92" s="31" t="s">
        <v>694</v>
      </c>
      <c r="F92" s="32">
        <v>1600</v>
      </c>
      <c r="G92" s="32">
        <v>1600</v>
      </c>
      <c r="H92" s="32">
        <v>1900</v>
      </c>
      <c r="I92" s="32">
        <v>1200</v>
      </c>
      <c r="J92" s="32">
        <v>1700</v>
      </c>
      <c r="K92" s="32">
        <v>1700</v>
      </c>
      <c r="L92" s="32">
        <v>1700</v>
      </c>
      <c r="M92" s="32">
        <v>1700</v>
      </c>
      <c r="N92" s="32">
        <v>0</v>
      </c>
      <c r="O92" s="32">
        <v>0</v>
      </c>
      <c r="P92" s="32">
        <v>0</v>
      </c>
      <c r="Q92" s="32">
        <v>0</v>
      </c>
      <c r="R92" s="13">
        <v>13100</v>
      </c>
    </row>
    <row r="93" spans="1:18" ht="17.5" thickBot="1" x14ac:dyDescent="0.65">
      <c r="A93" s="33" t="s">
        <v>179</v>
      </c>
      <c r="B93" s="29" t="s">
        <v>201</v>
      </c>
      <c r="C93" s="29" t="s">
        <v>204</v>
      </c>
      <c r="D93" s="33" t="s">
        <v>205</v>
      </c>
      <c r="E93" s="31" t="s">
        <v>694</v>
      </c>
      <c r="F93" s="32">
        <v>1350</v>
      </c>
      <c r="G93" s="32">
        <v>1350</v>
      </c>
      <c r="H93" s="32">
        <v>1800</v>
      </c>
      <c r="I93" s="32">
        <v>900</v>
      </c>
      <c r="J93" s="32">
        <v>1400</v>
      </c>
      <c r="K93" s="32">
        <v>1400</v>
      </c>
      <c r="L93" s="32">
        <v>1400</v>
      </c>
      <c r="M93" s="32">
        <v>1400</v>
      </c>
      <c r="N93" s="32">
        <v>0</v>
      </c>
      <c r="O93" s="32">
        <v>0</v>
      </c>
      <c r="P93" s="32">
        <v>0</v>
      </c>
      <c r="Q93" s="32">
        <v>0</v>
      </c>
      <c r="R93" s="13">
        <v>11000</v>
      </c>
    </row>
    <row r="94" spans="1:18" ht="17.5" thickBot="1" x14ac:dyDescent="0.65">
      <c r="A94" s="33" t="s">
        <v>179</v>
      </c>
      <c r="B94" s="29" t="s">
        <v>201</v>
      </c>
      <c r="C94" s="29" t="s">
        <v>206</v>
      </c>
      <c r="D94" s="33" t="s">
        <v>207</v>
      </c>
      <c r="E94" s="31" t="s">
        <v>694</v>
      </c>
      <c r="F94" s="32">
        <v>1150</v>
      </c>
      <c r="G94" s="32">
        <v>1150</v>
      </c>
      <c r="H94" s="32">
        <v>1500</v>
      </c>
      <c r="I94" s="32">
        <v>800</v>
      </c>
      <c r="J94" s="32">
        <v>1200</v>
      </c>
      <c r="K94" s="32">
        <v>1200</v>
      </c>
      <c r="L94" s="32">
        <v>1200</v>
      </c>
      <c r="M94" s="32">
        <v>1200</v>
      </c>
      <c r="N94" s="32">
        <v>0</v>
      </c>
      <c r="O94" s="32">
        <v>0</v>
      </c>
      <c r="P94" s="32">
        <v>0</v>
      </c>
      <c r="Q94" s="32">
        <v>0</v>
      </c>
      <c r="R94" s="13">
        <v>9400</v>
      </c>
    </row>
    <row r="95" spans="1:18" ht="17.5" thickBot="1" x14ac:dyDescent="0.65">
      <c r="A95" s="33" t="s">
        <v>179</v>
      </c>
      <c r="B95" s="29" t="s">
        <v>201</v>
      </c>
      <c r="C95" s="29" t="s">
        <v>210</v>
      </c>
      <c r="D95" s="33" t="s">
        <v>211</v>
      </c>
      <c r="E95" s="31" t="s">
        <v>694</v>
      </c>
      <c r="F95" s="32">
        <v>900</v>
      </c>
      <c r="G95" s="32">
        <v>900</v>
      </c>
      <c r="H95" s="32">
        <v>1200</v>
      </c>
      <c r="I95" s="32">
        <v>700</v>
      </c>
      <c r="J95" s="32">
        <v>900</v>
      </c>
      <c r="K95" s="32">
        <v>900</v>
      </c>
      <c r="L95" s="32">
        <v>900</v>
      </c>
      <c r="M95" s="32">
        <v>900</v>
      </c>
      <c r="N95" s="32">
        <v>0</v>
      </c>
      <c r="O95" s="32">
        <v>0</v>
      </c>
      <c r="P95" s="32">
        <v>0</v>
      </c>
      <c r="Q95" s="32">
        <v>0</v>
      </c>
      <c r="R95" s="13">
        <v>7300</v>
      </c>
    </row>
    <row r="96" spans="1:18" ht="17.5" thickBot="1" x14ac:dyDescent="0.65">
      <c r="A96" s="33" t="s">
        <v>179</v>
      </c>
      <c r="B96" s="29" t="s">
        <v>201</v>
      </c>
      <c r="C96" s="29" t="s">
        <v>212</v>
      </c>
      <c r="D96" s="33" t="s">
        <v>213</v>
      </c>
      <c r="E96" s="31" t="s">
        <v>694</v>
      </c>
      <c r="F96" s="32">
        <v>800</v>
      </c>
      <c r="G96" s="32">
        <v>800</v>
      </c>
      <c r="H96" s="32">
        <v>1000</v>
      </c>
      <c r="I96" s="32">
        <v>700</v>
      </c>
      <c r="J96" s="32">
        <v>900</v>
      </c>
      <c r="K96" s="32">
        <v>900</v>
      </c>
      <c r="L96" s="32">
        <v>900</v>
      </c>
      <c r="M96" s="32">
        <v>900</v>
      </c>
      <c r="N96" s="32">
        <v>0</v>
      </c>
      <c r="O96" s="32">
        <v>0</v>
      </c>
      <c r="P96" s="32">
        <v>0</v>
      </c>
      <c r="Q96" s="32">
        <v>0</v>
      </c>
      <c r="R96" s="13">
        <v>6900</v>
      </c>
    </row>
    <row r="97" spans="1:18" ht="17.5" thickBot="1" x14ac:dyDescent="0.65">
      <c r="A97" s="33" t="s">
        <v>179</v>
      </c>
      <c r="B97" s="29" t="s">
        <v>201</v>
      </c>
      <c r="C97" s="29" t="s">
        <v>202</v>
      </c>
      <c r="D97" s="33" t="s">
        <v>203</v>
      </c>
      <c r="E97" s="31" t="s">
        <v>694</v>
      </c>
      <c r="F97" s="32">
        <v>400</v>
      </c>
      <c r="G97" s="32">
        <v>400</v>
      </c>
      <c r="H97" s="32">
        <v>700</v>
      </c>
      <c r="I97" s="32">
        <v>300</v>
      </c>
      <c r="J97" s="32">
        <v>500</v>
      </c>
      <c r="K97" s="32">
        <v>500</v>
      </c>
      <c r="L97" s="32">
        <v>500</v>
      </c>
      <c r="M97" s="32">
        <v>500</v>
      </c>
      <c r="N97" s="32">
        <v>0</v>
      </c>
      <c r="O97" s="32">
        <v>0</v>
      </c>
      <c r="P97" s="32">
        <v>0</v>
      </c>
      <c r="Q97" s="32">
        <v>0</v>
      </c>
      <c r="R97" s="13">
        <v>3800</v>
      </c>
    </row>
    <row r="98" spans="1:18" ht="17.5" thickBot="1" x14ac:dyDescent="0.65">
      <c r="A98" s="33" t="s">
        <v>179</v>
      </c>
      <c r="B98" s="29" t="s">
        <v>334</v>
      </c>
      <c r="C98" s="29" t="s">
        <v>335</v>
      </c>
      <c r="D98" s="33" t="s">
        <v>734</v>
      </c>
      <c r="E98" s="31" t="s">
        <v>694</v>
      </c>
      <c r="F98" s="32">
        <v>800</v>
      </c>
      <c r="G98" s="32">
        <v>800</v>
      </c>
      <c r="H98" s="32">
        <v>1100</v>
      </c>
      <c r="I98" s="32">
        <v>600</v>
      </c>
      <c r="J98" s="32">
        <v>800</v>
      </c>
      <c r="K98" s="32">
        <v>900</v>
      </c>
      <c r="L98" s="32">
        <v>900</v>
      </c>
      <c r="M98" s="32">
        <v>900</v>
      </c>
      <c r="N98" s="32">
        <v>0</v>
      </c>
      <c r="O98" s="32">
        <v>0</v>
      </c>
      <c r="P98" s="32">
        <v>0</v>
      </c>
      <c r="Q98" s="32">
        <v>0</v>
      </c>
      <c r="R98" s="13">
        <v>6800</v>
      </c>
    </row>
    <row r="99" spans="1:18" ht="17.5" thickBot="1" x14ac:dyDescent="0.65">
      <c r="A99" s="33" t="s">
        <v>179</v>
      </c>
      <c r="B99" s="29" t="s">
        <v>318</v>
      </c>
      <c r="C99" s="29" t="s">
        <v>319</v>
      </c>
      <c r="D99" s="33" t="s">
        <v>735</v>
      </c>
      <c r="E99" s="31" t="s">
        <v>694</v>
      </c>
      <c r="F99" s="32">
        <v>1800</v>
      </c>
      <c r="G99" s="32">
        <v>1800</v>
      </c>
      <c r="H99" s="32">
        <v>2200</v>
      </c>
      <c r="I99" s="32">
        <v>1500</v>
      </c>
      <c r="J99" s="32">
        <v>1900</v>
      </c>
      <c r="K99" s="32">
        <v>1800</v>
      </c>
      <c r="L99" s="32">
        <v>1800</v>
      </c>
      <c r="M99" s="32">
        <v>1800</v>
      </c>
      <c r="N99" s="32">
        <v>0</v>
      </c>
      <c r="O99" s="32">
        <v>0</v>
      </c>
      <c r="P99" s="32">
        <v>0</v>
      </c>
      <c r="Q99" s="32">
        <v>0</v>
      </c>
      <c r="R99" s="13">
        <v>14600</v>
      </c>
    </row>
    <row r="100" spans="1:18" ht="17.5" thickBot="1" x14ac:dyDescent="0.65">
      <c r="A100" s="33" t="s">
        <v>179</v>
      </c>
      <c r="B100" s="29" t="s">
        <v>320</v>
      </c>
      <c r="C100" s="29" t="s">
        <v>321</v>
      </c>
      <c r="D100" s="33" t="s">
        <v>736</v>
      </c>
      <c r="E100" s="31" t="s">
        <v>694</v>
      </c>
      <c r="F100" s="32">
        <v>600</v>
      </c>
      <c r="G100" s="32">
        <v>600</v>
      </c>
      <c r="H100" s="32">
        <v>1000</v>
      </c>
      <c r="I100" s="32">
        <v>500</v>
      </c>
      <c r="J100" s="32">
        <v>600</v>
      </c>
      <c r="K100" s="32">
        <v>600</v>
      </c>
      <c r="L100" s="32">
        <v>600</v>
      </c>
      <c r="M100" s="32">
        <v>700</v>
      </c>
      <c r="N100" s="32">
        <v>0</v>
      </c>
      <c r="O100" s="32">
        <v>0</v>
      </c>
      <c r="P100" s="32">
        <v>0</v>
      </c>
      <c r="Q100" s="32">
        <v>0</v>
      </c>
      <c r="R100" s="13">
        <v>5200</v>
      </c>
    </row>
    <row r="101" spans="1:18" ht="17.5" thickBot="1" x14ac:dyDescent="0.65">
      <c r="A101" s="33" t="s">
        <v>179</v>
      </c>
      <c r="B101" s="29" t="s">
        <v>325</v>
      </c>
      <c r="C101" s="29" t="s">
        <v>326</v>
      </c>
      <c r="D101" s="33" t="s">
        <v>737</v>
      </c>
      <c r="E101" s="31" t="s">
        <v>694</v>
      </c>
      <c r="F101" s="32">
        <v>1050</v>
      </c>
      <c r="G101" s="32">
        <v>1100</v>
      </c>
      <c r="H101" s="32">
        <v>1400</v>
      </c>
      <c r="I101" s="32">
        <v>950</v>
      </c>
      <c r="J101" s="32">
        <v>1150</v>
      </c>
      <c r="K101" s="32">
        <v>1150</v>
      </c>
      <c r="L101" s="32">
        <v>1150</v>
      </c>
      <c r="M101" s="32">
        <v>1150</v>
      </c>
      <c r="N101" s="32">
        <v>0</v>
      </c>
      <c r="O101" s="32">
        <v>0</v>
      </c>
      <c r="P101" s="32">
        <v>0</v>
      </c>
      <c r="Q101" s="32">
        <v>0</v>
      </c>
      <c r="R101" s="13">
        <v>9100</v>
      </c>
    </row>
    <row r="102" spans="1:18" ht="17.5" thickBot="1" x14ac:dyDescent="0.65">
      <c r="A102" s="33" t="s">
        <v>179</v>
      </c>
      <c r="B102" s="29" t="s">
        <v>230</v>
      </c>
      <c r="C102" s="29" t="s">
        <v>231</v>
      </c>
      <c r="D102" s="33" t="s">
        <v>232</v>
      </c>
      <c r="E102" s="31" t="s">
        <v>694</v>
      </c>
      <c r="F102" s="32">
        <v>1100</v>
      </c>
      <c r="G102" s="32">
        <v>1100</v>
      </c>
      <c r="H102" s="32">
        <v>1400</v>
      </c>
      <c r="I102" s="32">
        <v>800</v>
      </c>
      <c r="J102" s="32">
        <v>1100</v>
      </c>
      <c r="K102" s="32">
        <v>1200</v>
      </c>
      <c r="L102" s="32">
        <v>1200</v>
      </c>
      <c r="M102" s="32">
        <v>1200</v>
      </c>
      <c r="N102" s="32">
        <v>0</v>
      </c>
      <c r="O102" s="32">
        <v>0</v>
      </c>
      <c r="P102" s="32">
        <v>0</v>
      </c>
      <c r="Q102" s="32">
        <v>0</v>
      </c>
      <c r="R102" s="13">
        <v>9100</v>
      </c>
    </row>
    <row r="103" spans="1:18" ht="17.5" thickBot="1" x14ac:dyDescent="0.65">
      <c r="A103" s="33" t="s">
        <v>179</v>
      </c>
      <c r="B103" s="29" t="s">
        <v>341</v>
      </c>
      <c r="C103" s="29" t="s">
        <v>342</v>
      </c>
      <c r="D103" s="33" t="s">
        <v>343</v>
      </c>
      <c r="E103" s="31" t="s">
        <v>694</v>
      </c>
      <c r="F103" s="32">
        <v>800</v>
      </c>
      <c r="G103" s="32">
        <v>800</v>
      </c>
      <c r="H103" s="32">
        <v>1200</v>
      </c>
      <c r="I103" s="32">
        <v>600</v>
      </c>
      <c r="J103" s="32">
        <v>800</v>
      </c>
      <c r="K103" s="32">
        <v>900</v>
      </c>
      <c r="L103" s="32">
        <v>900</v>
      </c>
      <c r="M103" s="32">
        <v>1000</v>
      </c>
      <c r="N103" s="32">
        <v>0</v>
      </c>
      <c r="O103" s="32">
        <v>0</v>
      </c>
      <c r="P103" s="32">
        <v>0</v>
      </c>
      <c r="Q103" s="32">
        <v>0</v>
      </c>
      <c r="R103" s="13">
        <v>7000</v>
      </c>
    </row>
    <row r="104" spans="1:18" ht="17.5" thickBot="1" x14ac:dyDescent="0.65">
      <c r="A104" s="33" t="s">
        <v>179</v>
      </c>
      <c r="B104" s="29" t="s">
        <v>315</v>
      </c>
      <c r="C104" s="29" t="s">
        <v>316</v>
      </c>
      <c r="D104" s="33" t="s">
        <v>317</v>
      </c>
      <c r="E104" s="31" t="s">
        <v>694</v>
      </c>
      <c r="F104" s="32">
        <v>600</v>
      </c>
      <c r="G104" s="32">
        <v>600</v>
      </c>
      <c r="H104" s="32">
        <v>700</v>
      </c>
      <c r="I104" s="32">
        <v>500</v>
      </c>
      <c r="J104" s="32">
        <v>500</v>
      </c>
      <c r="K104" s="32">
        <v>500</v>
      </c>
      <c r="L104" s="32">
        <v>500</v>
      </c>
      <c r="M104" s="32">
        <v>500</v>
      </c>
      <c r="N104" s="32">
        <v>0</v>
      </c>
      <c r="O104" s="32">
        <v>0</v>
      </c>
      <c r="P104" s="32">
        <v>0</v>
      </c>
      <c r="Q104" s="32">
        <v>0</v>
      </c>
      <c r="R104" s="13">
        <v>4400</v>
      </c>
    </row>
    <row r="105" spans="1:18" ht="17.5" thickBot="1" x14ac:dyDescent="0.65">
      <c r="A105" s="33" t="s">
        <v>179</v>
      </c>
      <c r="B105" s="29" t="s">
        <v>336</v>
      </c>
      <c r="C105" s="29" t="s">
        <v>339</v>
      </c>
      <c r="D105" s="33" t="s">
        <v>340</v>
      </c>
      <c r="E105" s="31" t="s">
        <v>694</v>
      </c>
      <c r="F105" s="32">
        <v>700</v>
      </c>
      <c r="G105" s="32">
        <v>700</v>
      </c>
      <c r="H105" s="32">
        <v>1000</v>
      </c>
      <c r="I105" s="32">
        <v>600</v>
      </c>
      <c r="J105" s="32">
        <v>700</v>
      </c>
      <c r="K105" s="32">
        <v>700</v>
      </c>
      <c r="L105" s="32">
        <v>800</v>
      </c>
      <c r="M105" s="32">
        <v>800</v>
      </c>
      <c r="N105" s="32">
        <v>0</v>
      </c>
      <c r="O105" s="32">
        <v>0</v>
      </c>
      <c r="P105" s="32">
        <v>0</v>
      </c>
      <c r="Q105" s="32">
        <v>0</v>
      </c>
      <c r="R105" s="13">
        <v>6000</v>
      </c>
    </row>
    <row r="106" spans="1:18" ht="17.5" thickBot="1" x14ac:dyDescent="0.65">
      <c r="A106" s="33" t="s">
        <v>179</v>
      </c>
      <c r="B106" s="29" t="s">
        <v>233</v>
      </c>
      <c r="C106" s="29" t="s">
        <v>234</v>
      </c>
      <c r="D106" s="33" t="s">
        <v>235</v>
      </c>
      <c r="E106" s="31" t="s">
        <v>694</v>
      </c>
      <c r="F106" s="32">
        <v>600</v>
      </c>
      <c r="G106" s="32">
        <v>500</v>
      </c>
      <c r="H106" s="32">
        <v>600</v>
      </c>
      <c r="I106" s="32">
        <v>500</v>
      </c>
      <c r="J106" s="32">
        <v>600</v>
      </c>
      <c r="K106" s="32">
        <v>600</v>
      </c>
      <c r="L106" s="32">
        <v>700</v>
      </c>
      <c r="M106" s="32">
        <v>600</v>
      </c>
      <c r="N106" s="32">
        <v>0</v>
      </c>
      <c r="O106" s="32">
        <v>0</v>
      </c>
      <c r="P106" s="32">
        <v>0</v>
      </c>
      <c r="Q106" s="32">
        <v>0</v>
      </c>
      <c r="R106" s="13">
        <v>4700</v>
      </c>
    </row>
    <row r="107" spans="1:18" ht="17.5" thickBot="1" x14ac:dyDescent="0.65">
      <c r="A107" s="33" t="s">
        <v>179</v>
      </c>
      <c r="B107" s="29" t="s">
        <v>245</v>
      </c>
      <c r="C107" s="29" t="s">
        <v>246</v>
      </c>
      <c r="D107" s="33" t="s">
        <v>247</v>
      </c>
      <c r="E107" s="31" t="s">
        <v>694</v>
      </c>
      <c r="F107" s="32">
        <v>0</v>
      </c>
      <c r="G107" s="32">
        <v>0</v>
      </c>
      <c r="H107" s="32">
        <v>0</v>
      </c>
      <c r="I107" s="32">
        <v>0</v>
      </c>
      <c r="J107" s="32">
        <v>0</v>
      </c>
      <c r="K107" s="32">
        <v>0</v>
      </c>
      <c r="L107" s="32">
        <v>0</v>
      </c>
      <c r="M107" s="32">
        <v>0</v>
      </c>
      <c r="N107" s="32">
        <v>0</v>
      </c>
      <c r="O107" s="32">
        <v>0</v>
      </c>
      <c r="P107" s="32">
        <v>0</v>
      </c>
      <c r="Q107" s="32">
        <v>0</v>
      </c>
      <c r="R107" s="13">
        <v>0</v>
      </c>
    </row>
    <row r="108" spans="1:18" ht="17.5" thickBot="1" x14ac:dyDescent="0.65">
      <c r="A108" s="33" t="s">
        <v>179</v>
      </c>
      <c r="B108" s="29" t="s">
        <v>248</v>
      </c>
      <c r="C108" s="29" t="s">
        <v>251</v>
      </c>
      <c r="D108" s="33" t="s">
        <v>252</v>
      </c>
      <c r="E108" s="31" t="s">
        <v>694</v>
      </c>
      <c r="F108" s="32">
        <v>800</v>
      </c>
      <c r="G108" s="32">
        <v>800</v>
      </c>
      <c r="H108" s="32">
        <v>900</v>
      </c>
      <c r="I108" s="32">
        <v>600</v>
      </c>
      <c r="J108" s="32">
        <v>800</v>
      </c>
      <c r="K108" s="32">
        <v>800</v>
      </c>
      <c r="L108" s="32">
        <v>900</v>
      </c>
      <c r="M108" s="32">
        <v>800</v>
      </c>
      <c r="N108" s="32">
        <v>0</v>
      </c>
      <c r="O108" s="32">
        <v>0</v>
      </c>
      <c r="P108" s="32">
        <v>0</v>
      </c>
      <c r="Q108" s="32">
        <v>0</v>
      </c>
      <c r="R108" s="13">
        <v>6400</v>
      </c>
    </row>
    <row r="109" spans="1:18" ht="17.5" thickBot="1" x14ac:dyDescent="0.65">
      <c r="A109" s="33" t="s">
        <v>179</v>
      </c>
      <c r="B109" s="29" t="s">
        <v>256</v>
      </c>
      <c r="C109" s="29" t="s">
        <v>257</v>
      </c>
      <c r="D109" s="33" t="s">
        <v>258</v>
      </c>
      <c r="E109" s="31" t="s">
        <v>694</v>
      </c>
      <c r="F109" s="32">
        <v>700</v>
      </c>
      <c r="G109" s="32">
        <v>700</v>
      </c>
      <c r="H109" s="32">
        <v>700</v>
      </c>
      <c r="I109" s="32">
        <v>500</v>
      </c>
      <c r="J109" s="32">
        <v>700</v>
      </c>
      <c r="K109" s="32">
        <v>700</v>
      </c>
      <c r="L109" s="32">
        <v>700</v>
      </c>
      <c r="M109" s="32">
        <v>700</v>
      </c>
      <c r="N109" s="32">
        <v>0</v>
      </c>
      <c r="O109" s="32">
        <v>0</v>
      </c>
      <c r="P109" s="32">
        <v>0</v>
      </c>
      <c r="Q109" s="32">
        <v>0</v>
      </c>
      <c r="R109" s="13">
        <v>5400</v>
      </c>
    </row>
    <row r="110" spans="1:18" ht="17.5" thickBot="1" x14ac:dyDescent="0.65">
      <c r="A110" s="33" t="s">
        <v>179</v>
      </c>
      <c r="B110" s="29" t="s">
        <v>256</v>
      </c>
      <c r="C110" s="29" t="s">
        <v>259</v>
      </c>
      <c r="D110" s="33" t="s">
        <v>260</v>
      </c>
      <c r="E110" s="31" t="s">
        <v>694</v>
      </c>
      <c r="F110" s="32">
        <v>1600</v>
      </c>
      <c r="G110" s="32">
        <v>1700</v>
      </c>
      <c r="H110" s="32">
        <v>1900</v>
      </c>
      <c r="I110" s="32">
        <v>1400</v>
      </c>
      <c r="J110" s="32">
        <v>1600</v>
      </c>
      <c r="K110" s="32">
        <v>1500</v>
      </c>
      <c r="L110" s="32">
        <v>1600</v>
      </c>
      <c r="M110" s="32">
        <v>1500</v>
      </c>
      <c r="N110" s="32">
        <v>0</v>
      </c>
      <c r="O110" s="32">
        <v>0</v>
      </c>
      <c r="P110" s="32">
        <v>0</v>
      </c>
      <c r="Q110" s="32">
        <v>0</v>
      </c>
      <c r="R110" s="13">
        <v>12800</v>
      </c>
    </row>
    <row r="111" spans="1:18" ht="17.5" thickBot="1" x14ac:dyDescent="0.65">
      <c r="A111" s="33" t="s">
        <v>179</v>
      </c>
      <c r="B111" s="29" t="s">
        <v>253</v>
      </c>
      <c r="C111" s="29" t="s">
        <v>254</v>
      </c>
      <c r="D111" s="33" t="s">
        <v>255</v>
      </c>
      <c r="E111" s="31" t="s">
        <v>694</v>
      </c>
      <c r="F111" s="32">
        <v>700</v>
      </c>
      <c r="G111" s="32">
        <v>600</v>
      </c>
      <c r="H111" s="32">
        <v>700</v>
      </c>
      <c r="I111" s="32">
        <v>600</v>
      </c>
      <c r="J111" s="32">
        <v>700</v>
      </c>
      <c r="K111" s="32">
        <v>700</v>
      </c>
      <c r="L111" s="32">
        <v>700</v>
      </c>
      <c r="M111" s="32">
        <v>700</v>
      </c>
      <c r="N111" s="32">
        <v>0</v>
      </c>
      <c r="O111" s="32">
        <v>0</v>
      </c>
      <c r="P111" s="32">
        <v>0</v>
      </c>
      <c r="Q111" s="32">
        <v>0</v>
      </c>
      <c r="R111" s="13">
        <v>5400</v>
      </c>
    </row>
    <row r="112" spans="1:18" ht="17.5" thickBot="1" x14ac:dyDescent="0.65">
      <c r="A112" s="33" t="s">
        <v>179</v>
      </c>
      <c r="B112" s="29" t="s">
        <v>248</v>
      </c>
      <c r="C112" s="29" t="s">
        <v>249</v>
      </c>
      <c r="D112" s="33" t="s">
        <v>250</v>
      </c>
      <c r="E112" s="31" t="s">
        <v>694</v>
      </c>
      <c r="F112" s="32">
        <v>1000</v>
      </c>
      <c r="G112" s="32">
        <v>1000</v>
      </c>
      <c r="H112" s="32">
        <v>1100</v>
      </c>
      <c r="I112" s="32">
        <v>800</v>
      </c>
      <c r="J112" s="32">
        <v>1000</v>
      </c>
      <c r="K112" s="32">
        <v>1000</v>
      </c>
      <c r="L112" s="32">
        <v>1000</v>
      </c>
      <c r="M112" s="32">
        <v>900</v>
      </c>
      <c r="N112" s="32">
        <v>0</v>
      </c>
      <c r="O112" s="32">
        <v>0</v>
      </c>
      <c r="P112" s="32">
        <v>0</v>
      </c>
      <c r="Q112" s="32">
        <v>0</v>
      </c>
      <c r="R112" s="13">
        <v>7800</v>
      </c>
    </row>
    <row r="113" spans="1:18" ht="17.5" thickBot="1" x14ac:dyDescent="0.65">
      <c r="A113" s="33" t="s">
        <v>179</v>
      </c>
      <c r="B113" s="29" t="s">
        <v>293</v>
      </c>
      <c r="C113" s="29" t="s">
        <v>294</v>
      </c>
      <c r="D113" s="33" t="s">
        <v>295</v>
      </c>
      <c r="E113" s="31" t="s">
        <v>694</v>
      </c>
      <c r="F113" s="32">
        <v>1400</v>
      </c>
      <c r="G113" s="32">
        <v>1400</v>
      </c>
      <c r="H113" s="32">
        <v>1500</v>
      </c>
      <c r="I113" s="32">
        <v>1100</v>
      </c>
      <c r="J113" s="32">
        <v>1400</v>
      </c>
      <c r="K113" s="32">
        <v>1400</v>
      </c>
      <c r="L113" s="32">
        <v>1500</v>
      </c>
      <c r="M113" s="32">
        <v>1200</v>
      </c>
      <c r="N113" s="32">
        <v>0</v>
      </c>
      <c r="O113" s="32">
        <v>0</v>
      </c>
      <c r="P113" s="32">
        <v>0</v>
      </c>
      <c r="Q113" s="32">
        <v>0</v>
      </c>
      <c r="R113" s="13">
        <v>10900</v>
      </c>
    </row>
    <row r="114" spans="1:18" ht="17.5" thickBot="1" x14ac:dyDescent="0.65">
      <c r="A114" s="33" t="s">
        <v>179</v>
      </c>
      <c r="B114" s="29" t="s">
        <v>239</v>
      </c>
      <c r="C114" s="29" t="s">
        <v>240</v>
      </c>
      <c r="D114" s="33" t="s">
        <v>241</v>
      </c>
      <c r="E114" s="31" t="s">
        <v>694</v>
      </c>
      <c r="F114" s="32">
        <v>700</v>
      </c>
      <c r="G114" s="32">
        <v>700</v>
      </c>
      <c r="H114" s="32">
        <v>700</v>
      </c>
      <c r="I114" s="32">
        <v>600</v>
      </c>
      <c r="J114" s="32">
        <v>700</v>
      </c>
      <c r="K114" s="32">
        <v>700</v>
      </c>
      <c r="L114" s="32">
        <v>700</v>
      </c>
      <c r="M114" s="32">
        <v>700</v>
      </c>
      <c r="N114" s="32">
        <v>0</v>
      </c>
      <c r="O114" s="32">
        <v>0</v>
      </c>
      <c r="P114" s="32">
        <v>0</v>
      </c>
      <c r="Q114" s="32">
        <v>0</v>
      </c>
      <c r="R114" s="13">
        <v>5500</v>
      </c>
    </row>
    <row r="115" spans="1:18" ht="17.5" thickBot="1" x14ac:dyDescent="0.65">
      <c r="A115" s="33" t="s">
        <v>179</v>
      </c>
      <c r="B115" s="29" t="s">
        <v>307</v>
      </c>
      <c r="C115" s="29" t="s">
        <v>308</v>
      </c>
      <c r="D115" s="33" t="s">
        <v>309</v>
      </c>
      <c r="E115" s="31" t="s">
        <v>694</v>
      </c>
      <c r="F115" s="32">
        <v>900</v>
      </c>
      <c r="G115" s="32">
        <v>800</v>
      </c>
      <c r="H115" s="32">
        <v>900</v>
      </c>
      <c r="I115" s="32">
        <v>800</v>
      </c>
      <c r="J115" s="32">
        <v>900</v>
      </c>
      <c r="K115" s="32">
        <v>900</v>
      </c>
      <c r="L115" s="32">
        <v>1000</v>
      </c>
      <c r="M115" s="32">
        <v>900</v>
      </c>
      <c r="N115" s="32">
        <v>0</v>
      </c>
      <c r="O115" s="32">
        <v>0</v>
      </c>
      <c r="P115" s="32">
        <v>0</v>
      </c>
      <c r="Q115" s="32">
        <v>0</v>
      </c>
      <c r="R115" s="13">
        <v>7100</v>
      </c>
    </row>
    <row r="116" spans="1:18" ht="17.5" thickBot="1" x14ac:dyDescent="0.65">
      <c r="A116" s="33" t="s">
        <v>179</v>
      </c>
      <c r="B116" s="29" t="s">
        <v>310</v>
      </c>
      <c r="C116" s="29" t="s">
        <v>311</v>
      </c>
      <c r="D116" s="33" t="s">
        <v>738</v>
      </c>
      <c r="E116" s="31" t="s">
        <v>694</v>
      </c>
      <c r="F116" s="32">
        <v>700</v>
      </c>
      <c r="G116" s="32">
        <v>700</v>
      </c>
      <c r="H116" s="32">
        <v>700</v>
      </c>
      <c r="I116" s="32">
        <v>600</v>
      </c>
      <c r="J116" s="32">
        <v>700</v>
      </c>
      <c r="K116" s="32">
        <v>700</v>
      </c>
      <c r="L116" s="32">
        <v>700</v>
      </c>
      <c r="M116" s="32">
        <v>600</v>
      </c>
      <c r="N116" s="32">
        <v>0</v>
      </c>
      <c r="O116" s="32">
        <v>0</v>
      </c>
      <c r="P116" s="32">
        <v>0</v>
      </c>
      <c r="Q116" s="32">
        <v>0</v>
      </c>
      <c r="R116" s="13">
        <v>5400</v>
      </c>
    </row>
    <row r="117" spans="1:18" ht="17.5" thickBot="1" x14ac:dyDescent="0.65">
      <c r="A117" s="33" t="s">
        <v>179</v>
      </c>
      <c r="B117" s="29" t="s">
        <v>296</v>
      </c>
      <c r="C117" s="29" t="s">
        <v>299</v>
      </c>
      <c r="D117" s="33" t="s">
        <v>300</v>
      </c>
      <c r="E117" s="31" t="s">
        <v>694</v>
      </c>
      <c r="F117" s="32">
        <v>3700</v>
      </c>
      <c r="G117" s="32">
        <v>3700</v>
      </c>
      <c r="H117" s="32">
        <v>3900</v>
      </c>
      <c r="I117" s="32">
        <v>3100</v>
      </c>
      <c r="J117" s="32">
        <v>3700</v>
      </c>
      <c r="K117" s="32">
        <v>3500</v>
      </c>
      <c r="L117" s="32">
        <v>3600</v>
      </c>
      <c r="M117" s="32">
        <v>3300</v>
      </c>
      <c r="N117" s="32">
        <v>0</v>
      </c>
      <c r="O117" s="32">
        <v>0</v>
      </c>
      <c r="P117" s="32">
        <v>0</v>
      </c>
      <c r="Q117" s="32">
        <v>0</v>
      </c>
      <c r="R117" s="13">
        <v>28500</v>
      </c>
    </row>
    <row r="118" spans="1:18" ht="17.5" thickBot="1" x14ac:dyDescent="0.65">
      <c r="A118" s="33" t="s">
        <v>179</v>
      </c>
      <c r="B118" s="29" t="s">
        <v>296</v>
      </c>
      <c r="C118" s="29" t="s">
        <v>301</v>
      </c>
      <c r="D118" s="33" t="s">
        <v>302</v>
      </c>
      <c r="E118" s="31" t="s">
        <v>694</v>
      </c>
      <c r="F118" s="32">
        <v>2200</v>
      </c>
      <c r="G118" s="32">
        <v>2100</v>
      </c>
      <c r="H118" s="32">
        <v>2400</v>
      </c>
      <c r="I118" s="32">
        <v>1900</v>
      </c>
      <c r="J118" s="32">
        <v>2200</v>
      </c>
      <c r="K118" s="32">
        <v>2100</v>
      </c>
      <c r="L118" s="32">
        <v>2300</v>
      </c>
      <c r="M118" s="32">
        <v>2000</v>
      </c>
      <c r="N118" s="32">
        <v>0</v>
      </c>
      <c r="O118" s="32">
        <v>0</v>
      </c>
      <c r="P118" s="32">
        <v>0</v>
      </c>
      <c r="Q118" s="32">
        <v>0</v>
      </c>
      <c r="R118" s="13">
        <v>17200</v>
      </c>
    </row>
    <row r="119" spans="1:18" ht="17.5" thickBot="1" x14ac:dyDescent="0.65">
      <c r="A119" s="33" t="s">
        <v>179</v>
      </c>
      <c r="B119" s="29" t="s">
        <v>296</v>
      </c>
      <c r="C119" s="29" t="s">
        <v>297</v>
      </c>
      <c r="D119" s="33" t="s">
        <v>298</v>
      </c>
      <c r="E119" s="31" t="s">
        <v>694</v>
      </c>
      <c r="F119" s="32">
        <v>1300</v>
      </c>
      <c r="G119" s="32">
        <v>1200</v>
      </c>
      <c r="H119" s="32">
        <v>1400</v>
      </c>
      <c r="I119" s="32">
        <v>1100</v>
      </c>
      <c r="J119" s="32">
        <v>1300</v>
      </c>
      <c r="K119" s="32">
        <v>1200</v>
      </c>
      <c r="L119" s="32">
        <v>1300</v>
      </c>
      <c r="M119" s="32">
        <v>1200</v>
      </c>
      <c r="N119" s="32">
        <v>0</v>
      </c>
      <c r="O119" s="32">
        <v>0</v>
      </c>
      <c r="P119" s="32">
        <v>0</v>
      </c>
      <c r="Q119" s="32">
        <v>0</v>
      </c>
      <c r="R119" s="13">
        <v>10000</v>
      </c>
    </row>
    <row r="120" spans="1:18" ht="17.5" thickBot="1" x14ac:dyDescent="0.65">
      <c r="A120" s="33" t="s">
        <v>179</v>
      </c>
      <c r="B120" s="29" t="s">
        <v>296</v>
      </c>
      <c r="C120" s="29" t="s">
        <v>303</v>
      </c>
      <c r="D120" s="33" t="s">
        <v>304</v>
      </c>
      <c r="E120" s="31" t="s">
        <v>694</v>
      </c>
      <c r="F120" s="32">
        <v>1200</v>
      </c>
      <c r="G120" s="32">
        <v>1100</v>
      </c>
      <c r="H120" s="32">
        <v>1300</v>
      </c>
      <c r="I120" s="32">
        <v>1000</v>
      </c>
      <c r="J120" s="32">
        <v>1200</v>
      </c>
      <c r="K120" s="32">
        <v>1100</v>
      </c>
      <c r="L120" s="32">
        <v>1200</v>
      </c>
      <c r="M120" s="32">
        <v>1100</v>
      </c>
      <c r="N120" s="32">
        <v>0</v>
      </c>
      <c r="O120" s="32">
        <v>0</v>
      </c>
      <c r="P120" s="32">
        <v>0</v>
      </c>
      <c r="Q120" s="32">
        <v>0</v>
      </c>
      <c r="R120" s="13">
        <v>9200</v>
      </c>
    </row>
    <row r="121" spans="1:18" ht="17.5" thickBot="1" x14ac:dyDescent="0.65">
      <c r="A121" s="33" t="s">
        <v>179</v>
      </c>
      <c r="B121" s="29" t="s">
        <v>296</v>
      </c>
      <c r="C121" s="29" t="s">
        <v>305</v>
      </c>
      <c r="D121" s="33" t="s">
        <v>306</v>
      </c>
      <c r="E121" s="31" t="s">
        <v>694</v>
      </c>
      <c r="F121" s="32">
        <v>1900</v>
      </c>
      <c r="G121" s="32">
        <v>1900</v>
      </c>
      <c r="H121" s="32">
        <v>2100</v>
      </c>
      <c r="I121" s="32">
        <v>1500</v>
      </c>
      <c r="J121" s="32">
        <v>1900</v>
      </c>
      <c r="K121" s="32">
        <v>1900</v>
      </c>
      <c r="L121" s="32">
        <v>1900</v>
      </c>
      <c r="M121" s="32">
        <v>1700</v>
      </c>
      <c r="N121" s="32">
        <v>0</v>
      </c>
      <c r="O121" s="32">
        <v>0</v>
      </c>
      <c r="P121" s="32">
        <v>0</v>
      </c>
      <c r="Q121" s="32">
        <v>0</v>
      </c>
      <c r="R121" s="13">
        <v>14800</v>
      </c>
    </row>
    <row r="122" spans="1:18" ht="17.5" thickBot="1" x14ac:dyDescent="0.65">
      <c r="A122" s="33" t="s">
        <v>179</v>
      </c>
      <c r="B122" s="29" t="s">
        <v>236</v>
      </c>
      <c r="C122" s="29" t="s">
        <v>237</v>
      </c>
      <c r="D122" s="33" t="s">
        <v>238</v>
      </c>
      <c r="E122" s="31" t="s">
        <v>694</v>
      </c>
      <c r="F122" s="32">
        <v>1100</v>
      </c>
      <c r="G122" s="32">
        <v>1000</v>
      </c>
      <c r="H122" s="32">
        <v>1200</v>
      </c>
      <c r="I122" s="32">
        <v>900</v>
      </c>
      <c r="J122" s="32">
        <v>1100</v>
      </c>
      <c r="K122" s="32">
        <v>1000</v>
      </c>
      <c r="L122" s="32">
        <v>1100</v>
      </c>
      <c r="M122" s="32">
        <v>1000</v>
      </c>
      <c r="N122" s="32">
        <v>0</v>
      </c>
      <c r="O122" s="32">
        <v>0</v>
      </c>
      <c r="P122" s="32">
        <v>0</v>
      </c>
      <c r="Q122" s="32">
        <v>0</v>
      </c>
      <c r="R122" s="13">
        <v>8400</v>
      </c>
    </row>
    <row r="123" spans="1:18" ht="17.5" thickBot="1" x14ac:dyDescent="0.65">
      <c r="A123" s="33" t="s">
        <v>179</v>
      </c>
      <c r="B123" s="29" t="s">
        <v>327</v>
      </c>
      <c r="C123" s="29" t="s">
        <v>328</v>
      </c>
      <c r="D123" s="33" t="s">
        <v>739</v>
      </c>
      <c r="E123" s="31" t="s">
        <v>694</v>
      </c>
      <c r="F123" s="32">
        <v>700</v>
      </c>
      <c r="G123" s="32">
        <v>700</v>
      </c>
      <c r="H123" s="32">
        <v>700</v>
      </c>
      <c r="I123" s="32">
        <v>500</v>
      </c>
      <c r="J123" s="32">
        <v>700</v>
      </c>
      <c r="K123" s="32">
        <v>700</v>
      </c>
      <c r="L123" s="32">
        <v>700</v>
      </c>
      <c r="M123" s="32">
        <v>700</v>
      </c>
      <c r="N123" s="32">
        <v>0</v>
      </c>
      <c r="O123" s="32">
        <v>0</v>
      </c>
      <c r="P123" s="32">
        <v>0</v>
      </c>
      <c r="Q123" s="32">
        <v>0</v>
      </c>
      <c r="R123" s="13">
        <v>5400</v>
      </c>
    </row>
    <row r="124" spans="1:18" ht="17.5" thickBot="1" x14ac:dyDescent="0.65">
      <c r="A124" s="33" t="s">
        <v>179</v>
      </c>
      <c r="B124" s="29" t="s">
        <v>270</v>
      </c>
      <c r="C124" s="29" t="s">
        <v>271</v>
      </c>
      <c r="D124" s="33" t="s">
        <v>272</v>
      </c>
      <c r="E124" s="31" t="s">
        <v>694</v>
      </c>
      <c r="F124" s="32">
        <v>2100</v>
      </c>
      <c r="G124" s="32">
        <v>1900</v>
      </c>
      <c r="H124" s="32">
        <v>2200</v>
      </c>
      <c r="I124" s="32">
        <v>1700</v>
      </c>
      <c r="J124" s="32">
        <v>2000</v>
      </c>
      <c r="K124" s="32">
        <v>2000</v>
      </c>
      <c r="L124" s="32">
        <v>2100</v>
      </c>
      <c r="M124" s="32">
        <v>1900</v>
      </c>
      <c r="N124" s="32">
        <v>0</v>
      </c>
      <c r="O124" s="32">
        <v>0</v>
      </c>
      <c r="P124" s="32">
        <v>0</v>
      </c>
      <c r="Q124" s="32">
        <v>0</v>
      </c>
      <c r="R124" s="13">
        <v>15900</v>
      </c>
    </row>
    <row r="125" spans="1:18" ht="17.5" thickBot="1" x14ac:dyDescent="0.65">
      <c r="A125" s="33" t="s">
        <v>179</v>
      </c>
      <c r="B125" s="29" t="s">
        <v>256</v>
      </c>
      <c r="C125" s="29" t="s">
        <v>261</v>
      </c>
      <c r="D125" s="33" t="s">
        <v>262</v>
      </c>
      <c r="E125" s="31" t="s">
        <v>694</v>
      </c>
      <c r="F125" s="32">
        <v>1800</v>
      </c>
      <c r="G125" s="32">
        <v>1700</v>
      </c>
      <c r="H125" s="32">
        <v>2000</v>
      </c>
      <c r="I125" s="32">
        <v>1400</v>
      </c>
      <c r="J125" s="32">
        <v>1800</v>
      </c>
      <c r="K125" s="32">
        <v>1800</v>
      </c>
      <c r="L125" s="32">
        <v>1800</v>
      </c>
      <c r="M125" s="32">
        <v>1600</v>
      </c>
      <c r="N125" s="32">
        <v>0</v>
      </c>
      <c r="O125" s="32">
        <v>0</v>
      </c>
      <c r="P125" s="32">
        <v>0</v>
      </c>
      <c r="Q125" s="32">
        <v>0</v>
      </c>
      <c r="R125" s="13">
        <v>13900</v>
      </c>
    </row>
    <row r="126" spans="1:18" ht="17.5" thickBot="1" x14ac:dyDescent="0.65">
      <c r="A126" s="33" t="s">
        <v>179</v>
      </c>
      <c r="B126" s="29" t="s">
        <v>256</v>
      </c>
      <c r="C126" s="29" t="s">
        <v>263</v>
      </c>
      <c r="D126" s="33" t="s">
        <v>264</v>
      </c>
      <c r="E126" s="31" t="s">
        <v>694</v>
      </c>
      <c r="F126" s="32">
        <v>900</v>
      </c>
      <c r="G126" s="32">
        <v>900</v>
      </c>
      <c r="H126" s="32">
        <v>900</v>
      </c>
      <c r="I126" s="32">
        <v>800</v>
      </c>
      <c r="J126" s="32">
        <v>900</v>
      </c>
      <c r="K126" s="32">
        <v>900</v>
      </c>
      <c r="L126" s="32">
        <v>900</v>
      </c>
      <c r="M126" s="32">
        <v>900</v>
      </c>
      <c r="N126" s="32">
        <v>0</v>
      </c>
      <c r="O126" s="32">
        <v>0</v>
      </c>
      <c r="P126" s="32">
        <v>0</v>
      </c>
      <c r="Q126" s="32">
        <v>0</v>
      </c>
      <c r="R126" s="13">
        <v>7100</v>
      </c>
    </row>
    <row r="127" spans="1:18" ht="17.5" thickBot="1" x14ac:dyDescent="0.65">
      <c r="A127" s="33" t="s">
        <v>179</v>
      </c>
      <c r="B127" s="29" t="s">
        <v>275</v>
      </c>
      <c r="C127" s="29" t="s">
        <v>276</v>
      </c>
      <c r="D127" s="33" t="s">
        <v>277</v>
      </c>
      <c r="E127" s="31" t="s">
        <v>694</v>
      </c>
      <c r="F127" s="32">
        <v>2600</v>
      </c>
      <c r="G127" s="32">
        <v>2600</v>
      </c>
      <c r="H127" s="32">
        <v>2800</v>
      </c>
      <c r="I127" s="32">
        <v>2000</v>
      </c>
      <c r="J127" s="32">
        <v>2600</v>
      </c>
      <c r="K127" s="32">
        <v>2400</v>
      </c>
      <c r="L127" s="32">
        <v>2700</v>
      </c>
      <c r="M127" s="32">
        <v>2300</v>
      </c>
      <c r="N127" s="32">
        <v>0</v>
      </c>
      <c r="O127" s="32">
        <v>0</v>
      </c>
      <c r="P127" s="32">
        <v>0</v>
      </c>
      <c r="Q127" s="32">
        <v>0</v>
      </c>
      <c r="R127" s="13">
        <v>20000</v>
      </c>
    </row>
    <row r="128" spans="1:18" ht="17.5" thickBot="1" x14ac:dyDescent="0.65">
      <c r="A128" s="33" t="s">
        <v>179</v>
      </c>
      <c r="B128" s="29" t="s">
        <v>275</v>
      </c>
      <c r="C128" s="29" t="s">
        <v>278</v>
      </c>
      <c r="D128" s="33" t="s">
        <v>279</v>
      </c>
      <c r="E128" s="31" t="s">
        <v>694</v>
      </c>
      <c r="F128" s="32">
        <v>2600</v>
      </c>
      <c r="G128" s="32">
        <v>2600</v>
      </c>
      <c r="H128" s="32">
        <v>2800</v>
      </c>
      <c r="I128" s="32">
        <v>2000</v>
      </c>
      <c r="J128" s="32">
        <v>2500</v>
      </c>
      <c r="K128" s="32">
        <v>2300</v>
      </c>
      <c r="L128" s="32">
        <v>2500</v>
      </c>
      <c r="M128" s="32">
        <v>2400</v>
      </c>
      <c r="N128" s="32">
        <v>0</v>
      </c>
      <c r="O128" s="32">
        <v>0</v>
      </c>
      <c r="P128" s="32">
        <v>0</v>
      </c>
      <c r="Q128" s="32">
        <v>0</v>
      </c>
      <c r="R128" s="13">
        <v>19700</v>
      </c>
    </row>
    <row r="129" spans="1:18" ht="17.5" thickBot="1" x14ac:dyDescent="0.65">
      <c r="A129" s="33" t="s">
        <v>179</v>
      </c>
      <c r="B129" s="29" t="s">
        <v>275</v>
      </c>
      <c r="C129" s="29" t="s">
        <v>280</v>
      </c>
      <c r="D129" s="33" t="s">
        <v>281</v>
      </c>
      <c r="E129" s="31" t="s">
        <v>694</v>
      </c>
      <c r="F129" s="32">
        <v>1500</v>
      </c>
      <c r="G129" s="32">
        <v>1500</v>
      </c>
      <c r="H129" s="32">
        <v>1600</v>
      </c>
      <c r="I129" s="32">
        <v>1200</v>
      </c>
      <c r="J129" s="32">
        <v>1500</v>
      </c>
      <c r="K129" s="32">
        <v>1400</v>
      </c>
      <c r="L129" s="32">
        <v>1600</v>
      </c>
      <c r="M129" s="32">
        <v>1400</v>
      </c>
      <c r="N129" s="32">
        <v>0</v>
      </c>
      <c r="O129" s="32">
        <v>0</v>
      </c>
      <c r="P129" s="32">
        <v>0</v>
      </c>
      <c r="Q129" s="32">
        <v>0</v>
      </c>
      <c r="R129" s="13">
        <v>11700</v>
      </c>
    </row>
    <row r="130" spans="1:18" ht="17.5" thickBot="1" x14ac:dyDescent="0.65">
      <c r="A130" s="33" t="s">
        <v>179</v>
      </c>
      <c r="B130" s="29" t="s">
        <v>275</v>
      </c>
      <c r="C130" s="29" t="s">
        <v>282</v>
      </c>
      <c r="D130" s="33" t="s">
        <v>283</v>
      </c>
      <c r="E130" s="31" t="s">
        <v>694</v>
      </c>
      <c r="F130" s="32">
        <v>1000</v>
      </c>
      <c r="G130" s="32">
        <v>1000</v>
      </c>
      <c r="H130" s="32">
        <v>1000</v>
      </c>
      <c r="I130" s="32">
        <v>1000</v>
      </c>
      <c r="J130" s="32">
        <v>1000</v>
      </c>
      <c r="K130" s="32">
        <v>1000</v>
      </c>
      <c r="L130" s="32">
        <v>1000</v>
      </c>
      <c r="M130" s="32">
        <v>1000</v>
      </c>
      <c r="N130" s="32">
        <v>0</v>
      </c>
      <c r="O130" s="32">
        <v>0</v>
      </c>
      <c r="P130" s="32">
        <v>0</v>
      </c>
      <c r="Q130" s="32">
        <v>0</v>
      </c>
      <c r="R130" s="13">
        <v>8000</v>
      </c>
    </row>
    <row r="131" spans="1:18" ht="17.5" thickBot="1" x14ac:dyDescent="0.65">
      <c r="A131" s="33" t="s">
        <v>179</v>
      </c>
      <c r="B131" s="29" t="s">
        <v>284</v>
      </c>
      <c r="C131" s="29" t="s">
        <v>289</v>
      </c>
      <c r="D131" s="33" t="s">
        <v>290</v>
      </c>
      <c r="E131" s="31" t="s">
        <v>694</v>
      </c>
      <c r="F131" s="32">
        <v>1100</v>
      </c>
      <c r="G131" s="32">
        <v>1100</v>
      </c>
      <c r="H131" s="32">
        <v>1200</v>
      </c>
      <c r="I131" s="32">
        <v>900</v>
      </c>
      <c r="J131" s="32">
        <v>1100</v>
      </c>
      <c r="K131" s="32">
        <v>1100</v>
      </c>
      <c r="L131" s="32">
        <v>1200</v>
      </c>
      <c r="M131" s="32">
        <v>1100</v>
      </c>
      <c r="N131" s="32">
        <v>0</v>
      </c>
      <c r="O131" s="32">
        <v>0</v>
      </c>
      <c r="P131" s="32">
        <v>0</v>
      </c>
      <c r="Q131" s="32">
        <v>0</v>
      </c>
      <c r="R131" s="13">
        <v>8800</v>
      </c>
    </row>
    <row r="132" spans="1:18" ht="17.5" thickBot="1" x14ac:dyDescent="0.65">
      <c r="A132" s="33" t="s">
        <v>179</v>
      </c>
      <c r="B132" s="29" t="s">
        <v>242</v>
      </c>
      <c r="C132" s="29" t="s">
        <v>243</v>
      </c>
      <c r="D132" s="33" t="s">
        <v>244</v>
      </c>
      <c r="E132" s="31" t="s">
        <v>694</v>
      </c>
      <c r="F132" s="32">
        <v>1000</v>
      </c>
      <c r="G132" s="32">
        <v>1000</v>
      </c>
      <c r="H132" s="32">
        <v>1000</v>
      </c>
      <c r="I132" s="32">
        <v>900</v>
      </c>
      <c r="J132" s="32">
        <v>1000</v>
      </c>
      <c r="K132" s="32">
        <v>1000</v>
      </c>
      <c r="L132" s="32">
        <v>1100</v>
      </c>
      <c r="M132" s="32">
        <v>1000</v>
      </c>
      <c r="N132" s="32">
        <v>0</v>
      </c>
      <c r="O132" s="32">
        <v>0</v>
      </c>
      <c r="P132" s="32">
        <v>0</v>
      </c>
      <c r="Q132" s="32">
        <v>0</v>
      </c>
      <c r="R132" s="13">
        <v>8000</v>
      </c>
    </row>
    <row r="133" spans="1:18" ht="17.5" thickBot="1" x14ac:dyDescent="0.65">
      <c r="A133" s="33" t="s">
        <v>179</v>
      </c>
      <c r="B133" s="29" t="s">
        <v>284</v>
      </c>
      <c r="C133" s="29" t="s">
        <v>285</v>
      </c>
      <c r="D133" s="33" t="s">
        <v>286</v>
      </c>
      <c r="E133" s="31" t="s">
        <v>694</v>
      </c>
      <c r="F133" s="32">
        <v>1200</v>
      </c>
      <c r="G133" s="32">
        <v>1100</v>
      </c>
      <c r="H133" s="32">
        <v>1200</v>
      </c>
      <c r="I133" s="32">
        <v>1000</v>
      </c>
      <c r="J133" s="32">
        <v>1200</v>
      </c>
      <c r="K133" s="32">
        <v>1200</v>
      </c>
      <c r="L133" s="32">
        <v>1300</v>
      </c>
      <c r="M133" s="32">
        <v>1200</v>
      </c>
      <c r="N133" s="32">
        <v>0</v>
      </c>
      <c r="O133" s="32">
        <v>0</v>
      </c>
      <c r="P133" s="32">
        <v>0</v>
      </c>
      <c r="Q133" s="32">
        <v>0</v>
      </c>
      <c r="R133" s="13">
        <v>9400</v>
      </c>
    </row>
    <row r="134" spans="1:18" ht="17.5" thickBot="1" x14ac:dyDescent="0.65">
      <c r="A134" s="33" t="s">
        <v>179</v>
      </c>
      <c r="B134" s="29" t="s">
        <v>284</v>
      </c>
      <c r="C134" s="29" t="s">
        <v>287</v>
      </c>
      <c r="D134" s="33" t="s">
        <v>288</v>
      </c>
      <c r="E134" s="31" t="s">
        <v>694</v>
      </c>
      <c r="F134" s="32">
        <v>1300</v>
      </c>
      <c r="G134" s="32">
        <v>1300</v>
      </c>
      <c r="H134" s="32">
        <v>1400</v>
      </c>
      <c r="I134" s="32">
        <v>1000</v>
      </c>
      <c r="J134" s="32">
        <v>1300</v>
      </c>
      <c r="K134" s="32">
        <v>1200</v>
      </c>
      <c r="L134" s="32">
        <v>1300</v>
      </c>
      <c r="M134" s="32">
        <v>1200</v>
      </c>
      <c r="N134" s="32">
        <v>0</v>
      </c>
      <c r="O134" s="32">
        <v>0</v>
      </c>
      <c r="P134" s="32">
        <v>0</v>
      </c>
      <c r="Q134" s="32">
        <v>0</v>
      </c>
      <c r="R134" s="13">
        <v>10000</v>
      </c>
    </row>
    <row r="135" spans="1:18" ht="17.5" thickBot="1" x14ac:dyDescent="0.65">
      <c r="A135" s="33" t="s">
        <v>179</v>
      </c>
      <c r="B135" s="29" t="s">
        <v>265</v>
      </c>
      <c r="C135" s="29" t="s">
        <v>266</v>
      </c>
      <c r="D135" s="33" t="s">
        <v>267</v>
      </c>
      <c r="E135" s="31" t="s">
        <v>694</v>
      </c>
      <c r="F135" s="32">
        <v>700</v>
      </c>
      <c r="G135" s="32">
        <v>700</v>
      </c>
      <c r="H135" s="32">
        <v>700</v>
      </c>
      <c r="I135" s="32">
        <v>600</v>
      </c>
      <c r="J135" s="32">
        <v>700</v>
      </c>
      <c r="K135" s="32">
        <v>700</v>
      </c>
      <c r="L135" s="32">
        <v>700</v>
      </c>
      <c r="M135" s="32">
        <v>700</v>
      </c>
      <c r="N135" s="32">
        <v>0</v>
      </c>
      <c r="O135" s="32">
        <v>0</v>
      </c>
      <c r="P135" s="32">
        <v>0</v>
      </c>
      <c r="Q135" s="32">
        <v>0</v>
      </c>
      <c r="R135" s="13">
        <v>5500</v>
      </c>
    </row>
    <row r="136" spans="1:18" ht="17.5" thickBot="1" x14ac:dyDescent="0.65">
      <c r="A136" s="33" t="s">
        <v>179</v>
      </c>
      <c r="B136" s="29" t="s">
        <v>265</v>
      </c>
      <c r="C136" s="29" t="s">
        <v>268</v>
      </c>
      <c r="D136" s="33" t="s">
        <v>269</v>
      </c>
      <c r="E136" s="31" t="s">
        <v>694</v>
      </c>
      <c r="F136" s="32">
        <v>500</v>
      </c>
      <c r="G136" s="32">
        <v>500</v>
      </c>
      <c r="H136" s="32">
        <v>500</v>
      </c>
      <c r="I136" s="32">
        <v>500</v>
      </c>
      <c r="J136" s="32">
        <v>500</v>
      </c>
      <c r="K136" s="32">
        <v>500</v>
      </c>
      <c r="L136" s="32">
        <v>500</v>
      </c>
      <c r="M136" s="32">
        <v>500</v>
      </c>
      <c r="N136" s="32">
        <v>0</v>
      </c>
      <c r="O136" s="32">
        <v>0</v>
      </c>
      <c r="P136" s="32">
        <v>0</v>
      </c>
      <c r="Q136" s="32">
        <v>0</v>
      </c>
      <c r="R136" s="13">
        <v>4000</v>
      </c>
    </row>
    <row r="137" spans="1:18" ht="17.5" thickBot="1" x14ac:dyDescent="0.65">
      <c r="A137" s="33" t="s">
        <v>179</v>
      </c>
      <c r="B137" s="29" t="s">
        <v>270</v>
      </c>
      <c r="C137" s="29" t="s">
        <v>273</v>
      </c>
      <c r="D137" s="33" t="s">
        <v>274</v>
      </c>
      <c r="E137" s="31" t="s">
        <v>694</v>
      </c>
      <c r="F137" s="32">
        <v>1100</v>
      </c>
      <c r="G137" s="32">
        <v>1100</v>
      </c>
      <c r="H137" s="32">
        <v>1200</v>
      </c>
      <c r="I137" s="32">
        <v>800</v>
      </c>
      <c r="J137" s="32">
        <v>1100</v>
      </c>
      <c r="K137" s="32">
        <v>1100</v>
      </c>
      <c r="L137" s="32">
        <v>1100</v>
      </c>
      <c r="M137" s="32">
        <v>1000</v>
      </c>
      <c r="N137" s="32">
        <v>0</v>
      </c>
      <c r="O137" s="32">
        <v>0</v>
      </c>
      <c r="P137" s="32">
        <v>0</v>
      </c>
      <c r="Q137" s="32">
        <v>0</v>
      </c>
      <c r="R137" s="13">
        <v>8500</v>
      </c>
    </row>
    <row r="138" spans="1:18" ht="17.5" thickBot="1" x14ac:dyDescent="0.65">
      <c r="A138" s="33" t="s">
        <v>179</v>
      </c>
      <c r="B138" s="29" t="s">
        <v>284</v>
      </c>
      <c r="C138" s="29" t="s">
        <v>291</v>
      </c>
      <c r="D138" s="33" t="s">
        <v>292</v>
      </c>
      <c r="E138" s="31" t="s">
        <v>694</v>
      </c>
      <c r="F138" s="32">
        <v>700</v>
      </c>
      <c r="G138" s="32">
        <v>700</v>
      </c>
      <c r="H138" s="32">
        <v>700</v>
      </c>
      <c r="I138" s="32">
        <v>600</v>
      </c>
      <c r="J138" s="32">
        <v>700</v>
      </c>
      <c r="K138" s="32">
        <v>700</v>
      </c>
      <c r="L138" s="32">
        <v>700</v>
      </c>
      <c r="M138" s="32">
        <v>700</v>
      </c>
      <c r="N138" s="32">
        <v>0</v>
      </c>
      <c r="O138" s="32">
        <v>0</v>
      </c>
      <c r="P138" s="32">
        <v>0</v>
      </c>
      <c r="Q138" s="32">
        <v>0</v>
      </c>
      <c r="R138" s="13">
        <v>5500</v>
      </c>
    </row>
    <row r="139" spans="1:18" ht="17.5" thickBot="1" x14ac:dyDescent="0.65">
      <c r="A139" s="33" t="s">
        <v>348</v>
      </c>
      <c r="B139" s="29" t="s">
        <v>380</v>
      </c>
      <c r="C139" s="29" t="s">
        <v>381</v>
      </c>
      <c r="D139" s="33" t="s">
        <v>740</v>
      </c>
      <c r="E139" s="31" t="s">
        <v>695</v>
      </c>
      <c r="F139" s="32">
        <v>100</v>
      </c>
      <c r="G139" s="32">
        <v>100</v>
      </c>
      <c r="H139" s="32">
        <v>100</v>
      </c>
      <c r="I139" s="32">
        <v>100</v>
      </c>
      <c r="J139" s="32">
        <v>100</v>
      </c>
      <c r="K139" s="32">
        <v>100</v>
      </c>
      <c r="L139" s="32">
        <v>100</v>
      </c>
      <c r="M139" s="32">
        <v>100</v>
      </c>
      <c r="N139" s="32">
        <v>0</v>
      </c>
      <c r="O139" s="32">
        <v>0</v>
      </c>
      <c r="P139" s="32">
        <v>0</v>
      </c>
      <c r="Q139" s="32">
        <v>0</v>
      </c>
      <c r="R139" s="13">
        <v>800</v>
      </c>
    </row>
    <row r="140" spans="1:18" ht="17.5" thickBot="1" x14ac:dyDescent="0.65">
      <c r="A140" s="33" t="s">
        <v>348</v>
      </c>
      <c r="B140" s="29" t="s">
        <v>349</v>
      </c>
      <c r="C140" s="29" t="s">
        <v>352</v>
      </c>
      <c r="D140" s="33" t="s">
        <v>353</v>
      </c>
      <c r="E140" s="31" t="s">
        <v>694</v>
      </c>
      <c r="F140" s="32">
        <v>200</v>
      </c>
      <c r="G140" s="32">
        <v>200</v>
      </c>
      <c r="H140" s="32">
        <v>229.99999999999997</v>
      </c>
      <c r="I140" s="32">
        <v>170</v>
      </c>
      <c r="J140" s="32">
        <v>200</v>
      </c>
      <c r="K140" s="32">
        <v>200</v>
      </c>
      <c r="L140" s="32">
        <v>200</v>
      </c>
      <c r="M140" s="32">
        <v>200</v>
      </c>
      <c r="N140" s="32">
        <v>0</v>
      </c>
      <c r="O140" s="32">
        <v>0</v>
      </c>
      <c r="P140" s="32">
        <v>0</v>
      </c>
      <c r="Q140" s="32">
        <v>0</v>
      </c>
      <c r="R140" s="13">
        <v>1600</v>
      </c>
    </row>
    <row r="141" spans="1:18" ht="17.5" thickBot="1" x14ac:dyDescent="0.65">
      <c r="A141" s="33" t="s">
        <v>348</v>
      </c>
      <c r="B141" s="29" t="s">
        <v>390</v>
      </c>
      <c r="C141" s="29" t="s">
        <v>393</v>
      </c>
      <c r="D141" s="33" t="s">
        <v>741</v>
      </c>
      <c r="E141" s="31" t="s">
        <v>695</v>
      </c>
      <c r="F141" s="32">
        <v>200</v>
      </c>
      <c r="G141" s="32">
        <v>200</v>
      </c>
      <c r="H141" s="32">
        <v>200</v>
      </c>
      <c r="I141" s="32">
        <v>200</v>
      </c>
      <c r="J141" s="32">
        <v>200</v>
      </c>
      <c r="K141" s="32">
        <v>200</v>
      </c>
      <c r="L141" s="32">
        <v>200</v>
      </c>
      <c r="M141" s="32">
        <v>200</v>
      </c>
      <c r="N141" s="32">
        <v>0</v>
      </c>
      <c r="O141" s="32">
        <v>0</v>
      </c>
      <c r="P141" s="32">
        <v>0</v>
      </c>
      <c r="Q141" s="32">
        <v>0</v>
      </c>
      <c r="R141" s="13">
        <v>1600</v>
      </c>
    </row>
    <row r="142" spans="1:18" ht="17.5" thickBot="1" x14ac:dyDescent="0.65">
      <c r="A142" s="33" t="s">
        <v>348</v>
      </c>
      <c r="B142" s="29" t="s">
        <v>491</v>
      </c>
      <c r="C142" s="29" t="s">
        <v>492</v>
      </c>
      <c r="D142" s="33" t="s">
        <v>493</v>
      </c>
      <c r="E142" s="31" t="s">
        <v>694</v>
      </c>
      <c r="F142" s="32">
        <v>300</v>
      </c>
      <c r="G142" s="32">
        <v>300</v>
      </c>
      <c r="H142" s="32">
        <v>344.99999999999994</v>
      </c>
      <c r="I142" s="32">
        <v>255</v>
      </c>
      <c r="J142" s="32">
        <v>300</v>
      </c>
      <c r="K142" s="32">
        <v>300</v>
      </c>
      <c r="L142" s="32">
        <v>300</v>
      </c>
      <c r="M142" s="32">
        <v>300</v>
      </c>
      <c r="N142" s="32">
        <v>0</v>
      </c>
      <c r="O142" s="32">
        <v>0</v>
      </c>
      <c r="P142" s="32">
        <v>0</v>
      </c>
      <c r="Q142" s="32">
        <v>0</v>
      </c>
      <c r="R142" s="13">
        <v>2400</v>
      </c>
    </row>
    <row r="143" spans="1:18" ht="17.5" thickBot="1" x14ac:dyDescent="0.65">
      <c r="A143" s="33" t="s">
        <v>348</v>
      </c>
      <c r="B143" s="29" t="s">
        <v>491</v>
      </c>
      <c r="C143" s="29" t="s">
        <v>495</v>
      </c>
      <c r="D143" s="33" t="s">
        <v>742</v>
      </c>
      <c r="E143" s="31" t="s">
        <v>694</v>
      </c>
      <c r="F143" s="32">
        <v>300</v>
      </c>
      <c r="G143" s="32">
        <v>300</v>
      </c>
      <c r="H143" s="32">
        <v>344.99999999999994</v>
      </c>
      <c r="I143" s="32">
        <v>255</v>
      </c>
      <c r="J143" s="32">
        <v>300</v>
      </c>
      <c r="K143" s="32">
        <v>300</v>
      </c>
      <c r="L143" s="32">
        <v>300</v>
      </c>
      <c r="M143" s="32">
        <v>300</v>
      </c>
      <c r="N143" s="32">
        <v>0</v>
      </c>
      <c r="O143" s="32">
        <v>0</v>
      </c>
      <c r="P143" s="32">
        <v>0</v>
      </c>
      <c r="Q143" s="32">
        <v>0</v>
      </c>
      <c r="R143" s="13">
        <v>2400</v>
      </c>
    </row>
    <row r="144" spans="1:18" ht="17.5" thickBot="1" x14ac:dyDescent="0.65">
      <c r="A144" s="33" t="s">
        <v>348</v>
      </c>
      <c r="B144" s="29" t="s">
        <v>469</v>
      </c>
      <c r="C144" s="29" t="s">
        <v>472</v>
      </c>
      <c r="D144" s="33" t="s">
        <v>473</v>
      </c>
      <c r="E144" s="31" t="s">
        <v>694</v>
      </c>
      <c r="F144" s="32">
        <v>300</v>
      </c>
      <c r="G144" s="32">
        <v>300</v>
      </c>
      <c r="H144" s="32">
        <v>344.99999999999994</v>
      </c>
      <c r="I144" s="32">
        <v>255</v>
      </c>
      <c r="J144" s="32">
        <v>300</v>
      </c>
      <c r="K144" s="32">
        <v>300</v>
      </c>
      <c r="L144" s="32">
        <v>300</v>
      </c>
      <c r="M144" s="32">
        <v>300</v>
      </c>
      <c r="N144" s="32">
        <v>0</v>
      </c>
      <c r="O144" s="32">
        <v>0</v>
      </c>
      <c r="P144" s="32">
        <v>0</v>
      </c>
      <c r="Q144" s="32">
        <v>0</v>
      </c>
      <c r="R144" s="13">
        <v>2400</v>
      </c>
    </row>
    <row r="145" spans="1:18" ht="17.5" thickBot="1" x14ac:dyDescent="0.65">
      <c r="A145" s="33" t="s">
        <v>348</v>
      </c>
      <c r="B145" s="29" t="s">
        <v>442</v>
      </c>
      <c r="C145" s="29" t="s">
        <v>443</v>
      </c>
      <c r="D145" s="33" t="s">
        <v>444</v>
      </c>
      <c r="E145" s="31" t="s">
        <v>694</v>
      </c>
      <c r="F145" s="32">
        <v>300</v>
      </c>
      <c r="G145" s="32">
        <v>300</v>
      </c>
      <c r="H145" s="32">
        <v>344.99999999999994</v>
      </c>
      <c r="I145" s="32">
        <v>255</v>
      </c>
      <c r="J145" s="32">
        <v>300</v>
      </c>
      <c r="K145" s="32">
        <v>300</v>
      </c>
      <c r="L145" s="32">
        <v>300</v>
      </c>
      <c r="M145" s="32">
        <v>300</v>
      </c>
      <c r="N145" s="32">
        <v>0</v>
      </c>
      <c r="O145" s="32">
        <v>0</v>
      </c>
      <c r="P145" s="32">
        <v>0</v>
      </c>
      <c r="Q145" s="32">
        <v>0</v>
      </c>
      <c r="R145" s="13">
        <v>2400</v>
      </c>
    </row>
    <row r="146" spans="1:18" ht="17.5" thickBot="1" x14ac:dyDescent="0.65">
      <c r="A146" s="33" t="s">
        <v>348</v>
      </c>
      <c r="B146" s="29" t="s">
        <v>442</v>
      </c>
      <c r="C146" s="29" t="s">
        <v>445</v>
      </c>
      <c r="D146" s="33" t="s">
        <v>446</v>
      </c>
      <c r="E146" s="31" t="s">
        <v>694</v>
      </c>
      <c r="F146" s="32">
        <v>300</v>
      </c>
      <c r="G146" s="32">
        <v>300</v>
      </c>
      <c r="H146" s="32">
        <v>344.99999999999994</v>
      </c>
      <c r="I146" s="32">
        <v>255</v>
      </c>
      <c r="J146" s="32">
        <v>300</v>
      </c>
      <c r="K146" s="32">
        <v>300</v>
      </c>
      <c r="L146" s="32">
        <v>300</v>
      </c>
      <c r="M146" s="32">
        <v>300</v>
      </c>
      <c r="N146" s="32">
        <v>0</v>
      </c>
      <c r="O146" s="32">
        <v>0</v>
      </c>
      <c r="P146" s="32">
        <v>0</v>
      </c>
      <c r="Q146" s="32">
        <v>0</v>
      </c>
      <c r="R146" s="13">
        <v>2400</v>
      </c>
    </row>
    <row r="147" spans="1:18" ht="17.5" thickBot="1" x14ac:dyDescent="0.65">
      <c r="A147" s="33" t="s">
        <v>348</v>
      </c>
      <c r="B147" s="29" t="s">
        <v>557</v>
      </c>
      <c r="C147" s="29" t="s">
        <v>562</v>
      </c>
      <c r="D147" s="33" t="s">
        <v>743</v>
      </c>
      <c r="E147" s="31" t="s">
        <v>694</v>
      </c>
      <c r="F147" s="32">
        <v>500</v>
      </c>
      <c r="G147" s="32">
        <v>500</v>
      </c>
      <c r="H147" s="32">
        <v>575</v>
      </c>
      <c r="I147" s="32">
        <v>425</v>
      </c>
      <c r="J147" s="32">
        <v>500</v>
      </c>
      <c r="K147" s="32">
        <v>500</v>
      </c>
      <c r="L147" s="32">
        <v>500</v>
      </c>
      <c r="M147" s="32">
        <v>500</v>
      </c>
      <c r="N147" s="32">
        <v>0</v>
      </c>
      <c r="O147" s="32">
        <v>0</v>
      </c>
      <c r="P147" s="32">
        <v>0</v>
      </c>
      <c r="Q147" s="32">
        <v>0</v>
      </c>
      <c r="R147" s="13">
        <v>4000</v>
      </c>
    </row>
    <row r="148" spans="1:18" ht="17.5" thickBot="1" x14ac:dyDescent="0.65">
      <c r="A148" s="33" t="s">
        <v>348</v>
      </c>
      <c r="B148" s="29" t="s">
        <v>438</v>
      </c>
      <c r="C148" s="29" t="s">
        <v>441</v>
      </c>
      <c r="D148" s="33" t="s">
        <v>744</v>
      </c>
      <c r="E148" s="31" t="s">
        <v>694</v>
      </c>
      <c r="F148" s="32">
        <v>500</v>
      </c>
      <c r="G148" s="32">
        <v>500</v>
      </c>
      <c r="H148" s="32">
        <v>575</v>
      </c>
      <c r="I148" s="32">
        <v>425</v>
      </c>
      <c r="J148" s="32">
        <v>500</v>
      </c>
      <c r="K148" s="32">
        <v>500</v>
      </c>
      <c r="L148" s="32">
        <v>500</v>
      </c>
      <c r="M148" s="32">
        <v>500</v>
      </c>
      <c r="N148" s="32">
        <v>0</v>
      </c>
      <c r="O148" s="32">
        <v>0</v>
      </c>
      <c r="P148" s="32">
        <v>0</v>
      </c>
      <c r="Q148" s="32">
        <v>0</v>
      </c>
      <c r="R148" s="13">
        <v>4000</v>
      </c>
    </row>
    <row r="149" spans="1:18" ht="17.5" thickBot="1" x14ac:dyDescent="0.65">
      <c r="A149" s="33" t="s">
        <v>348</v>
      </c>
      <c r="B149" s="29" t="s">
        <v>543</v>
      </c>
      <c r="C149" s="29" t="s">
        <v>544</v>
      </c>
      <c r="D149" s="33" t="s">
        <v>545</v>
      </c>
      <c r="E149" s="31" t="s">
        <v>694</v>
      </c>
      <c r="F149" s="32">
        <v>500</v>
      </c>
      <c r="G149" s="32">
        <v>500</v>
      </c>
      <c r="H149" s="32">
        <v>574.99999999999989</v>
      </c>
      <c r="I149" s="32">
        <v>425</v>
      </c>
      <c r="J149" s="32">
        <v>500</v>
      </c>
      <c r="K149" s="32">
        <v>500</v>
      </c>
      <c r="L149" s="32">
        <v>500</v>
      </c>
      <c r="M149" s="32">
        <v>500</v>
      </c>
      <c r="N149" s="32">
        <v>0</v>
      </c>
      <c r="O149" s="32">
        <v>0</v>
      </c>
      <c r="P149" s="32">
        <v>0</v>
      </c>
      <c r="Q149" s="32">
        <v>0</v>
      </c>
      <c r="R149" s="13">
        <v>4000</v>
      </c>
    </row>
    <row r="150" spans="1:18" ht="17.5" thickBot="1" x14ac:dyDescent="0.65">
      <c r="A150" s="33" t="s">
        <v>348</v>
      </c>
      <c r="B150" s="29" t="s">
        <v>382</v>
      </c>
      <c r="C150" s="29" t="s">
        <v>383</v>
      </c>
      <c r="D150" s="33" t="s">
        <v>384</v>
      </c>
      <c r="E150" s="31" t="s">
        <v>694</v>
      </c>
      <c r="F150" s="32">
        <v>500</v>
      </c>
      <c r="G150" s="32">
        <v>500</v>
      </c>
      <c r="H150" s="32">
        <v>574.99999999999989</v>
      </c>
      <c r="I150" s="32">
        <v>425</v>
      </c>
      <c r="J150" s="32">
        <v>500</v>
      </c>
      <c r="K150" s="32">
        <v>500</v>
      </c>
      <c r="L150" s="32">
        <v>500</v>
      </c>
      <c r="M150" s="32">
        <v>500</v>
      </c>
      <c r="N150" s="32">
        <v>0</v>
      </c>
      <c r="O150" s="32">
        <v>0</v>
      </c>
      <c r="P150" s="32">
        <v>0</v>
      </c>
      <c r="Q150" s="32">
        <v>0</v>
      </c>
      <c r="R150" s="13">
        <v>4000</v>
      </c>
    </row>
    <row r="151" spans="1:18" ht="17.5" thickBot="1" x14ac:dyDescent="0.65">
      <c r="A151" s="33" t="s">
        <v>348</v>
      </c>
      <c r="B151" s="29" t="s">
        <v>390</v>
      </c>
      <c r="C151" s="29" t="s">
        <v>394</v>
      </c>
      <c r="D151" s="33" t="s">
        <v>395</v>
      </c>
      <c r="E151" s="31" t="s">
        <v>694</v>
      </c>
      <c r="F151" s="32">
        <v>500</v>
      </c>
      <c r="G151" s="32">
        <v>500</v>
      </c>
      <c r="H151" s="32">
        <v>574.99999999999989</v>
      </c>
      <c r="I151" s="32">
        <v>425</v>
      </c>
      <c r="J151" s="32">
        <v>500</v>
      </c>
      <c r="K151" s="32">
        <v>500</v>
      </c>
      <c r="L151" s="32">
        <v>500</v>
      </c>
      <c r="M151" s="32">
        <v>500</v>
      </c>
      <c r="N151" s="32">
        <v>0</v>
      </c>
      <c r="O151" s="32">
        <v>0</v>
      </c>
      <c r="P151" s="32">
        <v>0</v>
      </c>
      <c r="Q151" s="32">
        <v>0</v>
      </c>
      <c r="R151" s="13">
        <v>4000</v>
      </c>
    </row>
    <row r="152" spans="1:18" ht="17.5" thickBot="1" x14ac:dyDescent="0.65">
      <c r="A152" s="33" t="s">
        <v>348</v>
      </c>
      <c r="B152" s="29" t="s">
        <v>526</v>
      </c>
      <c r="C152" s="29" t="s">
        <v>527</v>
      </c>
      <c r="D152" s="33" t="s">
        <v>528</v>
      </c>
      <c r="E152" s="31" t="s">
        <v>694</v>
      </c>
      <c r="F152" s="32">
        <v>500</v>
      </c>
      <c r="G152" s="32">
        <v>500</v>
      </c>
      <c r="H152" s="32">
        <v>574.99999999999989</v>
      </c>
      <c r="I152" s="32">
        <v>425</v>
      </c>
      <c r="J152" s="32">
        <v>500</v>
      </c>
      <c r="K152" s="32">
        <v>500</v>
      </c>
      <c r="L152" s="32">
        <v>500</v>
      </c>
      <c r="M152" s="32">
        <v>500</v>
      </c>
      <c r="N152" s="32">
        <v>0</v>
      </c>
      <c r="O152" s="32">
        <v>0</v>
      </c>
      <c r="P152" s="32">
        <v>0</v>
      </c>
      <c r="Q152" s="32">
        <v>0</v>
      </c>
      <c r="R152" s="13">
        <v>4000</v>
      </c>
    </row>
    <row r="153" spans="1:18" ht="17.5" thickBot="1" x14ac:dyDescent="0.65">
      <c r="A153" s="33" t="s">
        <v>348</v>
      </c>
      <c r="B153" s="29" t="s">
        <v>580</v>
      </c>
      <c r="C153" s="29" t="s">
        <v>581</v>
      </c>
      <c r="D153" s="33" t="s">
        <v>582</v>
      </c>
      <c r="E153" s="31" t="s">
        <v>694</v>
      </c>
      <c r="F153" s="32">
        <v>500</v>
      </c>
      <c r="G153" s="32">
        <v>500</v>
      </c>
      <c r="H153" s="32">
        <v>575</v>
      </c>
      <c r="I153" s="32">
        <v>425</v>
      </c>
      <c r="J153" s="32">
        <v>500</v>
      </c>
      <c r="K153" s="32">
        <v>500</v>
      </c>
      <c r="L153" s="32">
        <v>500</v>
      </c>
      <c r="M153" s="32">
        <v>500</v>
      </c>
      <c r="N153" s="32">
        <v>0</v>
      </c>
      <c r="O153" s="32">
        <v>0</v>
      </c>
      <c r="P153" s="32">
        <v>0</v>
      </c>
      <c r="Q153" s="32">
        <v>0</v>
      </c>
      <c r="R153" s="13">
        <v>4000</v>
      </c>
    </row>
    <row r="154" spans="1:18" ht="17.5" thickBot="1" x14ac:dyDescent="0.65">
      <c r="A154" s="33" t="s">
        <v>348</v>
      </c>
      <c r="B154" s="29" t="s">
        <v>580</v>
      </c>
      <c r="C154" s="29" t="s">
        <v>585</v>
      </c>
      <c r="D154" s="33" t="s">
        <v>745</v>
      </c>
      <c r="E154" s="31" t="s">
        <v>694</v>
      </c>
      <c r="F154" s="32">
        <v>500</v>
      </c>
      <c r="G154" s="32">
        <v>500</v>
      </c>
      <c r="H154" s="32">
        <v>574.99999999999989</v>
      </c>
      <c r="I154" s="32">
        <v>425</v>
      </c>
      <c r="J154" s="32">
        <v>500</v>
      </c>
      <c r="K154" s="32">
        <v>500</v>
      </c>
      <c r="L154" s="32">
        <v>500</v>
      </c>
      <c r="M154" s="32">
        <v>500</v>
      </c>
      <c r="N154" s="32">
        <v>0</v>
      </c>
      <c r="O154" s="32">
        <v>0</v>
      </c>
      <c r="P154" s="32">
        <v>0</v>
      </c>
      <c r="Q154" s="32">
        <v>0</v>
      </c>
      <c r="R154" s="13">
        <v>4000</v>
      </c>
    </row>
    <row r="155" spans="1:18" ht="17.5" thickBot="1" x14ac:dyDescent="0.65">
      <c r="A155" s="33" t="s">
        <v>348</v>
      </c>
      <c r="B155" s="29" t="s">
        <v>523</v>
      </c>
      <c r="C155" s="29" t="s">
        <v>524</v>
      </c>
      <c r="D155" s="33" t="s">
        <v>525</v>
      </c>
      <c r="E155" s="31" t="s">
        <v>694</v>
      </c>
      <c r="F155" s="32">
        <v>500</v>
      </c>
      <c r="G155" s="32">
        <v>500</v>
      </c>
      <c r="H155" s="32">
        <v>574.99999999999989</v>
      </c>
      <c r="I155" s="32">
        <v>425</v>
      </c>
      <c r="J155" s="32">
        <v>500</v>
      </c>
      <c r="K155" s="32">
        <v>500</v>
      </c>
      <c r="L155" s="32">
        <v>500</v>
      </c>
      <c r="M155" s="32">
        <v>500</v>
      </c>
      <c r="N155" s="32">
        <v>0</v>
      </c>
      <c r="O155" s="32">
        <v>0</v>
      </c>
      <c r="P155" s="32">
        <v>0</v>
      </c>
      <c r="Q155" s="32">
        <v>0</v>
      </c>
      <c r="R155" s="13">
        <v>4000</v>
      </c>
    </row>
    <row r="156" spans="1:18" ht="17.5" thickBot="1" x14ac:dyDescent="0.65">
      <c r="A156" s="33" t="s">
        <v>348</v>
      </c>
      <c r="B156" s="29" t="s">
        <v>592</v>
      </c>
      <c r="C156" s="29" t="s">
        <v>597</v>
      </c>
      <c r="D156" s="33" t="s">
        <v>598</v>
      </c>
      <c r="E156" s="31" t="s">
        <v>694</v>
      </c>
      <c r="F156" s="32">
        <v>500</v>
      </c>
      <c r="G156" s="32">
        <v>500</v>
      </c>
      <c r="H156" s="32">
        <v>575</v>
      </c>
      <c r="I156" s="32">
        <v>425</v>
      </c>
      <c r="J156" s="32">
        <v>500</v>
      </c>
      <c r="K156" s="32">
        <v>500</v>
      </c>
      <c r="L156" s="32">
        <v>500</v>
      </c>
      <c r="M156" s="32">
        <v>500</v>
      </c>
      <c r="N156" s="32">
        <v>0</v>
      </c>
      <c r="O156" s="32">
        <v>0</v>
      </c>
      <c r="P156" s="32">
        <v>0</v>
      </c>
      <c r="Q156" s="32">
        <v>0</v>
      </c>
      <c r="R156" s="13">
        <v>4000</v>
      </c>
    </row>
    <row r="157" spans="1:18" ht="17.5" thickBot="1" x14ac:dyDescent="0.65">
      <c r="A157" s="33" t="s">
        <v>348</v>
      </c>
      <c r="B157" s="29" t="s">
        <v>399</v>
      </c>
      <c r="C157" s="29" t="s">
        <v>402</v>
      </c>
      <c r="D157" s="33" t="s">
        <v>403</v>
      </c>
      <c r="E157" s="31" t="s">
        <v>694</v>
      </c>
      <c r="F157" s="32">
        <v>500</v>
      </c>
      <c r="G157" s="32">
        <v>500</v>
      </c>
      <c r="H157" s="32">
        <v>574.99999999999989</v>
      </c>
      <c r="I157" s="32">
        <v>425</v>
      </c>
      <c r="J157" s="32">
        <v>500</v>
      </c>
      <c r="K157" s="32">
        <v>500</v>
      </c>
      <c r="L157" s="32">
        <v>500</v>
      </c>
      <c r="M157" s="32">
        <v>500</v>
      </c>
      <c r="N157" s="32">
        <v>0</v>
      </c>
      <c r="O157" s="32">
        <v>0</v>
      </c>
      <c r="P157" s="32">
        <v>0</v>
      </c>
      <c r="Q157" s="32">
        <v>0</v>
      </c>
      <c r="R157" s="13">
        <v>4000</v>
      </c>
    </row>
    <row r="158" spans="1:18" ht="17.5" thickBot="1" x14ac:dyDescent="0.65">
      <c r="A158" s="33" t="s">
        <v>348</v>
      </c>
      <c r="B158" s="29" t="s">
        <v>412</v>
      </c>
      <c r="C158" s="29" t="s">
        <v>413</v>
      </c>
      <c r="D158" s="33" t="s">
        <v>414</v>
      </c>
      <c r="E158" s="31" t="s">
        <v>694</v>
      </c>
      <c r="F158" s="32">
        <v>500</v>
      </c>
      <c r="G158" s="32">
        <v>500</v>
      </c>
      <c r="H158" s="32">
        <v>575</v>
      </c>
      <c r="I158" s="32">
        <v>425</v>
      </c>
      <c r="J158" s="32">
        <v>500</v>
      </c>
      <c r="K158" s="32">
        <v>500</v>
      </c>
      <c r="L158" s="32">
        <v>500</v>
      </c>
      <c r="M158" s="32">
        <v>500</v>
      </c>
      <c r="N158" s="32">
        <v>0</v>
      </c>
      <c r="O158" s="32">
        <v>0</v>
      </c>
      <c r="P158" s="32">
        <v>0</v>
      </c>
      <c r="Q158" s="32">
        <v>0</v>
      </c>
      <c r="R158" s="13">
        <v>4000</v>
      </c>
    </row>
    <row r="159" spans="1:18" ht="17.5" thickBot="1" x14ac:dyDescent="0.65">
      <c r="A159" s="33" t="s">
        <v>348</v>
      </c>
      <c r="B159" s="29" t="s">
        <v>412</v>
      </c>
      <c r="C159" s="29" t="s">
        <v>415</v>
      </c>
      <c r="D159" s="33" t="s">
        <v>416</v>
      </c>
      <c r="E159" s="31" t="s">
        <v>694</v>
      </c>
      <c r="F159" s="32">
        <v>500</v>
      </c>
      <c r="G159" s="32">
        <v>500</v>
      </c>
      <c r="H159" s="32">
        <v>574.99999999999989</v>
      </c>
      <c r="I159" s="32">
        <v>425</v>
      </c>
      <c r="J159" s="32">
        <v>500</v>
      </c>
      <c r="K159" s="32">
        <v>500</v>
      </c>
      <c r="L159" s="32">
        <v>500</v>
      </c>
      <c r="M159" s="32">
        <v>500</v>
      </c>
      <c r="N159" s="32">
        <v>0</v>
      </c>
      <c r="O159" s="32">
        <v>0</v>
      </c>
      <c r="P159" s="32">
        <v>0</v>
      </c>
      <c r="Q159" s="32">
        <v>0</v>
      </c>
      <c r="R159" s="13">
        <v>4000</v>
      </c>
    </row>
    <row r="160" spans="1:18" ht="17.5" thickBot="1" x14ac:dyDescent="0.65">
      <c r="A160" s="33" t="s">
        <v>348</v>
      </c>
      <c r="B160" s="29" t="s">
        <v>412</v>
      </c>
      <c r="C160" s="29" t="s">
        <v>421</v>
      </c>
      <c r="D160" s="33" t="s">
        <v>422</v>
      </c>
      <c r="E160" s="31" t="s">
        <v>694</v>
      </c>
      <c r="F160" s="32">
        <v>500</v>
      </c>
      <c r="G160" s="32">
        <v>500</v>
      </c>
      <c r="H160" s="32">
        <v>574.99999999999989</v>
      </c>
      <c r="I160" s="32">
        <v>425</v>
      </c>
      <c r="J160" s="32">
        <v>500</v>
      </c>
      <c r="K160" s="32">
        <v>500</v>
      </c>
      <c r="L160" s="32">
        <v>500</v>
      </c>
      <c r="M160" s="32">
        <v>500</v>
      </c>
      <c r="N160" s="32">
        <v>0</v>
      </c>
      <c r="O160" s="32">
        <v>0</v>
      </c>
      <c r="P160" s="32">
        <v>0</v>
      </c>
      <c r="Q160" s="32">
        <v>0</v>
      </c>
      <c r="R160" s="13">
        <v>4000</v>
      </c>
    </row>
    <row r="161" spans="1:18" ht="17.5" thickBot="1" x14ac:dyDescent="0.65">
      <c r="A161" s="33" t="s">
        <v>348</v>
      </c>
      <c r="B161" s="29" t="s">
        <v>469</v>
      </c>
      <c r="C161" s="29" t="s">
        <v>470</v>
      </c>
      <c r="D161" s="33" t="s">
        <v>471</v>
      </c>
      <c r="E161" s="31" t="s">
        <v>694</v>
      </c>
      <c r="F161" s="32">
        <v>500</v>
      </c>
      <c r="G161" s="32">
        <v>500</v>
      </c>
      <c r="H161" s="32">
        <v>575</v>
      </c>
      <c r="I161" s="32">
        <v>425</v>
      </c>
      <c r="J161" s="32">
        <v>500</v>
      </c>
      <c r="K161" s="32">
        <v>500</v>
      </c>
      <c r="L161" s="32">
        <v>500</v>
      </c>
      <c r="M161" s="32">
        <v>500</v>
      </c>
      <c r="N161" s="32">
        <v>0</v>
      </c>
      <c r="O161" s="32">
        <v>0</v>
      </c>
      <c r="P161" s="32">
        <v>0</v>
      </c>
      <c r="Q161" s="32">
        <v>0</v>
      </c>
      <c r="R161" s="13">
        <v>4000</v>
      </c>
    </row>
    <row r="162" spans="1:18" ht="17.5" thickBot="1" x14ac:dyDescent="0.65">
      <c r="A162" s="33" t="s">
        <v>348</v>
      </c>
      <c r="B162" s="29" t="s">
        <v>578</v>
      </c>
      <c r="C162" s="29" t="s">
        <v>579</v>
      </c>
      <c r="D162" s="33" t="s">
        <v>746</v>
      </c>
      <c r="E162" s="31" t="s">
        <v>694</v>
      </c>
      <c r="F162" s="32">
        <v>500</v>
      </c>
      <c r="G162" s="32">
        <v>500</v>
      </c>
      <c r="H162" s="32">
        <v>574.99999999999989</v>
      </c>
      <c r="I162" s="32">
        <v>425</v>
      </c>
      <c r="J162" s="32">
        <v>500</v>
      </c>
      <c r="K162" s="32">
        <v>500</v>
      </c>
      <c r="L162" s="32">
        <v>500</v>
      </c>
      <c r="M162" s="32">
        <v>500</v>
      </c>
      <c r="N162" s="32">
        <v>0</v>
      </c>
      <c r="O162" s="32">
        <v>0</v>
      </c>
      <c r="P162" s="32">
        <v>0</v>
      </c>
      <c r="Q162" s="32">
        <v>0</v>
      </c>
      <c r="R162" s="13">
        <v>4000</v>
      </c>
    </row>
    <row r="163" spans="1:18" ht="17.5" thickBot="1" x14ac:dyDescent="0.65">
      <c r="A163" s="33" t="s">
        <v>348</v>
      </c>
      <c r="B163" s="29" t="s">
        <v>447</v>
      </c>
      <c r="C163" s="29" t="s">
        <v>457</v>
      </c>
      <c r="D163" s="33" t="s">
        <v>747</v>
      </c>
      <c r="E163" s="31" t="s">
        <v>694</v>
      </c>
      <c r="F163" s="32">
        <v>500</v>
      </c>
      <c r="G163" s="32">
        <v>500</v>
      </c>
      <c r="H163" s="32">
        <v>574.99999999999989</v>
      </c>
      <c r="I163" s="32">
        <v>425</v>
      </c>
      <c r="J163" s="32">
        <v>500</v>
      </c>
      <c r="K163" s="32">
        <v>500</v>
      </c>
      <c r="L163" s="32">
        <v>500</v>
      </c>
      <c r="M163" s="32">
        <v>500</v>
      </c>
      <c r="N163" s="32">
        <v>0</v>
      </c>
      <c r="O163" s="32">
        <v>0</v>
      </c>
      <c r="P163" s="32">
        <v>0</v>
      </c>
      <c r="Q163" s="32">
        <v>0</v>
      </c>
      <c r="R163" s="13">
        <v>4000</v>
      </c>
    </row>
    <row r="164" spans="1:18" ht="17.5" thickBot="1" x14ac:dyDescent="0.65">
      <c r="A164" s="33" t="s">
        <v>348</v>
      </c>
      <c r="B164" s="29" t="s">
        <v>499</v>
      </c>
      <c r="C164" s="29" t="s">
        <v>506</v>
      </c>
      <c r="D164" s="33" t="s">
        <v>748</v>
      </c>
      <c r="E164" s="31" t="s">
        <v>695</v>
      </c>
      <c r="F164" s="32">
        <v>500</v>
      </c>
      <c r="G164" s="32">
        <v>500</v>
      </c>
      <c r="H164" s="32">
        <v>500</v>
      </c>
      <c r="I164" s="32">
        <v>500</v>
      </c>
      <c r="J164" s="32">
        <v>500</v>
      </c>
      <c r="K164" s="32">
        <v>500</v>
      </c>
      <c r="L164" s="32">
        <v>500</v>
      </c>
      <c r="M164" s="32">
        <v>500</v>
      </c>
      <c r="N164" s="32">
        <v>0</v>
      </c>
      <c r="O164" s="32">
        <v>0</v>
      </c>
      <c r="P164" s="32">
        <v>0</v>
      </c>
      <c r="Q164" s="32">
        <v>0</v>
      </c>
      <c r="R164" s="13">
        <v>4000</v>
      </c>
    </row>
    <row r="165" spans="1:18" ht="17.5" thickBot="1" x14ac:dyDescent="0.65">
      <c r="A165" s="37" t="s">
        <v>348</v>
      </c>
      <c r="B165" s="38"/>
      <c r="C165" s="38" t="s">
        <v>702</v>
      </c>
      <c r="D165" s="37" t="s">
        <v>703</v>
      </c>
      <c r="E165" s="31" t="s">
        <v>694</v>
      </c>
      <c r="F165" s="32">
        <v>0</v>
      </c>
      <c r="G165" s="32">
        <v>0</v>
      </c>
      <c r="H165" s="32">
        <v>0</v>
      </c>
      <c r="I165" s="32">
        <v>0</v>
      </c>
      <c r="J165" s="32">
        <v>800</v>
      </c>
      <c r="K165" s="32">
        <v>800</v>
      </c>
      <c r="L165" s="32">
        <v>800</v>
      </c>
      <c r="M165" s="32">
        <v>800</v>
      </c>
      <c r="N165" s="32">
        <v>0</v>
      </c>
      <c r="O165" s="32">
        <v>0</v>
      </c>
      <c r="P165" s="32">
        <v>0</v>
      </c>
      <c r="Q165" s="32">
        <v>0</v>
      </c>
      <c r="R165" s="13">
        <v>3200</v>
      </c>
    </row>
    <row r="166" spans="1:18" ht="17.5" thickBot="1" x14ac:dyDescent="0.65">
      <c r="A166" s="33" t="s">
        <v>348</v>
      </c>
      <c r="B166" s="29" t="s">
        <v>551</v>
      </c>
      <c r="C166" s="29" t="s">
        <v>552</v>
      </c>
      <c r="D166" s="33" t="s">
        <v>553</v>
      </c>
      <c r="E166" s="31" t="s">
        <v>694</v>
      </c>
      <c r="F166" s="32">
        <v>550</v>
      </c>
      <c r="G166" s="32">
        <v>550</v>
      </c>
      <c r="H166" s="32">
        <v>632.5</v>
      </c>
      <c r="I166" s="32">
        <v>467.5</v>
      </c>
      <c r="J166" s="32">
        <v>550</v>
      </c>
      <c r="K166" s="32">
        <v>550</v>
      </c>
      <c r="L166" s="32">
        <v>550</v>
      </c>
      <c r="M166" s="32">
        <v>550</v>
      </c>
      <c r="N166" s="32">
        <v>0</v>
      </c>
      <c r="O166" s="32">
        <v>0</v>
      </c>
      <c r="P166" s="32">
        <v>0</v>
      </c>
      <c r="Q166" s="32">
        <v>0</v>
      </c>
      <c r="R166" s="13">
        <v>4400</v>
      </c>
    </row>
    <row r="167" spans="1:18" ht="17.5" thickBot="1" x14ac:dyDescent="0.65">
      <c r="A167" s="33" t="s">
        <v>348</v>
      </c>
      <c r="B167" s="29" t="s">
        <v>496</v>
      </c>
      <c r="C167" s="29" t="s">
        <v>497</v>
      </c>
      <c r="D167" s="33" t="s">
        <v>498</v>
      </c>
      <c r="E167" s="31" t="s">
        <v>694</v>
      </c>
      <c r="F167" s="32">
        <v>550</v>
      </c>
      <c r="G167" s="32">
        <v>550</v>
      </c>
      <c r="H167" s="32">
        <v>632.5</v>
      </c>
      <c r="I167" s="32">
        <v>467.5</v>
      </c>
      <c r="J167" s="32">
        <v>550</v>
      </c>
      <c r="K167" s="32">
        <v>550</v>
      </c>
      <c r="L167" s="32">
        <v>550</v>
      </c>
      <c r="M167" s="32">
        <v>550</v>
      </c>
      <c r="N167" s="32">
        <v>0</v>
      </c>
      <c r="O167" s="32">
        <v>0</v>
      </c>
      <c r="P167" s="32">
        <v>0</v>
      </c>
      <c r="Q167" s="32">
        <v>0</v>
      </c>
      <c r="R167" s="13">
        <v>4400</v>
      </c>
    </row>
    <row r="168" spans="1:18" ht="17.5" thickBot="1" x14ac:dyDescent="0.65">
      <c r="A168" s="33" t="s">
        <v>348</v>
      </c>
      <c r="B168" s="29" t="s">
        <v>580</v>
      </c>
      <c r="C168" s="29" t="s">
        <v>583</v>
      </c>
      <c r="D168" s="33" t="s">
        <v>584</v>
      </c>
      <c r="E168" s="31" t="s">
        <v>694</v>
      </c>
      <c r="F168" s="32">
        <v>550</v>
      </c>
      <c r="G168" s="32">
        <v>550</v>
      </c>
      <c r="H168" s="32">
        <v>632.5</v>
      </c>
      <c r="I168" s="32">
        <v>467.5</v>
      </c>
      <c r="J168" s="32">
        <v>550</v>
      </c>
      <c r="K168" s="32">
        <v>550</v>
      </c>
      <c r="L168" s="32">
        <v>550</v>
      </c>
      <c r="M168" s="32">
        <v>550</v>
      </c>
      <c r="N168" s="32">
        <v>0</v>
      </c>
      <c r="O168" s="32">
        <v>0</v>
      </c>
      <c r="P168" s="32">
        <v>0</v>
      </c>
      <c r="Q168" s="32">
        <v>0</v>
      </c>
      <c r="R168" s="13">
        <v>4400</v>
      </c>
    </row>
    <row r="169" spans="1:18" ht="17.5" thickBot="1" x14ac:dyDescent="0.65">
      <c r="A169" s="33" t="s">
        <v>348</v>
      </c>
      <c r="B169" s="29" t="s">
        <v>412</v>
      </c>
      <c r="C169" s="29" t="s">
        <v>417</v>
      </c>
      <c r="D169" s="33" t="s">
        <v>418</v>
      </c>
      <c r="E169" s="31" t="s">
        <v>694</v>
      </c>
      <c r="F169" s="32">
        <v>600</v>
      </c>
      <c r="G169" s="32">
        <v>600</v>
      </c>
      <c r="H169" s="32">
        <v>690</v>
      </c>
      <c r="I169" s="32">
        <v>510</v>
      </c>
      <c r="J169" s="32">
        <v>600</v>
      </c>
      <c r="K169" s="32">
        <v>600</v>
      </c>
      <c r="L169" s="32">
        <v>600</v>
      </c>
      <c r="M169" s="32">
        <v>600</v>
      </c>
      <c r="N169" s="32">
        <v>0</v>
      </c>
      <c r="O169" s="32">
        <v>0</v>
      </c>
      <c r="P169" s="32">
        <v>0</v>
      </c>
      <c r="Q169" s="32">
        <v>0</v>
      </c>
      <c r="R169" s="13">
        <v>4800</v>
      </c>
    </row>
    <row r="170" spans="1:18" ht="17.5" thickBot="1" x14ac:dyDescent="0.65">
      <c r="A170" s="33" t="s">
        <v>348</v>
      </c>
      <c r="B170" s="29" t="s">
        <v>571</v>
      </c>
      <c r="C170" s="29" t="s">
        <v>572</v>
      </c>
      <c r="D170" s="33" t="s">
        <v>573</v>
      </c>
      <c r="E170" s="31" t="s">
        <v>694</v>
      </c>
      <c r="F170" s="32">
        <v>600</v>
      </c>
      <c r="G170" s="32">
        <v>600</v>
      </c>
      <c r="H170" s="32">
        <v>689.99999999999989</v>
      </c>
      <c r="I170" s="32">
        <v>510</v>
      </c>
      <c r="J170" s="32">
        <v>600</v>
      </c>
      <c r="K170" s="32">
        <v>600</v>
      </c>
      <c r="L170" s="32">
        <v>600</v>
      </c>
      <c r="M170" s="32">
        <v>600</v>
      </c>
      <c r="N170" s="32">
        <v>0</v>
      </c>
      <c r="O170" s="32">
        <v>0</v>
      </c>
      <c r="P170" s="32">
        <v>0</v>
      </c>
      <c r="Q170" s="32">
        <v>0</v>
      </c>
      <c r="R170" s="13">
        <v>4800</v>
      </c>
    </row>
    <row r="171" spans="1:18" ht="17.5" thickBot="1" x14ac:dyDescent="0.65">
      <c r="A171" s="33" t="s">
        <v>348</v>
      </c>
      <c r="B171" s="29" t="s">
        <v>507</v>
      </c>
      <c r="C171" s="29" t="s">
        <v>508</v>
      </c>
      <c r="D171" s="33" t="s">
        <v>509</v>
      </c>
      <c r="E171" s="31" t="s">
        <v>694</v>
      </c>
      <c r="F171" s="32">
        <v>650</v>
      </c>
      <c r="G171" s="32">
        <v>650</v>
      </c>
      <c r="H171" s="32">
        <v>747.49999999999989</v>
      </c>
      <c r="I171" s="32">
        <v>552.5</v>
      </c>
      <c r="J171" s="32">
        <v>650</v>
      </c>
      <c r="K171" s="32">
        <v>650</v>
      </c>
      <c r="L171" s="32">
        <v>650</v>
      </c>
      <c r="M171" s="32">
        <v>650</v>
      </c>
      <c r="N171" s="32">
        <v>0</v>
      </c>
      <c r="O171" s="32">
        <v>0</v>
      </c>
      <c r="P171" s="32">
        <v>0</v>
      </c>
      <c r="Q171" s="32">
        <v>0</v>
      </c>
      <c r="R171" s="13">
        <v>5200</v>
      </c>
    </row>
    <row r="172" spans="1:18" ht="17.5" thickBot="1" x14ac:dyDescent="0.65">
      <c r="A172" s="33" t="s">
        <v>348</v>
      </c>
      <c r="B172" s="29" t="s">
        <v>438</v>
      </c>
      <c r="C172" s="29" t="s">
        <v>439</v>
      </c>
      <c r="D172" s="33" t="s">
        <v>440</v>
      </c>
      <c r="E172" s="31" t="s">
        <v>694</v>
      </c>
      <c r="F172" s="32">
        <v>700</v>
      </c>
      <c r="G172" s="32">
        <v>700</v>
      </c>
      <c r="H172" s="32">
        <v>805</v>
      </c>
      <c r="I172" s="32">
        <v>595</v>
      </c>
      <c r="J172" s="32">
        <v>700</v>
      </c>
      <c r="K172" s="32">
        <v>700</v>
      </c>
      <c r="L172" s="32">
        <v>700</v>
      </c>
      <c r="M172" s="32">
        <v>700</v>
      </c>
      <c r="N172" s="32">
        <v>0</v>
      </c>
      <c r="O172" s="32">
        <v>0</v>
      </c>
      <c r="P172" s="32">
        <v>0</v>
      </c>
      <c r="Q172" s="32">
        <v>0</v>
      </c>
      <c r="R172" s="13">
        <v>5600</v>
      </c>
    </row>
    <row r="173" spans="1:18" ht="17.5" thickBot="1" x14ac:dyDescent="0.65">
      <c r="A173" s="33" t="s">
        <v>348</v>
      </c>
      <c r="B173" s="29" t="s">
        <v>557</v>
      </c>
      <c r="C173" s="29" t="s">
        <v>564</v>
      </c>
      <c r="D173" s="33" t="s">
        <v>565</v>
      </c>
      <c r="E173" s="31" t="s">
        <v>694</v>
      </c>
      <c r="F173" s="32">
        <v>700</v>
      </c>
      <c r="G173" s="32">
        <v>700</v>
      </c>
      <c r="H173" s="32">
        <v>805</v>
      </c>
      <c r="I173" s="32">
        <v>595</v>
      </c>
      <c r="J173" s="32">
        <v>700</v>
      </c>
      <c r="K173" s="32">
        <v>700</v>
      </c>
      <c r="L173" s="32">
        <v>700</v>
      </c>
      <c r="M173" s="32">
        <v>700</v>
      </c>
      <c r="N173" s="32">
        <v>0</v>
      </c>
      <c r="O173" s="32">
        <v>0</v>
      </c>
      <c r="P173" s="32">
        <v>0</v>
      </c>
      <c r="Q173" s="32">
        <v>0</v>
      </c>
      <c r="R173" s="13">
        <v>5600</v>
      </c>
    </row>
    <row r="174" spans="1:18" ht="17.5" thickBot="1" x14ac:dyDescent="0.65">
      <c r="A174" s="33" t="s">
        <v>348</v>
      </c>
      <c r="B174" s="29" t="s">
        <v>480</v>
      </c>
      <c r="C174" s="29" t="s">
        <v>481</v>
      </c>
      <c r="D174" s="33" t="s">
        <v>482</v>
      </c>
      <c r="E174" s="31" t="s">
        <v>694</v>
      </c>
      <c r="F174" s="32">
        <v>700</v>
      </c>
      <c r="G174" s="32">
        <v>700</v>
      </c>
      <c r="H174" s="32">
        <v>804.99999999999989</v>
      </c>
      <c r="I174" s="32">
        <v>595</v>
      </c>
      <c r="J174" s="32">
        <v>700</v>
      </c>
      <c r="K174" s="32">
        <v>700</v>
      </c>
      <c r="L174" s="32">
        <v>700</v>
      </c>
      <c r="M174" s="32">
        <v>700</v>
      </c>
      <c r="N174" s="32">
        <v>0</v>
      </c>
      <c r="O174" s="32">
        <v>0</v>
      </c>
      <c r="P174" s="32">
        <v>0</v>
      </c>
      <c r="Q174" s="32">
        <v>0</v>
      </c>
      <c r="R174" s="13">
        <v>5600</v>
      </c>
    </row>
    <row r="175" spans="1:18" ht="17.5" thickBot="1" x14ac:dyDescent="0.65">
      <c r="A175" s="33" t="s">
        <v>348</v>
      </c>
      <c r="B175" s="29" t="s">
        <v>548</v>
      </c>
      <c r="C175" s="29" t="s">
        <v>549</v>
      </c>
      <c r="D175" s="33" t="s">
        <v>550</v>
      </c>
      <c r="E175" s="31" t="s">
        <v>694</v>
      </c>
      <c r="F175" s="32">
        <v>700</v>
      </c>
      <c r="G175" s="32">
        <v>700</v>
      </c>
      <c r="H175" s="32">
        <v>805</v>
      </c>
      <c r="I175" s="32">
        <v>595</v>
      </c>
      <c r="J175" s="32">
        <v>700</v>
      </c>
      <c r="K175" s="32">
        <v>700</v>
      </c>
      <c r="L175" s="32">
        <v>700</v>
      </c>
      <c r="M175" s="32">
        <v>700</v>
      </c>
      <c r="N175" s="32">
        <v>0</v>
      </c>
      <c r="O175" s="32">
        <v>0</v>
      </c>
      <c r="P175" s="32">
        <v>0</v>
      </c>
      <c r="Q175" s="32">
        <v>0</v>
      </c>
      <c r="R175" s="13">
        <v>5600</v>
      </c>
    </row>
    <row r="176" spans="1:18" ht="17.5" thickBot="1" x14ac:dyDescent="0.65">
      <c r="A176" s="33" t="s">
        <v>348</v>
      </c>
      <c r="B176" s="29" t="s">
        <v>483</v>
      </c>
      <c r="C176" s="29" t="s">
        <v>490</v>
      </c>
      <c r="D176" s="33" t="s">
        <v>749</v>
      </c>
      <c r="E176" s="31" t="s">
        <v>694</v>
      </c>
      <c r="F176" s="32">
        <v>700</v>
      </c>
      <c r="G176" s="32">
        <v>700</v>
      </c>
      <c r="H176" s="32">
        <v>805</v>
      </c>
      <c r="I176" s="32">
        <v>595</v>
      </c>
      <c r="J176" s="32">
        <v>700</v>
      </c>
      <c r="K176" s="32">
        <v>700</v>
      </c>
      <c r="L176" s="32">
        <v>700</v>
      </c>
      <c r="M176" s="32">
        <v>700</v>
      </c>
      <c r="N176" s="32">
        <v>0</v>
      </c>
      <c r="O176" s="32">
        <v>0</v>
      </c>
      <c r="P176" s="32">
        <v>0</v>
      </c>
      <c r="Q176" s="32">
        <v>0</v>
      </c>
      <c r="R176" s="13">
        <v>5600</v>
      </c>
    </row>
    <row r="177" spans="1:18" ht="17.5" thickBot="1" x14ac:dyDescent="0.65">
      <c r="A177" s="33" t="s">
        <v>348</v>
      </c>
      <c r="B177" s="29" t="s">
        <v>399</v>
      </c>
      <c r="C177" s="29" t="s">
        <v>406</v>
      </c>
      <c r="D177" s="33" t="s">
        <v>407</v>
      </c>
      <c r="E177" s="31" t="s">
        <v>694</v>
      </c>
      <c r="F177" s="32">
        <v>700</v>
      </c>
      <c r="G177" s="32">
        <v>700</v>
      </c>
      <c r="H177" s="32">
        <v>805</v>
      </c>
      <c r="I177" s="32">
        <v>595</v>
      </c>
      <c r="J177" s="32">
        <v>700</v>
      </c>
      <c r="K177" s="32">
        <v>700</v>
      </c>
      <c r="L177" s="32">
        <v>700</v>
      </c>
      <c r="M177" s="32">
        <v>700</v>
      </c>
      <c r="N177" s="32">
        <v>0</v>
      </c>
      <c r="O177" s="32">
        <v>0</v>
      </c>
      <c r="P177" s="32">
        <v>0</v>
      </c>
      <c r="Q177" s="32">
        <v>0</v>
      </c>
      <c r="R177" s="13">
        <v>5600</v>
      </c>
    </row>
    <row r="178" spans="1:18" ht="17.5" thickBot="1" x14ac:dyDescent="0.65">
      <c r="A178" s="33" t="s">
        <v>348</v>
      </c>
      <c r="B178" s="29" t="s">
        <v>474</v>
      </c>
      <c r="C178" s="29" t="s">
        <v>479</v>
      </c>
      <c r="D178" s="33" t="s">
        <v>750</v>
      </c>
      <c r="E178" s="31" t="s">
        <v>694</v>
      </c>
      <c r="F178" s="32">
        <v>700</v>
      </c>
      <c r="G178" s="32">
        <v>700</v>
      </c>
      <c r="H178" s="32">
        <v>805</v>
      </c>
      <c r="I178" s="32">
        <v>595</v>
      </c>
      <c r="J178" s="32">
        <v>700</v>
      </c>
      <c r="K178" s="32">
        <v>700</v>
      </c>
      <c r="L178" s="32">
        <v>700</v>
      </c>
      <c r="M178" s="32">
        <v>700</v>
      </c>
      <c r="N178" s="32">
        <v>0</v>
      </c>
      <c r="O178" s="32">
        <v>0</v>
      </c>
      <c r="P178" s="32">
        <v>0</v>
      </c>
      <c r="Q178" s="32">
        <v>0</v>
      </c>
      <c r="R178" s="13">
        <v>5600</v>
      </c>
    </row>
    <row r="179" spans="1:18" ht="17.5" thickBot="1" x14ac:dyDescent="0.65">
      <c r="A179" s="33" t="s">
        <v>348</v>
      </c>
      <c r="B179" s="29" t="s">
        <v>447</v>
      </c>
      <c r="C179" s="29" t="s">
        <v>454</v>
      </c>
      <c r="D179" s="33" t="s">
        <v>751</v>
      </c>
      <c r="E179" s="31" t="s">
        <v>694</v>
      </c>
      <c r="F179" s="32">
        <v>700</v>
      </c>
      <c r="G179" s="32">
        <v>700</v>
      </c>
      <c r="H179" s="32">
        <v>805</v>
      </c>
      <c r="I179" s="32">
        <v>595</v>
      </c>
      <c r="J179" s="32">
        <v>700</v>
      </c>
      <c r="K179" s="32">
        <v>700</v>
      </c>
      <c r="L179" s="32">
        <v>700</v>
      </c>
      <c r="M179" s="32">
        <v>700</v>
      </c>
      <c r="N179" s="32">
        <v>0</v>
      </c>
      <c r="O179" s="32">
        <v>0</v>
      </c>
      <c r="P179" s="32">
        <v>0</v>
      </c>
      <c r="Q179" s="32">
        <v>0</v>
      </c>
      <c r="R179" s="13">
        <v>5600</v>
      </c>
    </row>
    <row r="180" spans="1:18" ht="17.5" thickBot="1" x14ac:dyDescent="0.65">
      <c r="A180" s="33" t="s">
        <v>348</v>
      </c>
      <c r="B180" s="29" t="s">
        <v>390</v>
      </c>
      <c r="C180" s="29" t="s">
        <v>391</v>
      </c>
      <c r="D180" s="33" t="s">
        <v>392</v>
      </c>
      <c r="E180" s="31" t="s">
        <v>694</v>
      </c>
      <c r="F180" s="32">
        <v>750</v>
      </c>
      <c r="G180" s="32">
        <v>750</v>
      </c>
      <c r="H180" s="32">
        <v>862.49999999999989</v>
      </c>
      <c r="I180" s="32">
        <v>637.5</v>
      </c>
      <c r="J180" s="32">
        <v>750</v>
      </c>
      <c r="K180" s="32">
        <v>750</v>
      </c>
      <c r="L180" s="32">
        <v>750</v>
      </c>
      <c r="M180" s="32">
        <v>750</v>
      </c>
      <c r="N180" s="32">
        <v>0</v>
      </c>
      <c r="O180" s="32">
        <v>0</v>
      </c>
      <c r="P180" s="32">
        <v>0</v>
      </c>
      <c r="Q180" s="32">
        <v>0</v>
      </c>
      <c r="R180" s="13">
        <v>6000</v>
      </c>
    </row>
    <row r="181" spans="1:18" ht="17.5" thickBot="1" x14ac:dyDescent="0.65">
      <c r="A181" s="33" t="s">
        <v>348</v>
      </c>
      <c r="B181" s="29" t="s">
        <v>387</v>
      </c>
      <c r="C181" s="29" t="s">
        <v>388</v>
      </c>
      <c r="D181" s="33" t="s">
        <v>389</v>
      </c>
      <c r="E181" s="31" t="s">
        <v>694</v>
      </c>
      <c r="F181" s="32">
        <v>800</v>
      </c>
      <c r="G181" s="32">
        <v>800</v>
      </c>
      <c r="H181" s="32">
        <v>919.99999999999989</v>
      </c>
      <c r="I181" s="32">
        <v>680</v>
      </c>
      <c r="J181" s="32">
        <v>800</v>
      </c>
      <c r="K181" s="32">
        <v>800</v>
      </c>
      <c r="L181" s="32">
        <v>800</v>
      </c>
      <c r="M181" s="32">
        <v>800</v>
      </c>
      <c r="N181" s="32">
        <v>0</v>
      </c>
      <c r="O181" s="32">
        <v>0</v>
      </c>
      <c r="P181" s="32">
        <v>0</v>
      </c>
      <c r="Q181" s="32">
        <v>0</v>
      </c>
      <c r="R181" s="13">
        <v>6400</v>
      </c>
    </row>
    <row r="182" spans="1:18" ht="17.5" thickBot="1" x14ac:dyDescent="0.65">
      <c r="A182" s="33" t="s">
        <v>348</v>
      </c>
      <c r="B182" s="29" t="s">
        <v>357</v>
      </c>
      <c r="C182" s="29" t="s">
        <v>373</v>
      </c>
      <c r="D182" s="33" t="s">
        <v>374</v>
      </c>
      <c r="E182" s="31" t="s">
        <v>694</v>
      </c>
      <c r="F182" s="32">
        <v>800</v>
      </c>
      <c r="G182" s="32">
        <v>800</v>
      </c>
      <c r="H182" s="32">
        <v>920</v>
      </c>
      <c r="I182" s="32">
        <v>680</v>
      </c>
      <c r="J182" s="32">
        <v>800</v>
      </c>
      <c r="K182" s="32">
        <v>800</v>
      </c>
      <c r="L182" s="32">
        <v>800</v>
      </c>
      <c r="M182" s="32">
        <v>800</v>
      </c>
      <c r="N182" s="32">
        <v>0</v>
      </c>
      <c r="O182" s="32">
        <v>0</v>
      </c>
      <c r="P182" s="32">
        <v>0</v>
      </c>
      <c r="Q182" s="32">
        <v>0</v>
      </c>
      <c r="R182" s="13">
        <v>6400</v>
      </c>
    </row>
    <row r="183" spans="1:18" ht="17.5" thickBot="1" x14ac:dyDescent="0.65">
      <c r="A183" s="33" t="s">
        <v>348</v>
      </c>
      <c r="B183" s="29" t="s">
        <v>538</v>
      </c>
      <c r="C183" s="29" t="s">
        <v>539</v>
      </c>
      <c r="D183" s="33" t="s">
        <v>752</v>
      </c>
      <c r="E183" s="31" t="s">
        <v>694</v>
      </c>
      <c r="F183" s="32">
        <v>800</v>
      </c>
      <c r="G183" s="32">
        <v>800</v>
      </c>
      <c r="H183" s="32">
        <v>919.99999999999989</v>
      </c>
      <c r="I183" s="32">
        <v>680</v>
      </c>
      <c r="J183" s="32">
        <v>800</v>
      </c>
      <c r="K183" s="32">
        <v>800</v>
      </c>
      <c r="L183" s="32">
        <v>800</v>
      </c>
      <c r="M183" s="32">
        <v>800</v>
      </c>
      <c r="N183" s="32">
        <v>0</v>
      </c>
      <c r="O183" s="32">
        <v>0</v>
      </c>
      <c r="P183" s="32">
        <v>0</v>
      </c>
      <c r="Q183" s="32">
        <v>0</v>
      </c>
      <c r="R183" s="13">
        <v>6400</v>
      </c>
    </row>
    <row r="184" spans="1:18" ht="17.5" thickBot="1" x14ac:dyDescent="0.65">
      <c r="A184" s="33" t="s">
        <v>348</v>
      </c>
      <c r="B184" s="29" t="s">
        <v>514</v>
      </c>
      <c r="C184" s="29" t="s">
        <v>515</v>
      </c>
      <c r="D184" s="33" t="s">
        <v>516</v>
      </c>
      <c r="E184" s="31" t="s">
        <v>694</v>
      </c>
      <c r="F184" s="32">
        <v>800</v>
      </c>
      <c r="G184" s="32">
        <v>800</v>
      </c>
      <c r="H184" s="32">
        <v>920</v>
      </c>
      <c r="I184" s="32">
        <v>680</v>
      </c>
      <c r="J184" s="32">
        <v>800</v>
      </c>
      <c r="K184" s="32">
        <v>800</v>
      </c>
      <c r="L184" s="32">
        <v>800</v>
      </c>
      <c r="M184" s="32">
        <v>800</v>
      </c>
      <c r="N184" s="32">
        <v>0</v>
      </c>
      <c r="O184" s="32">
        <v>0</v>
      </c>
      <c r="P184" s="32">
        <v>0</v>
      </c>
      <c r="Q184" s="32">
        <v>0</v>
      </c>
      <c r="R184" s="13">
        <v>6400</v>
      </c>
    </row>
    <row r="185" spans="1:18" ht="17.5" thickBot="1" x14ac:dyDescent="0.65">
      <c r="A185" s="33" t="s">
        <v>348</v>
      </c>
      <c r="B185" s="29" t="s">
        <v>569</v>
      </c>
      <c r="C185" s="29" t="s">
        <v>570</v>
      </c>
      <c r="D185" s="33" t="s">
        <v>753</v>
      </c>
      <c r="E185" s="31" t="s">
        <v>694</v>
      </c>
      <c r="F185" s="32">
        <v>800</v>
      </c>
      <c r="G185" s="32">
        <v>800</v>
      </c>
      <c r="H185" s="32">
        <v>919.99999999999989</v>
      </c>
      <c r="I185" s="32">
        <v>680</v>
      </c>
      <c r="J185" s="32">
        <v>800</v>
      </c>
      <c r="K185" s="32">
        <v>800</v>
      </c>
      <c r="L185" s="32">
        <v>800</v>
      </c>
      <c r="M185" s="32">
        <v>800</v>
      </c>
      <c r="N185" s="32">
        <v>0</v>
      </c>
      <c r="O185" s="32">
        <v>0</v>
      </c>
      <c r="P185" s="32">
        <v>0</v>
      </c>
      <c r="Q185" s="32">
        <v>0</v>
      </c>
      <c r="R185" s="13">
        <v>6400</v>
      </c>
    </row>
    <row r="186" spans="1:18" ht="17.5" thickBot="1" x14ac:dyDescent="0.65">
      <c r="A186" s="37" t="s">
        <v>348</v>
      </c>
      <c r="B186" s="38"/>
      <c r="C186" s="38" t="s">
        <v>713</v>
      </c>
      <c r="D186" s="37" t="s">
        <v>704</v>
      </c>
      <c r="E186" s="31" t="s">
        <v>694</v>
      </c>
      <c r="F186" s="32">
        <v>800</v>
      </c>
      <c r="G186" s="32">
        <v>800</v>
      </c>
      <c r="H186" s="32">
        <v>919.99999999999989</v>
      </c>
      <c r="I186" s="32">
        <v>680</v>
      </c>
      <c r="J186" s="32">
        <v>800</v>
      </c>
      <c r="K186" s="32">
        <v>800</v>
      </c>
      <c r="L186" s="32">
        <v>800</v>
      </c>
      <c r="M186" s="32">
        <v>800</v>
      </c>
      <c r="N186" s="32">
        <v>0</v>
      </c>
      <c r="O186" s="32">
        <v>0</v>
      </c>
      <c r="P186" s="32">
        <v>0</v>
      </c>
      <c r="Q186" s="32">
        <v>0</v>
      </c>
      <c r="R186" s="13">
        <v>6400</v>
      </c>
    </row>
    <row r="187" spans="1:18" ht="17.5" thickBot="1" x14ac:dyDescent="0.65">
      <c r="A187" s="33" t="s">
        <v>348</v>
      </c>
      <c r="B187" s="29" t="s">
        <v>399</v>
      </c>
      <c r="C187" s="29" t="s">
        <v>404</v>
      </c>
      <c r="D187" s="33" t="s">
        <v>405</v>
      </c>
      <c r="E187" s="31" t="s">
        <v>694</v>
      </c>
      <c r="F187" s="32">
        <v>800</v>
      </c>
      <c r="G187" s="32">
        <v>800</v>
      </c>
      <c r="H187" s="32">
        <v>920</v>
      </c>
      <c r="I187" s="32">
        <v>680</v>
      </c>
      <c r="J187" s="32">
        <v>800</v>
      </c>
      <c r="K187" s="32">
        <v>800</v>
      </c>
      <c r="L187" s="32">
        <v>800</v>
      </c>
      <c r="M187" s="32">
        <v>800</v>
      </c>
      <c r="N187" s="32">
        <v>0</v>
      </c>
      <c r="O187" s="32">
        <v>0</v>
      </c>
      <c r="P187" s="32">
        <v>0</v>
      </c>
      <c r="Q187" s="32">
        <v>0</v>
      </c>
      <c r="R187" s="13">
        <v>6400</v>
      </c>
    </row>
    <row r="188" spans="1:18" ht="17.5" thickBot="1" x14ac:dyDescent="0.65">
      <c r="A188" s="33" t="s">
        <v>348</v>
      </c>
      <c r="B188" s="29" t="s">
        <v>399</v>
      </c>
      <c r="C188" s="29" t="s">
        <v>408</v>
      </c>
      <c r="D188" s="33" t="s">
        <v>754</v>
      </c>
      <c r="E188" s="31" t="s">
        <v>694</v>
      </c>
      <c r="F188" s="32">
        <v>800</v>
      </c>
      <c r="G188" s="32">
        <v>800</v>
      </c>
      <c r="H188" s="32">
        <v>920</v>
      </c>
      <c r="I188" s="32">
        <v>680</v>
      </c>
      <c r="J188" s="32">
        <v>800</v>
      </c>
      <c r="K188" s="32">
        <v>800</v>
      </c>
      <c r="L188" s="32">
        <v>800</v>
      </c>
      <c r="M188" s="32">
        <v>800</v>
      </c>
      <c r="N188" s="32">
        <v>0</v>
      </c>
      <c r="O188" s="32">
        <v>0</v>
      </c>
      <c r="P188" s="32">
        <v>0</v>
      </c>
      <c r="Q188" s="32">
        <v>0</v>
      </c>
      <c r="R188" s="13">
        <v>6400</v>
      </c>
    </row>
    <row r="189" spans="1:18" ht="17.5" thickBot="1" x14ac:dyDescent="0.65">
      <c r="A189" s="33" t="s">
        <v>348</v>
      </c>
      <c r="B189" s="29" t="s">
        <v>412</v>
      </c>
      <c r="C189" s="29" t="s">
        <v>419</v>
      </c>
      <c r="D189" s="33" t="s">
        <v>420</v>
      </c>
      <c r="E189" s="31" t="s">
        <v>694</v>
      </c>
      <c r="F189" s="32">
        <v>800</v>
      </c>
      <c r="G189" s="32">
        <v>800</v>
      </c>
      <c r="H189" s="32">
        <v>920</v>
      </c>
      <c r="I189" s="32">
        <v>680</v>
      </c>
      <c r="J189" s="32">
        <v>800</v>
      </c>
      <c r="K189" s="32">
        <v>800</v>
      </c>
      <c r="L189" s="32">
        <v>800</v>
      </c>
      <c r="M189" s="32">
        <v>800</v>
      </c>
      <c r="N189" s="32">
        <v>0</v>
      </c>
      <c r="O189" s="32">
        <v>0</v>
      </c>
      <c r="P189" s="32">
        <v>0</v>
      </c>
      <c r="Q189" s="32">
        <v>0</v>
      </c>
      <c r="R189" s="13">
        <v>6400</v>
      </c>
    </row>
    <row r="190" spans="1:18" ht="17.5" thickBot="1" x14ac:dyDescent="0.65">
      <c r="A190" s="33" t="s">
        <v>348</v>
      </c>
      <c r="B190" s="29" t="s">
        <v>474</v>
      </c>
      <c r="C190" s="29" t="s">
        <v>477</v>
      </c>
      <c r="D190" s="33" t="s">
        <v>478</v>
      </c>
      <c r="E190" s="31" t="s">
        <v>694</v>
      </c>
      <c r="F190" s="32">
        <v>800</v>
      </c>
      <c r="G190" s="32">
        <v>800</v>
      </c>
      <c r="H190" s="32">
        <v>920</v>
      </c>
      <c r="I190" s="32">
        <v>680</v>
      </c>
      <c r="J190" s="32">
        <v>800</v>
      </c>
      <c r="K190" s="32">
        <v>800</v>
      </c>
      <c r="L190" s="32">
        <v>800</v>
      </c>
      <c r="M190" s="32">
        <v>800</v>
      </c>
      <c r="N190" s="32">
        <v>0</v>
      </c>
      <c r="O190" s="32">
        <v>0</v>
      </c>
      <c r="P190" s="32">
        <v>0</v>
      </c>
      <c r="Q190" s="32">
        <v>0</v>
      </c>
      <c r="R190" s="13">
        <v>6400</v>
      </c>
    </row>
    <row r="191" spans="1:18" ht="17.5" thickBot="1" x14ac:dyDescent="0.65">
      <c r="A191" s="33" t="s">
        <v>348</v>
      </c>
      <c r="B191" s="29" t="s">
        <v>461</v>
      </c>
      <c r="C191" s="29" t="s">
        <v>468</v>
      </c>
      <c r="D191" s="33" t="s">
        <v>755</v>
      </c>
      <c r="E191" s="31" t="s">
        <v>694</v>
      </c>
      <c r="F191" s="32">
        <v>800</v>
      </c>
      <c r="G191" s="32">
        <v>800</v>
      </c>
      <c r="H191" s="32">
        <v>919.99999999999989</v>
      </c>
      <c r="I191" s="32">
        <v>680</v>
      </c>
      <c r="J191" s="32">
        <v>800</v>
      </c>
      <c r="K191" s="32">
        <v>800</v>
      </c>
      <c r="L191" s="32">
        <v>800</v>
      </c>
      <c r="M191" s="32">
        <v>800</v>
      </c>
      <c r="N191" s="32">
        <v>0</v>
      </c>
      <c r="O191" s="32">
        <v>0</v>
      </c>
      <c r="P191" s="32">
        <v>0</v>
      </c>
      <c r="Q191" s="32">
        <v>0</v>
      </c>
      <c r="R191" s="13">
        <v>6400</v>
      </c>
    </row>
    <row r="192" spans="1:18" ht="17.5" thickBot="1" x14ac:dyDescent="0.65">
      <c r="A192" s="33" t="s">
        <v>348</v>
      </c>
      <c r="B192" s="29" t="s">
        <v>586</v>
      </c>
      <c r="C192" s="29" t="s">
        <v>590</v>
      </c>
      <c r="D192" s="33" t="s">
        <v>756</v>
      </c>
      <c r="E192" s="31" t="s">
        <v>694</v>
      </c>
      <c r="F192" s="32">
        <v>800</v>
      </c>
      <c r="G192" s="32">
        <v>800</v>
      </c>
      <c r="H192" s="32">
        <v>919.99999999999989</v>
      </c>
      <c r="I192" s="32">
        <v>680</v>
      </c>
      <c r="J192" s="32">
        <v>800</v>
      </c>
      <c r="K192" s="32">
        <v>800</v>
      </c>
      <c r="L192" s="32">
        <v>800</v>
      </c>
      <c r="M192" s="32">
        <v>800</v>
      </c>
      <c r="N192" s="32">
        <v>0</v>
      </c>
      <c r="O192" s="32">
        <v>0</v>
      </c>
      <c r="P192" s="32">
        <v>0</v>
      </c>
      <c r="Q192" s="32">
        <v>0</v>
      </c>
      <c r="R192" s="13">
        <v>6400</v>
      </c>
    </row>
    <row r="193" spans="1:18" ht="17.5" thickBot="1" x14ac:dyDescent="0.65">
      <c r="A193" s="33" t="s">
        <v>348</v>
      </c>
      <c r="B193" s="29" t="s">
        <v>425</v>
      </c>
      <c r="C193" s="29" t="s">
        <v>436</v>
      </c>
      <c r="D193" s="33" t="s">
        <v>757</v>
      </c>
      <c r="E193" s="31" t="s">
        <v>695</v>
      </c>
      <c r="F193" s="32">
        <v>800</v>
      </c>
      <c r="G193" s="32">
        <v>800</v>
      </c>
      <c r="H193" s="32">
        <v>1000</v>
      </c>
      <c r="I193" s="32">
        <v>800</v>
      </c>
      <c r="J193" s="32">
        <v>800</v>
      </c>
      <c r="K193" s="32">
        <v>800</v>
      </c>
      <c r="L193" s="32">
        <v>800</v>
      </c>
      <c r="M193" s="32">
        <v>800</v>
      </c>
      <c r="N193" s="32">
        <v>0</v>
      </c>
      <c r="O193" s="32">
        <v>0</v>
      </c>
      <c r="P193" s="32">
        <v>0</v>
      </c>
      <c r="Q193" s="32">
        <v>0</v>
      </c>
      <c r="R193" s="13">
        <v>6600</v>
      </c>
    </row>
    <row r="194" spans="1:18" ht="17.5" thickBot="1" x14ac:dyDescent="0.65">
      <c r="A194" s="33" t="s">
        <v>348</v>
      </c>
      <c r="B194" s="29" t="s">
        <v>535</v>
      </c>
      <c r="C194" s="29" t="s">
        <v>536</v>
      </c>
      <c r="D194" s="33" t="s">
        <v>537</v>
      </c>
      <c r="E194" s="31" t="s">
        <v>695</v>
      </c>
      <c r="F194" s="32">
        <v>900</v>
      </c>
      <c r="G194" s="32">
        <v>1000</v>
      </c>
      <c r="H194" s="32">
        <v>1000</v>
      </c>
      <c r="I194" s="32">
        <v>800</v>
      </c>
      <c r="J194" s="32">
        <v>900</v>
      </c>
      <c r="K194" s="32">
        <v>1000</v>
      </c>
      <c r="L194" s="32">
        <v>800</v>
      </c>
      <c r="M194" s="32">
        <v>800</v>
      </c>
      <c r="N194" s="32">
        <v>0</v>
      </c>
      <c r="O194" s="32">
        <v>0</v>
      </c>
      <c r="P194" s="32">
        <v>0</v>
      </c>
      <c r="Q194" s="32">
        <v>0</v>
      </c>
      <c r="R194" s="13">
        <v>7200</v>
      </c>
    </row>
    <row r="195" spans="1:18" ht="17.5" thickBot="1" x14ac:dyDescent="0.65">
      <c r="A195" s="33" t="s">
        <v>348</v>
      </c>
      <c r="B195" s="29" t="s">
        <v>474</v>
      </c>
      <c r="C195" s="29" t="s">
        <v>475</v>
      </c>
      <c r="D195" s="33" t="s">
        <v>476</v>
      </c>
      <c r="E195" s="31" t="s">
        <v>694</v>
      </c>
      <c r="F195" s="32">
        <v>900</v>
      </c>
      <c r="G195" s="32">
        <v>900</v>
      </c>
      <c r="H195" s="32">
        <v>1035</v>
      </c>
      <c r="I195" s="32">
        <v>765</v>
      </c>
      <c r="J195" s="32">
        <v>900</v>
      </c>
      <c r="K195" s="32">
        <v>900</v>
      </c>
      <c r="L195" s="32">
        <v>900</v>
      </c>
      <c r="M195" s="32">
        <v>900</v>
      </c>
      <c r="N195" s="32">
        <v>0</v>
      </c>
      <c r="O195" s="32">
        <v>0</v>
      </c>
      <c r="P195" s="32">
        <v>0</v>
      </c>
      <c r="Q195" s="32">
        <v>0</v>
      </c>
      <c r="R195" s="13">
        <v>7200</v>
      </c>
    </row>
    <row r="196" spans="1:18" ht="17.5" thickBot="1" x14ac:dyDescent="0.65">
      <c r="A196" s="33" t="s">
        <v>348</v>
      </c>
      <c r="B196" s="29" t="s">
        <v>576</v>
      </c>
      <c r="C196" s="29" t="s">
        <v>577</v>
      </c>
      <c r="D196" s="33" t="s">
        <v>758</v>
      </c>
      <c r="E196" s="31" t="s">
        <v>694</v>
      </c>
      <c r="F196" s="32">
        <v>900</v>
      </c>
      <c r="G196" s="32">
        <v>900</v>
      </c>
      <c r="H196" s="32">
        <v>1035</v>
      </c>
      <c r="I196" s="32">
        <v>765</v>
      </c>
      <c r="J196" s="32">
        <v>900</v>
      </c>
      <c r="K196" s="32">
        <v>900</v>
      </c>
      <c r="L196" s="32">
        <v>900</v>
      </c>
      <c r="M196" s="32">
        <v>900</v>
      </c>
      <c r="N196" s="32">
        <v>0</v>
      </c>
      <c r="O196" s="32">
        <v>0</v>
      </c>
      <c r="P196" s="32">
        <v>0</v>
      </c>
      <c r="Q196" s="32">
        <v>0</v>
      </c>
      <c r="R196" s="13">
        <v>7200</v>
      </c>
    </row>
    <row r="197" spans="1:18" ht="17.5" thickBot="1" x14ac:dyDescent="0.65">
      <c r="A197" s="33" t="s">
        <v>348</v>
      </c>
      <c r="B197" s="29" t="s">
        <v>349</v>
      </c>
      <c r="C197" s="29" t="s">
        <v>350</v>
      </c>
      <c r="D197" s="33" t="s">
        <v>351</v>
      </c>
      <c r="E197" s="31" t="s">
        <v>694</v>
      </c>
      <c r="F197" s="32">
        <v>950</v>
      </c>
      <c r="G197" s="32">
        <v>950</v>
      </c>
      <c r="H197" s="32">
        <v>1092.4999999999998</v>
      </c>
      <c r="I197" s="32">
        <v>807.5</v>
      </c>
      <c r="J197" s="32">
        <v>950</v>
      </c>
      <c r="K197" s="32">
        <v>950</v>
      </c>
      <c r="L197" s="32">
        <v>950</v>
      </c>
      <c r="M197" s="32">
        <v>950</v>
      </c>
      <c r="N197" s="32">
        <v>0</v>
      </c>
      <c r="O197" s="32">
        <v>0</v>
      </c>
      <c r="P197" s="32">
        <v>0</v>
      </c>
      <c r="Q197" s="32">
        <v>0</v>
      </c>
      <c r="R197" s="13">
        <v>7600</v>
      </c>
    </row>
    <row r="198" spans="1:18" ht="17.5" thickBot="1" x14ac:dyDescent="0.65">
      <c r="A198" s="33" t="s">
        <v>348</v>
      </c>
      <c r="B198" s="29" t="s">
        <v>357</v>
      </c>
      <c r="C198" s="29" t="s">
        <v>360</v>
      </c>
      <c r="D198" s="33" t="s">
        <v>361</v>
      </c>
      <c r="E198" s="31" t="s">
        <v>694</v>
      </c>
      <c r="F198" s="32">
        <v>1000</v>
      </c>
      <c r="G198" s="32">
        <v>1000</v>
      </c>
      <c r="H198" s="32">
        <v>1150</v>
      </c>
      <c r="I198" s="32">
        <v>850</v>
      </c>
      <c r="J198" s="32">
        <v>1000</v>
      </c>
      <c r="K198" s="32">
        <v>1000</v>
      </c>
      <c r="L198" s="32">
        <v>1000</v>
      </c>
      <c r="M198" s="32">
        <v>1000</v>
      </c>
      <c r="N198" s="32">
        <v>0</v>
      </c>
      <c r="O198" s="32">
        <v>0</v>
      </c>
      <c r="P198" s="32">
        <v>0</v>
      </c>
      <c r="Q198" s="32">
        <v>0</v>
      </c>
      <c r="R198" s="13">
        <v>8000</v>
      </c>
    </row>
    <row r="199" spans="1:18" ht="17.5" thickBot="1" x14ac:dyDescent="0.65">
      <c r="A199" s="33" t="s">
        <v>348</v>
      </c>
      <c r="B199" s="29" t="s">
        <v>557</v>
      </c>
      <c r="C199" s="29" t="s">
        <v>560</v>
      </c>
      <c r="D199" s="33" t="s">
        <v>561</v>
      </c>
      <c r="E199" s="31" t="s">
        <v>694</v>
      </c>
      <c r="F199" s="32">
        <v>1000</v>
      </c>
      <c r="G199" s="32">
        <v>1000</v>
      </c>
      <c r="H199" s="32">
        <v>1149.9999999999998</v>
      </c>
      <c r="I199" s="32">
        <v>850</v>
      </c>
      <c r="J199" s="32">
        <v>1000</v>
      </c>
      <c r="K199" s="32">
        <v>1000</v>
      </c>
      <c r="L199" s="32">
        <v>1000</v>
      </c>
      <c r="M199" s="32">
        <v>1000</v>
      </c>
      <c r="N199" s="32">
        <v>0</v>
      </c>
      <c r="O199" s="32">
        <v>0</v>
      </c>
      <c r="P199" s="32">
        <v>0</v>
      </c>
      <c r="Q199" s="32">
        <v>0</v>
      </c>
      <c r="R199" s="13">
        <v>8000</v>
      </c>
    </row>
    <row r="200" spans="1:18" ht="17.5" thickBot="1" x14ac:dyDescent="0.65">
      <c r="A200" s="33" t="s">
        <v>348</v>
      </c>
      <c r="B200" s="29" t="s">
        <v>382</v>
      </c>
      <c r="C200" s="29" t="s">
        <v>385</v>
      </c>
      <c r="D200" s="33" t="s">
        <v>386</v>
      </c>
      <c r="E200" s="31" t="s">
        <v>694</v>
      </c>
      <c r="F200" s="32">
        <v>1000</v>
      </c>
      <c r="G200" s="32">
        <v>1000</v>
      </c>
      <c r="H200" s="32">
        <v>1150</v>
      </c>
      <c r="I200" s="32">
        <v>850</v>
      </c>
      <c r="J200" s="32">
        <v>1000</v>
      </c>
      <c r="K200" s="32">
        <v>1000</v>
      </c>
      <c r="L200" s="32">
        <v>1000</v>
      </c>
      <c r="M200" s="32">
        <v>1000</v>
      </c>
      <c r="N200" s="32">
        <v>0</v>
      </c>
      <c r="O200" s="32">
        <v>0</v>
      </c>
      <c r="P200" s="32">
        <v>0</v>
      </c>
      <c r="Q200" s="32">
        <v>0</v>
      </c>
      <c r="R200" s="13">
        <v>8000</v>
      </c>
    </row>
    <row r="201" spans="1:18" ht="17.5" thickBot="1" x14ac:dyDescent="0.65">
      <c r="A201" s="33" t="s">
        <v>348</v>
      </c>
      <c r="B201" s="29" t="s">
        <v>499</v>
      </c>
      <c r="C201" s="29" t="s">
        <v>500</v>
      </c>
      <c r="D201" s="33" t="s">
        <v>501</v>
      </c>
      <c r="E201" s="31" t="s">
        <v>694</v>
      </c>
      <c r="F201" s="32">
        <v>1000</v>
      </c>
      <c r="G201" s="32">
        <v>1000</v>
      </c>
      <c r="H201" s="32">
        <v>1149.9999999999998</v>
      </c>
      <c r="I201" s="32">
        <v>850</v>
      </c>
      <c r="J201" s="32">
        <v>1000</v>
      </c>
      <c r="K201" s="32">
        <v>1000</v>
      </c>
      <c r="L201" s="32">
        <v>1000</v>
      </c>
      <c r="M201" s="32">
        <v>1000</v>
      </c>
      <c r="N201" s="32">
        <v>0</v>
      </c>
      <c r="O201" s="32">
        <v>0</v>
      </c>
      <c r="P201" s="32">
        <v>0</v>
      </c>
      <c r="Q201" s="32">
        <v>0</v>
      </c>
      <c r="R201" s="13">
        <v>8000</v>
      </c>
    </row>
    <row r="202" spans="1:18" ht="17.5" thickBot="1" x14ac:dyDescent="0.65">
      <c r="A202" s="33" t="s">
        <v>348</v>
      </c>
      <c r="B202" s="29" t="s">
        <v>592</v>
      </c>
      <c r="C202" s="29" t="s">
        <v>595</v>
      </c>
      <c r="D202" s="33" t="s">
        <v>596</v>
      </c>
      <c r="E202" s="31" t="s">
        <v>694</v>
      </c>
      <c r="F202" s="32">
        <v>1000</v>
      </c>
      <c r="G202" s="32">
        <v>1000</v>
      </c>
      <c r="H202" s="32">
        <v>1149.9999999999998</v>
      </c>
      <c r="I202" s="32">
        <v>850</v>
      </c>
      <c r="J202" s="32">
        <v>1000</v>
      </c>
      <c r="K202" s="32">
        <v>1000</v>
      </c>
      <c r="L202" s="32">
        <v>1000</v>
      </c>
      <c r="M202" s="32">
        <v>1000</v>
      </c>
      <c r="N202" s="32">
        <v>0</v>
      </c>
      <c r="O202" s="32">
        <v>0</v>
      </c>
      <c r="P202" s="32">
        <v>0</v>
      </c>
      <c r="Q202" s="32">
        <v>0</v>
      </c>
      <c r="R202" s="13">
        <v>8000</v>
      </c>
    </row>
    <row r="203" spans="1:18" ht="17.5" thickBot="1" x14ac:dyDescent="0.65">
      <c r="A203" s="33" t="s">
        <v>348</v>
      </c>
      <c r="B203" s="29" t="s">
        <v>396</v>
      </c>
      <c r="C203" s="29" t="s">
        <v>397</v>
      </c>
      <c r="D203" s="33" t="s">
        <v>398</v>
      </c>
      <c r="E203" s="31" t="s">
        <v>694</v>
      </c>
      <c r="F203" s="32">
        <v>1000</v>
      </c>
      <c r="G203" s="32">
        <v>1000</v>
      </c>
      <c r="H203" s="32">
        <v>1150</v>
      </c>
      <c r="I203" s="32">
        <v>850</v>
      </c>
      <c r="J203" s="32">
        <v>1000</v>
      </c>
      <c r="K203" s="32">
        <v>1000</v>
      </c>
      <c r="L203" s="32">
        <v>1000</v>
      </c>
      <c r="M203" s="32">
        <v>1000</v>
      </c>
      <c r="N203" s="32">
        <v>0</v>
      </c>
      <c r="O203" s="32">
        <v>0</v>
      </c>
      <c r="P203" s="32">
        <v>0</v>
      </c>
      <c r="Q203" s="32">
        <v>0</v>
      </c>
      <c r="R203" s="13">
        <v>8000</v>
      </c>
    </row>
    <row r="204" spans="1:18" ht="17.5" thickBot="1" x14ac:dyDescent="0.65">
      <c r="A204" s="33" t="s">
        <v>348</v>
      </c>
      <c r="B204" s="29" t="s">
        <v>461</v>
      </c>
      <c r="C204" s="29" t="s">
        <v>462</v>
      </c>
      <c r="D204" s="33" t="s">
        <v>463</v>
      </c>
      <c r="E204" s="31" t="s">
        <v>694</v>
      </c>
      <c r="F204" s="32">
        <v>1000</v>
      </c>
      <c r="G204" s="32">
        <v>1000</v>
      </c>
      <c r="H204" s="32">
        <v>1150</v>
      </c>
      <c r="I204" s="32">
        <v>850</v>
      </c>
      <c r="J204" s="32">
        <v>1000</v>
      </c>
      <c r="K204" s="32">
        <v>1000</v>
      </c>
      <c r="L204" s="32">
        <v>1000</v>
      </c>
      <c r="M204" s="32">
        <v>1000</v>
      </c>
      <c r="N204" s="32">
        <v>0</v>
      </c>
      <c r="O204" s="32">
        <v>0</v>
      </c>
      <c r="P204" s="32">
        <v>0</v>
      </c>
      <c r="Q204" s="32">
        <v>0</v>
      </c>
      <c r="R204" s="13">
        <v>8000</v>
      </c>
    </row>
    <row r="205" spans="1:18" ht="17.5" thickBot="1" x14ac:dyDescent="0.65">
      <c r="A205" s="33" t="s">
        <v>348</v>
      </c>
      <c r="B205" s="29" t="s">
        <v>461</v>
      </c>
      <c r="C205" s="29" t="s">
        <v>464</v>
      </c>
      <c r="D205" s="33" t="s">
        <v>465</v>
      </c>
      <c r="E205" s="31" t="s">
        <v>694</v>
      </c>
      <c r="F205" s="32">
        <v>1000</v>
      </c>
      <c r="G205" s="32">
        <v>1000</v>
      </c>
      <c r="H205" s="32">
        <v>1150</v>
      </c>
      <c r="I205" s="32">
        <v>850</v>
      </c>
      <c r="J205" s="32">
        <v>1000</v>
      </c>
      <c r="K205" s="32">
        <v>1000</v>
      </c>
      <c r="L205" s="32">
        <v>1000</v>
      </c>
      <c r="M205" s="32">
        <v>1000</v>
      </c>
      <c r="N205" s="32">
        <v>0</v>
      </c>
      <c r="O205" s="32">
        <v>0</v>
      </c>
      <c r="P205" s="32">
        <v>0</v>
      </c>
      <c r="Q205" s="32">
        <v>0</v>
      </c>
      <c r="R205" s="13">
        <v>8000</v>
      </c>
    </row>
    <row r="206" spans="1:18" ht="17.5" thickBot="1" x14ac:dyDescent="0.65">
      <c r="A206" s="33" t="s">
        <v>348</v>
      </c>
      <c r="B206" s="29" t="s">
        <v>518</v>
      </c>
      <c r="C206" s="29" t="s">
        <v>521</v>
      </c>
      <c r="D206" s="33" t="s">
        <v>522</v>
      </c>
      <c r="E206" s="31" t="s">
        <v>694</v>
      </c>
      <c r="F206" s="32">
        <v>1000</v>
      </c>
      <c r="G206" s="32">
        <v>1000</v>
      </c>
      <c r="H206" s="32">
        <v>1149.9999999999998</v>
      </c>
      <c r="I206" s="32">
        <v>850</v>
      </c>
      <c r="J206" s="32">
        <v>1000</v>
      </c>
      <c r="K206" s="32">
        <v>1000</v>
      </c>
      <c r="L206" s="32">
        <v>1000</v>
      </c>
      <c r="M206" s="32">
        <v>1000</v>
      </c>
      <c r="N206" s="32">
        <v>0</v>
      </c>
      <c r="O206" s="32">
        <v>0</v>
      </c>
      <c r="P206" s="32">
        <v>0</v>
      </c>
      <c r="Q206" s="32">
        <v>0</v>
      </c>
      <c r="R206" s="13">
        <v>8000</v>
      </c>
    </row>
    <row r="207" spans="1:18" ht="17.5" thickBot="1" x14ac:dyDescent="0.65">
      <c r="A207" s="33" t="s">
        <v>348</v>
      </c>
      <c r="B207" s="29" t="s">
        <v>447</v>
      </c>
      <c r="C207" s="29" t="s">
        <v>450</v>
      </c>
      <c r="D207" s="33" t="s">
        <v>451</v>
      </c>
      <c r="E207" s="31" t="s">
        <v>694</v>
      </c>
      <c r="F207" s="32">
        <v>1000</v>
      </c>
      <c r="G207" s="32">
        <v>1000</v>
      </c>
      <c r="H207" s="32">
        <v>1150</v>
      </c>
      <c r="I207" s="32">
        <v>850</v>
      </c>
      <c r="J207" s="32">
        <v>1000</v>
      </c>
      <c r="K207" s="32">
        <v>1000</v>
      </c>
      <c r="L207" s="32">
        <v>1000</v>
      </c>
      <c r="M207" s="32">
        <v>1000</v>
      </c>
      <c r="N207" s="32">
        <v>0</v>
      </c>
      <c r="O207" s="32">
        <v>0</v>
      </c>
      <c r="P207" s="32">
        <v>0</v>
      </c>
      <c r="Q207" s="32">
        <v>0</v>
      </c>
      <c r="R207" s="13">
        <v>8000</v>
      </c>
    </row>
    <row r="208" spans="1:18" ht="17.5" thickBot="1" x14ac:dyDescent="0.65">
      <c r="A208" s="33" t="s">
        <v>348</v>
      </c>
      <c r="B208" s="29" t="s">
        <v>447</v>
      </c>
      <c r="C208" s="29" t="s">
        <v>455</v>
      </c>
      <c r="D208" s="33" t="s">
        <v>456</v>
      </c>
      <c r="E208" s="31" t="s">
        <v>694</v>
      </c>
      <c r="F208" s="32">
        <v>1000</v>
      </c>
      <c r="G208" s="32">
        <v>1000</v>
      </c>
      <c r="H208" s="32">
        <v>1150</v>
      </c>
      <c r="I208" s="32">
        <v>850</v>
      </c>
      <c r="J208" s="32">
        <v>1000</v>
      </c>
      <c r="K208" s="32">
        <v>1000</v>
      </c>
      <c r="L208" s="32">
        <v>1000</v>
      </c>
      <c r="M208" s="32">
        <v>1000</v>
      </c>
      <c r="N208" s="32">
        <v>0</v>
      </c>
      <c r="O208" s="32">
        <v>0</v>
      </c>
      <c r="P208" s="32">
        <v>0</v>
      </c>
      <c r="Q208" s="32">
        <v>0</v>
      </c>
      <c r="R208" s="13">
        <v>8000</v>
      </c>
    </row>
    <row r="209" spans="1:18" ht="17.5" thickBot="1" x14ac:dyDescent="0.65">
      <c r="A209" s="33" t="s">
        <v>348</v>
      </c>
      <c r="B209" s="29" t="s">
        <v>412</v>
      </c>
      <c r="C209" s="29" t="s">
        <v>423</v>
      </c>
      <c r="D209" s="33" t="s">
        <v>424</v>
      </c>
      <c r="E209" s="31" t="s">
        <v>694</v>
      </c>
      <c r="F209" s="32">
        <v>1000</v>
      </c>
      <c r="G209" s="32">
        <v>1000</v>
      </c>
      <c r="H209" s="32">
        <v>1120</v>
      </c>
      <c r="I209" s="32">
        <v>880</v>
      </c>
      <c r="J209" s="32">
        <v>1000</v>
      </c>
      <c r="K209" s="32">
        <v>1000</v>
      </c>
      <c r="L209" s="32">
        <v>1000</v>
      </c>
      <c r="M209" s="32">
        <v>1000</v>
      </c>
      <c r="N209" s="32">
        <v>0</v>
      </c>
      <c r="O209" s="32">
        <v>0</v>
      </c>
      <c r="P209" s="32">
        <v>0</v>
      </c>
      <c r="Q209" s="32">
        <v>0</v>
      </c>
      <c r="R209" s="13">
        <v>8000</v>
      </c>
    </row>
    <row r="210" spans="1:18" ht="17.5" thickBot="1" x14ac:dyDescent="0.65">
      <c r="A210" s="33" t="s">
        <v>348</v>
      </c>
      <c r="B210" s="29" t="s">
        <v>425</v>
      </c>
      <c r="C210" s="29" t="s">
        <v>432</v>
      </c>
      <c r="D210" s="33" t="s">
        <v>433</v>
      </c>
      <c r="E210" s="31" t="s">
        <v>695</v>
      </c>
      <c r="F210" s="32">
        <v>1000</v>
      </c>
      <c r="G210" s="32">
        <v>1000</v>
      </c>
      <c r="H210" s="32">
        <v>1000</v>
      </c>
      <c r="I210" s="32">
        <v>1000</v>
      </c>
      <c r="J210" s="32">
        <v>1000</v>
      </c>
      <c r="K210" s="32">
        <v>1000</v>
      </c>
      <c r="L210" s="32">
        <v>1000</v>
      </c>
      <c r="M210" s="32">
        <v>1000</v>
      </c>
      <c r="N210" s="32">
        <v>0</v>
      </c>
      <c r="O210" s="32">
        <v>0</v>
      </c>
      <c r="P210" s="32">
        <v>0</v>
      </c>
      <c r="Q210" s="32">
        <v>0</v>
      </c>
      <c r="R210" s="13">
        <v>8000</v>
      </c>
    </row>
    <row r="211" spans="1:18" ht="17.5" thickBot="1" x14ac:dyDescent="0.65">
      <c r="A211" s="33" t="s">
        <v>348</v>
      </c>
      <c r="B211" s="29" t="s">
        <v>357</v>
      </c>
      <c r="C211" s="29" t="s">
        <v>368</v>
      </c>
      <c r="D211" s="33" t="s">
        <v>369</v>
      </c>
      <c r="E211" s="31" t="s">
        <v>694</v>
      </c>
      <c r="F211" s="32">
        <v>1100</v>
      </c>
      <c r="G211" s="32">
        <v>1100</v>
      </c>
      <c r="H211" s="32">
        <v>1265</v>
      </c>
      <c r="I211" s="32">
        <v>935</v>
      </c>
      <c r="J211" s="32">
        <v>1100</v>
      </c>
      <c r="K211" s="32">
        <v>1100</v>
      </c>
      <c r="L211" s="32">
        <v>1100</v>
      </c>
      <c r="M211" s="32">
        <v>1100</v>
      </c>
      <c r="N211" s="32">
        <v>0</v>
      </c>
      <c r="O211" s="32">
        <v>0</v>
      </c>
      <c r="P211" s="32">
        <v>0</v>
      </c>
      <c r="Q211" s="32">
        <v>0</v>
      </c>
      <c r="R211" s="13">
        <v>8800</v>
      </c>
    </row>
    <row r="212" spans="1:18" ht="17.5" thickBot="1" x14ac:dyDescent="0.65">
      <c r="A212" s="33" t="s">
        <v>348</v>
      </c>
      <c r="B212" s="29" t="s">
        <v>532</v>
      </c>
      <c r="C212" s="29" t="s">
        <v>533</v>
      </c>
      <c r="D212" s="33" t="s">
        <v>534</v>
      </c>
      <c r="E212" s="31" t="s">
        <v>694</v>
      </c>
      <c r="F212" s="32">
        <v>1150</v>
      </c>
      <c r="G212" s="32">
        <v>1150</v>
      </c>
      <c r="H212" s="32">
        <v>1322.5</v>
      </c>
      <c r="I212" s="32">
        <v>977.5</v>
      </c>
      <c r="J212" s="32">
        <v>1150</v>
      </c>
      <c r="K212" s="32">
        <v>1150</v>
      </c>
      <c r="L212" s="32">
        <v>1150</v>
      </c>
      <c r="M212" s="32">
        <v>1150</v>
      </c>
      <c r="N212" s="32">
        <v>0</v>
      </c>
      <c r="O212" s="32">
        <v>0</v>
      </c>
      <c r="P212" s="32">
        <v>0</v>
      </c>
      <c r="Q212" s="32">
        <v>0</v>
      </c>
      <c r="R212" s="13">
        <v>9200</v>
      </c>
    </row>
    <row r="213" spans="1:18" ht="17.5" thickBot="1" x14ac:dyDescent="0.65">
      <c r="A213" s="33" t="s">
        <v>348</v>
      </c>
      <c r="B213" s="29" t="s">
        <v>399</v>
      </c>
      <c r="C213" s="29" t="s">
        <v>400</v>
      </c>
      <c r="D213" s="33" t="s">
        <v>401</v>
      </c>
      <c r="E213" s="31" t="s">
        <v>694</v>
      </c>
      <c r="F213" s="32">
        <v>1200</v>
      </c>
      <c r="G213" s="32">
        <v>1200</v>
      </c>
      <c r="H213" s="32">
        <v>1379.9999999999998</v>
      </c>
      <c r="I213" s="32">
        <v>1020</v>
      </c>
      <c r="J213" s="32">
        <v>1200</v>
      </c>
      <c r="K213" s="32">
        <v>1200</v>
      </c>
      <c r="L213" s="32">
        <v>1200</v>
      </c>
      <c r="M213" s="32">
        <v>1200</v>
      </c>
      <c r="N213" s="32">
        <v>0</v>
      </c>
      <c r="O213" s="32">
        <v>0</v>
      </c>
      <c r="P213" s="32">
        <v>0</v>
      </c>
      <c r="Q213" s="32">
        <v>0</v>
      </c>
      <c r="R213" s="13">
        <v>9600</v>
      </c>
    </row>
    <row r="214" spans="1:18" ht="17.5" thickBot="1" x14ac:dyDescent="0.65">
      <c r="A214" s="33" t="s">
        <v>348</v>
      </c>
      <c r="B214" s="29" t="s">
        <v>499</v>
      </c>
      <c r="C214" s="29" t="s">
        <v>504</v>
      </c>
      <c r="D214" s="33" t="s">
        <v>505</v>
      </c>
      <c r="E214" s="31" t="s">
        <v>694</v>
      </c>
      <c r="F214" s="32">
        <v>1200</v>
      </c>
      <c r="G214" s="32">
        <v>1200</v>
      </c>
      <c r="H214" s="32">
        <v>1380</v>
      </c>
      <c r="I214" s="32">
        <v>1020</v>
      </c>
      <c r="J214" s="32">
        <v>1200</v>
      </c>
      <c r="K214" s="32">
        <v>1200</v>
      </c>
      <c r="L214" s="32">
        <v>1200</v>
      </c>
      <c r="M214" s="32">
        <v>1200</v>
      </c>
      <c r="N214" s="32">
        <v>0</v>
      </c>
      <c r="O214" s="32">
        <v>0</v>
      </c>
      <c r="P214" s="32">
        <v>0</v>
      </c>
      <c r="Q214" s="32">
        <v>0</v>
      </c>
      <c r="R214" s="13">
        <v>9600</v>
      </c>
    </row>
    <row r="215" spans="1:18" ht="17.5" thickBot="1" x14ac:dyDescent="0.65">
      <c r="A215" s="33" t="s">
        <v>348</v>
      </c>
      <c r="B215" s="29" t="s">
        <v>574</v>
      </c>
      <c r="C215" s="29" t="s">
        <v>575</v>
      </c>
      <c r="D215" s="33" t="s">
        <v>759</v>
      </c>
      <c r="E215" s="31" t="s">
        <v>694</v>
      </c>
      <c r="F215" s="32">
        <v>1200</v>
      </c>
      <c r="G215" s="32">
        <v>1200</v>
      </c>
      <c r="H215" s="32">
        <v>1379.9999999999998</v>
      </c>
      <c r="I215" s="32">
        <v>1020</v>
      </c>
      <c r="J215" s="32">
        <v>1200</v>
      </c>
      <c r="K215" s="32">
        <v>1200</v>
      </c>
      <c r="L215" s="32">
        <v>1200</v>
      </c>
      <c r="M215" s="32">
        <v>1200</v>
      </c>
      <c r="N215" s="32">
        <v>0</v>
      </c>
      <c r="O215" s="32">
        <v>0</v>
      </c>
      <c r="P215" s="32">
        <v>0</v>
      </c>
      <c r="Q215" s="32">
        <v>0</v>
      </c>
      <c r="R215" s="13">
        <v>9600</v>
      </c>
    </row>
    <row r="216" spans="1:18" ht="17.5" thickBot="1" x14ac:dyDescent="0.65">
      <c r="A216" s="33" t="s">
        <v>348</v>
      </c>
      <c r="B216" s="29" t="s">
        <v>510</v>
      </c>
      <c r="C216" s="29" t="s">
        <v>511</v>
      </c>
      <c r="D216" s="33" t="s">
        <v>512</v>
      </c>
      <c r="E216" s="31" t="s">
        <v>694</v>
      </c>
      <c r="F216" s="32">
        <v>1200</v>
      </c>
      <c r="G216" s="32">
        <v>1200</v>
      </c>
      <c r="H216" s="32">
        <v>1380</v>
      </c>
      <c r="I216" s="32">
        <v>1020</v>
      </c>
      <c r="J216" s="32">
        <v>1200</v>
      </c>
      <c r="K216" s="32">
        <v>1200</v>
      </c>
      <c r="L216" s="32">
        <v>1200</v>
      </c>
      <c r="M216" s="32">
        <v>1200</v>
      </c>
      <c r="N216" s="32">
        <v>0</v>
      </c>
      <c r="O216" s="32">
        <v>0</v>
      </c>
      <c r="P216" s="32">
        <v>0</v>
      </c>
      <c r="Q216" s="32">
        <v>0</v>
      </c>
      <c r="R216" s="13">
        <v>9600</v>
      </c>
    </row>
    <row r="217" spans="1:18" ht="17.5" thickBot="1" x14ac:dyDescent="0.65">
      <c r="A217" s="33" t="s">
        <v>348</v>
      </c>
      <c r="B217" s="29" t="s">
        <v>354</v>
      </c>
      <c r="C217" s="29" t="s">
        <v>355</v>
      </c>
      <c r="D217" s="33" t="s">
        <v>356</v>
      </c>
      <c r="E217" s="31" t="s">
        <v>694</v>
      </c>
      <c r="F217" s="32">
        <v>1250</v>
      </c>
      <c r="G217" s="32">
        <v>1250</v>
      </c>
      <c r="H217" s="32">
        <v>1437.4999999999998</v>
      </c>
      <c r="I217" s="32">
        <v>1062.5</v>
      </c>
      <c r="J217" s="32">
        <v>1250</v>
      </c>
      <c r="K217" s="32">
        <v>1250</v>
      </c>
      <c r="L217" s="32">
        <v>1250</v>
      </c>
      <c r="M217" s="32">
        <v>1250</v>
      </c>
      <c r="N217" s="32">
        <v>0</v>
      </c>
      <c r="O217" s="32">
        <v>0</v>
      </c>
      <c r="P217" s="32">
        <v>0</v>
      </c>
      <c r="Q217" s="32">
        <v>0</v>
      </c>
      <c r="R217" s="13">
        <v>10000</v>
      </c>
    </row>
    <row r="218" spans="1:18" ht="17.5" thickBot="1" x14ac:dyDescent="0.65">
      <c r="A218" s="33" t="s">
        <v>348</v>
      </c>
      <c r="B218" s="29" t="s">
        <v>540</v>
      </c>
      <c r="C218" s="29" t="s">
        <v>541</v>
      </c>
      <c r="D218" s="33" t="s">
        <v>542</v>
      </c>
      <c r="E218" s="31" t="s">
        <v>694</v>
      </c>
      <c r="F218" s="32">
        <v>1250</v>
      </c>
      <c r="G218" s="32">
        <v>1250</v>
      </c>
      <c r="H218" s="32">
        <v>1437.4999999999998</v>
      </c>
      <c r="I218" s="32">
        <v>1062.5</v>
      </c>
      <c r="J218" s="32">
        <v>1250</v>
      </c>
      <c r="K218" s="32">
        <v>1250</v>
      </c>
      <c r="L218" s="32">
        <v>1250</v>
      </c>
      <c r="M218" s="32">
        <v>1250</v>
      </c>
      <c r="N218" s="32">
        <v>0</v>
      </c>
      <c r="O218" s="32">
        <v>0</v>
      </c>
      <c r="P218" s="32">
        <v>0</v>
      </c>
      <c r="Q218" s="32">
        <v>0</v>
      </c>
      <c r="R218" s="13">
        <v>10000</v>
      </c>
    </row>
    <row r="219" spans="1:18" ht="17.5" thickBot="1" x14ac:dyDescent="0.65">
      <c r="A219" s="33" t="s">
        <v>348</v>
      </c>
      <c r="B219" s="29" t="s">
        <v>357</v>
      </c>
      <c r="C219" s="29" t="s">
        <v>362</v>
      </c>
      <c r="D219" s="33" t="s">
        <v>363</v>
      </c>
      <c r="E219" s="31" t="s">
        <v>694</v>
      </c>
      <c r="F219" s="32">
        <v>1300</v>
      </c>
      <c r="G219" s="32">
        <v>1300</v>
      </c>
      <c r="H219" s="32">
        <v>1495</v>
      </c>
      <c r="I219" s="32">
        <v>1105</v>
      </c>
      <c r="J219" s="32">
        <v>1300</v>
      </c>
      <c r="K219" s="32">
        <v>1300</v>
      </c>
      <c r="L219" s="32">
        <v>1300</v>
      </c>
      <c r="M219" s="32">
        <v>1300</v>
      </c>
      <c r="N219" s="32">
        <v>0</v>
      </c>
      <c r="O219" s="32">
        <v>0</v>
      </c>
      <c r="P219" s="32">
        <v>0</v>
      </c>
      <c r="Q219" s="32">
        <v>0</v>
      </c>
      <c r="R219" s="13">
        <v>10400</v>
      </c>
    </row>
    <row r="220" spans="1:18" ht="17.5" thickBot="1" x14ac:dyDescent="0.65">
      <c r="A220" s="33" t="s">
        <v>348</v>
      </c>
      <c r="B220" s="29" t="s">
        <v>375</v>
      </c>
      <c r="C220" s="29" t="s">
        <v>376</v>
      </c>
      <c r="D220" s="33" t="s">
        <v>377</v>
      </c>
      <c r="E220" s="31" t="s">
        <v>694</v>
      </c>
      <c r="F220" s="32">
        <v>1300</v>
      </c>
      <c r="G220" s="32">
        <v>1300</v>
      </c>
      <c r="H220" s="32">
        <v>1495</v>
      </c>
      <c r="I220" s="32">
        <v>1105</v>
      </c>
      <c r="J220" s="32">
        <v>1300</v>
      </c>
      <c r="K220" s="32">
        <v>1300</v>
      </c>
      <c r="L220" s="32">
        <v>1300</v>
      </c>
      <c r="M220" s="32">
        <v>1300</v>
      </c>
      <c r="N220" s="32">
        <v>0</v>
      </c>
      <c r="O220" s="32">
        <v>0</v>
      </c>
      <c r="P220" s="32">
        <v>0</v>
      </c>
      <c r="Q220" s="32">
        <v>0</v>
      </c>
      <c r="R220" s="13">
        <v>10400</v>
      </c>
    </row>
    <row r="221" spans="1:18" ht="17.5" thickBot="1" x14ac:dyDescent="0.65">
      <c r="A221" s="33" t="s">
        <v>348</v>
      </c>
      <c r="B221" s="29" t="s">
        <v>447</v>
      </c>
      <c r="C221" s="29" t="s">
        <v>452</v>
      </c>
      <c r="D221" s="33" t="s">
        <v>453</v>
      </c>
      <c r="E221" s="31" t="s">
        <v>694</v>
      </c>
      <c r="F221" s="32">
        <v>1300</v>
      </c>
      <c r="G221" s="32">
        <v>1300</v>
      </c>
      <c r="H221" s="32">
        <v>1495</v>
      </c>
      <c r="I221" s="32">
        <v>1105</v>
      </c>
      <c r="J221" s="32">
        <v>1300</v>
      </c>
      <c r="K221" s="32">
        <v>1300</v>
      </c>
      <c r="L221" s="32">
        <v>1300</v>
      </c>
      <c r="M221" s="32">
        <v>1300</v>
      </c>
      <c r="N221" s="32">
        <v>0</v>
      </c>
      <c r="O221" s="32">
        <v>0</v>
      </c>
      <c r="P221" s="32">
        <v>0</v>
      </c>
      <c r="Q221" s="32">
        <v>0</v>
      </c>
      <c r="R221" s="13">
        <v>10400</v>
      </c>
    </row>
    <row r="222" spans="1:18" ht="17.5" thickBot="1" x14ac:dyDescent="0.65">
      <c r="A222" s="33" t="s">
        <v>348</v>
      </c>
      <c r="B222" s="29" t="s">
        <v>529</v>
      </c>
      <c r="C222" s="29" t="s">
        <v>530</v>
      </c>
      <c r="D222" s="33" t="s">
        <v>531</v>
      </c>
      <c r="E222" s="31" t="s">
        <v>694</v>
      </c>
      <c r="F222" s="32">
        <v>1350</v>
      </c>
      <c r="G222" s="32">
        <v>1350</v>
      </c>
      <c r="H222" s="32">
        <v>1552.5</v>
      </c>
      <c r="I222" s="32">
        <v>1147.5</v>
      </c>
      <c r="J222" s="32">
        <v>1350</v>
      </c>
      <c r="K222" s="32">
        <v>1350</v>
      </c>
      <c r="L222" s="32">
        <v>1350</v>
      </c>
      <c r="M222" s="32">
        <v>1350</v>
      </c>
      <c r="N222" s="32">
        <v>0</v>
      </c>
      <c r="O222" s="32">
        <v>0</v>
      </c>
      <c r="P222" s="32">
        <v>0</v>
      </c>
      <c r="Q222" s="32">
        <v>0</v>
      </c>
      <c r="R222" s="13">
        <v>10800</v>
      </c>
    </row>
    <row r="223" spans="1:18" ht="17.5" thickBot="1" x14ac:dyDescent="0.65">
      <c r="A223" s="33" t="s">
        <v>348</v>
      </c>
      <c r="B223" s="29" t="s">
        <v>357</v>
      </c>
      <c r="C223" s="29" t="s">
        <v>364</v>
      </c>
      <c r="D223" s="33" t="s">
        <v>365</v>
      </c>
      <c r="E223" s="31" t="s">
        <v>694</v>
      </c>
      <c r="F223" s="32">
        <v>1450</v>
      </c>
      <c r="G223" s="32">
        <v>1450</v>
      </c>
      <c r="H223" s="32">
        <v>1667.5</v>
      </c>
      <c r="I223" s="32">
        <v>1232.5</v>
      </c>
      <c r="J223" s="32">
        <v>1450</v>
      </c>
      <c r="K223" s="32">
        <v>1450</v>
      </c>
      <c r="L223" s="32">
        <v>1450</v>
      </c>
      <c r="M223" s="32">
        <v>1450</v>
      </c>
      <c r="N223" s="32">
        <v>0</v>
      </c>
      <c r="O223" s="32">
        <v>0</v>
      </c>
      <c r="P223" s="32">
        <v>0</v>
      </c>
      <c r="Q223" s="32">
        <v>0</v>
      </c>
      <c r="R223" s="13">
        <v>11600</v>
      </c>
    </row>
    <row r="224" spans="1:18" ht="17.5" thickBot="1" x14ac:dyDescent="0.65">
      <c r="A224" s="33" t="s">
        <v>348</v>
      </c>
      <c r="B224" s="29" t="s">
        <v>357</v>
      </c>
      <c r="C224" s="29" t="s">
        <v>366</v>
      </c>
      <c r="D224" s="33" t="s">
        <v>367</v>
      </c>
      <c r="E224" s="31" t="s">
        <v>694</v>
      </c>
      <c r="F224" s="32">
        <v>1450</v>
      </c>
      <c r="G224" s="32">
        <v>1450</v>
      </c>
      <c r="H224" s="32">
        <v>1667.5</v>
      </c>
      <c r="I224" s="32">
        <v>1232.5</v>
      </c>
      <c r="J224" s="32">
        <v>1450</v>
      </c>
      <c r="K224" s="32">
        <v>1450</v>
      </c>
      <c r="L224" s="32">
        <v>1450</v>
      </c>
      <c r="M224" s="32">
        <v>1450</v>
      </c>
      <c r="N224" s="32">
        <v>0</v>
      </c>
      <c r="O224" s="32">
        <v>0</v>
      </c>
      <c r="P224" s="32">
        <v>0</v>
      </c>
      <c r="Q224" s="32">
        <v>0</v>
      </c>
      <c r="R224" s="13">
        <v>11600</v>
      </c>
    </row>
    <row r="225" spans="1:18" ht="17.5" thickBot="1" x14ac:dyDescent="0.65">
      <c r="A225" s="33" t="s">
        <v>348</v>
      </c>
      <c r="B225" s="29" t="s">
        <v>357</v>
      </c>
      <c r="C225" s="29" t="s">
        <v>370</v>
      </c>
      <c r="D225" s="33" t="s">
        <v>371</v>
      </c>
      <c r="E225" s="31" t="s">
        <v>694</v>
      </c>
      <c r="F225" s="32">
        <v>1450</v>
      </c>
      <c r="G225" s="32">
        <v>1450</v>
      </c>
      <c r="H225" s="32">
        <v>1667.5</v>
      </c>
      <c r="I225" s="32">
        <v>1232.5</v>
      </c>
      <c r="J225" s="32">
        <v>1450</v>
      </c>
      <c r="K225" s="32">
        <v>1450</v>
      </c>
      <c r="L225" s="32">
        <v>1450</v>
      </c>
      <c r="M225" s="32">
        <v>1450</v>
      </c>
      <c r="N225" s="32">
        <v>0</v>
      </c>
      <c r="O225" s="32">
        <v>0</v>
      </c>
      <c r="P225" s="32">
        <v>0</v>
      </c>
      <c r="Q225" s="32">
        <v>0</v>
      </c>
      <c r="R225" s="13">
        <v>11600</v>
      </c>
    </row>
    <row r="226" spans="1:18" ht="17.5" thickBot="1" x14ac:dyDescent="0.65">
      <c r="A226" s="33" t="s">
        <v>348</v>
      </c>
      <c r="B226" s="29" t="s">
        <v>499</v>
      </c>
      <c r="C226" s="29" t="s">
        <v>502</v>
      </c>
      <c r="D226" s="33" t="s">
        <v>503</v>
      </c>
      <c r="E226" s="31" t="s">
        <v>694</v>
      </c>
      <c r="F226" s="32">
        <v>1450</v>
      </c>
      <c r="G226" s="32">
        <v>1450</v>
      </c>
      <c r="H226" s="32">
        <v>1667.5</v>
      </c>
      <c r="I226" s="32">
        <v>1232.5</v>
      </c>
      <c r="J226" s="32">
        <v>1450</v>
      </c>
      <c r="K226" s="32">
        <v>1450</v>
      </c>
      <c r="L226" s="32">
        <v>1450</v>
      </c>
      <c r="M226" s="32">
        <v>1450</v>
      </c>
      <c r="N226" s="32">
        <v>0</v>
      </c>
      <c r="O226" s="32">
        <v>0</v>
      </c>
      <c r="P226" s="32">
        <v>0</v>
      </c>
      <c r="Q226" s="32">
        <v>0</v>
      </c>
      <c r="R226" s="13">
        <v>11600</v>
      </c>
    </row>
    <row r="227" spans="1:18" ht="17.5" thickBot="1" x14ac:dyDescent="0.65">
      <c r="A227" s="33" t="s">
        <v>348</v>
      </c>
      <c r="B227" s="29" t="s">
        <v>375</v>
      </c>
      <c r="C227" s="29" t="s">
        <v>378</v>
      </c>
      <c r="D227" s="33" t="s">
        <v>379</v>
      </c>
      <c r="E227" s="31" t="s">
        <v>694</v>
      </c>
      <c r="F227" s="32">
        <v>1450</v>
      </c>
      <c r="G227" s="32">
        <v>1450</v>
      </c>
      <c r="H227" s="32">
        <v>1667.4999999999998</v>
      </c>
      <c r="I227" s="32">
        <v>1232.5</v>
      </c>
      <c r="J227" s="32">
        <v>1450</v>
      </c>
      <c r="K227" s="32">
        <v>1450</v>
      </c>
      <c r="L227" s="32">
        <v>1450</v>
      </c>
      <c r="M227" s="32">
        <v>1450</v>
      </c>
      <c r="N227" s="32">
        <v>0</v>
      </c>
      <c r="O227" s="32">
        <v>0</v>
      </c>
      <c r="P227" s="32">
        <v>0</v>
      </c>
      <c r="Q227" s="32">
        <v>0</v>
      </c>
      <c r="R227" s="13">
        <v>11600</v>
      </c>
    </row>
    <row r="228" spans="1:18" ht="17.5" thickBot="1" x14ac:dyDescent="0.65">
      <c r="A228" s="33" t="s">
        <v>348</v>
      </c>
      <c r="B228" s="29" t="s">
        <v>566</v>
      </c>
      <c r="C228" s="29" t="s">
        <v>567</v>
      </c>
      <c r="D228" s="33" t="s">
        <v>568</v>
      </c>
      <c r="E228" s="31" t="s">
        <v>694</v>
      </c>
      <c r="F228" s="32">
        <v>1500</v>
      </c>
      <c r="G228" s="32">
        <v>1500</v>
      </c>
      <c r="H228" s="32">
        <v>1725</v>
      </c>
      <c r="I228" s="32">
        <v>1275</v>
      </c>
      <c r="J228" s="32">
        <v>1500</v>
      </c>
      <c r="K228" s="32">
        <v>1500</v>
      </c>
      <c r="L228" s="32">
        <v>1500</v>
      </c>
      <c r="M228" s="32">
        <v>1500</v>
      </c>
      <c r="N228" s="32">
        <v>0</v>
      </c>
      <c r="O228" s="32">
        <v>0</v>
      </c>
      <c r="P228" s="32">
        <v>0</v>
      </c>
      <c r="Q228" s="32">
        <v>0</v>
      </c>
      <c r="R228" s="13">
        <v>12000</v>
      </c>
    </row>
    <row r="229" spans="1:18" ht="17.5" thickBot="1" x14ac:dyDescent="0.65">
      <c r="A229" s="33" t="s">
        <v>348</v>
      </c>
      <c r="B229" s="29" t="s">
        <v>483</v>
      </c>
      <c r="C229" s="29" t="s">
        <v>484</v>
      </c>
      <c r="D229" s="33" t="s">
        <v>485</v>
      </c>
      <c r="E229" s="31" t="s">
        <v>694</v>
      </c>
      <c r="F229" s="32">
        <v>1500</v>
      </c>
      <c r="G229" s="32">
        <v>1500</v>
      </c>
      <c r="H229" s="32">
        <v>1724.9999999999998</v>
      </c>
      <c r="I229" s="32">
        <v>1275</v>
      </c>
      <c r="J229" s="32">
        <v>1500</v>
      </c>
      <c r="K229" s="32">
        <v>1500</v>
      </c>
      <c r="L229" s="32">
        <v>1500</v>
      </c>
      <c r="M229" s="32">
        <v>1500</v>
      </c>
      <c r="N229" s="32">
        <v>0</v>
      </c>
      <c r="O229" s="32">
        <v>0</v>
      </c>
      <c r="P229" s="32">
        <v>0</v>
      </c>
      <c r="Q229" s="32">
        <v>0</v>
      </c>
      <c r="R229" s="13">
        <v>12000</v>
      </c>
    </row>
    <row r="230" spans="1:18" ht="17.5" thickBot="1" x14ac:dyDescent="0.65">
      <c r="A230" s="33" t="s">
        <v>348</v>
      </c>
      <c r="B230" s="29" t="s">
        <v>554</v>
      </c>
      <c r="C230" s="29" t="s">
        <v>555</v>
      </c>
      <c r="D230" s="33" t="s">
        <v>556</v>
      </c>
      <c r="E230" s="31" t="s">
        <v>694</v>
      </c>
      <c r="F230" s="32">
        <v>1500</v>
      </c>
      <c r="G230" s="32">
        <v>1500</v>
      </c>
      <c r="H230" s="32">
        <v>1724.9999999999998</v>
      </c>
      <c r="I230" s="32">
        <v>1275</v>
      </c>
      <c r="J230" s="32">
        <v>1500</v>
      </c>
      <c r="K230" s="32">
        <v>1500</v>
      </c>
      <c r="L230" s="32">
        <v>1500</v>
      </c>
      <c r="M230" s="32">
        <v>1500</v>
      </c>
      <c r="N230" s="32">
        <v>0</v>
      </c>
      <c r="O230" s="32">
        <v>0</v>
      </c>
      <c r="P230" s="32">
        <v>0</v>
      </c>
      <c r="Q230" s="32">
        <v>0</v>
      </c>
      <c r="R230" s="13">
        <v>12000</v>
      </c>
    </row>
    <row r="231" spans="1:18" ht="17.5" thickBot="1" x14ac:dyDescent="0.65">
      <c r="A231" s="33" t="s">
        <v>348</v>
      </c>
      <c r="B231" s="29" t="s">
        <v>461</v>
      </c>
      <c r="C231" s="29" t="s">
        <v>466</v>
      </c>
      <c r="D231" s="33" t="s">
        <v>467</v>
      </c>
      <c r="E231" s="31" t="s">
        <v>694</v>
      </c>
      <c r="F231" s="32">
        <v>1500</v>
      </c>
      <c r="G231" s="32">
        <v>1500</v>
      </c>
      <c r="H231" s="32">
        <v>1724.9999999999998</v>
      </c>
      <c r="I231" s="32">
        <v>1275</v>
      </c>
      <c r="J231" s="32">
        <v>1500</v>
      </c>
      <c r="K231" s="32">
        <v>1500</v>
      </c>
      <c r="L231" s="32">
        <v>1500</v>
      </c>
      <c r="M231" s="32">
        <v>1500</v>
      </c>
      <c r="N231" s="32">
        <v>0</v>
      </c>
      <c r="O231" s="32">
        <v>0</v>
      </c>
      <c r="P231" s="32">
        <v>0</v>
      </c>
      <c r="Q231" s="32">
        <v>0</v>
      </c>
      <c r="R231" s="13">
        <v>12000</v>
      </c>
    </row>
    <row r="232" spans="1:18" ht="17.5" thickBot="1" x14ac:dyDescent="0.65">
      <c r="A232" s="33" t="s">
        <v>348</v>
      </c>
      <c r="B232" s="29" t="s">
        <v>586</v>
      </c>
      <c r="C232" s="29" t="s">
        <v>591</v>
      </c>
      <c r="D232" s="33" t="s">
        <v>760</v>
      </c>
      <c r="E232" s="31" t="s">
        <v>695</v>
      </c>
      <c r="F232" s="32">
        <v>1400</v>
      </c>
      <c r="G232" s="32">
        <v>1400</v>
      </c>
      <c r="H232" s="32">
        <v>1700</v>
      </c>
      <c r="I232" s="32">
        <v>1500</v>
      </c>
      <c r="J232" s="32">
        <v>1500</v>
      </c>
      <c r="K232" s="32">
        <v>1500</v>
      </c>
      <c r="L232" s="32">
        <v>1700</v>
      </c>
      <c r="M232" s="32">
        <v>1700</v>
      </c>
      <c r="N232" s="32">
        <v>0</v>
      </c>
      <c r="O232" s="32">
        <v>0</v>
      </c>
      <c r="P232" s="32">
        <v>0</v>
      </c>
      <c r="Q232" s="32">
        <v>0</v>
      </c>
      <c r="R232" s="13">
        <v>12400</v>
      </c>
    </row>
    <row r="233" spans="1:18" ht="17.5" thickBot="1" x14ac:dyDescent="0.65">
      <c r="A233" s="33" t="s">
        <v>348</v>
      </c>
      <c r="B233" s="29" t="s">
        <v>357</v>
      </c>
      <c r="C233" s="29" t="s">
        <v>372</v>
      </c>
      <c r="D233" s="33" t="s">
        <v>761</v>
      </c>
      <c r="E233" s="31" t="s">
        <v>694</v>
      </c>
      <c r="F233" s="32">
        <v>1600</v>
      </c>
      <c r="G233" s="32">
        <v>1600</v>
      </c>
      <c r="H233" s="32">
        <v>1840</v>
      </c>
      <c r="I233" s="32">
        <v>1360</v>
      </c>
      <c r="J233" s="32">
        <v>1600</v>
      </c>
      <c r="K233" s="32">
        <v>1600</v>
      </c>
      <c r="L233" s="32">
        <v>1600</v>
      </c>
      <c r="M233" s="32">
        <v>1600</v>
      </c>
      <c r="N233" s="32">
        <v>0</v>
      </c>
      <c r="O233" s="32">
        <v>0</v>
      </c>
      <c r="P233" s="32">
        <v>0</v>
      </c>
      <c r="Q233" s="32">
        <v>0</v>
      </c>
      <c r="R233" s="13">
        <v>12800</v>
      </c>
    </row>
    <row r="234" spans="1:18" ht="17.5" thickBot="1" x14ac:dyDescent="0.65">
      <c r="A234" s="33" t="s">
        <v>348</v>
      </c>
      <c r="B234" s="29" t="s">
        <v>491</v>
      </c>
      <c r="C234" s="29" t="s">
        <v>494</v>
      </c>
      <c r="D234" s="33" t="s">
        <v>762</v>
      </c>
      <c r="E234" s="31" t="s">
        <v>695</v>
      </c>
      <c r="F234" s="32">
        <v>1500</v>
      </c>
      <c r="G234" s="32">
        <v>1500</v>
      </c>
      <c r="H234" s="32">
        <v>1700</v>
      </c>
      <c r="I234" s="32">
        <v>1500</v>
      </c>
      <c r="J234" s="32">
        <v>1500</v>
      </c>
      <c r="K234" s="32">
        <v>1500</v>
      </c>
      <c r="L234" s="32">
        <v>1700</v>
      </c>
      <c r="M234" s="32">
        <v>1700</v>
      </c>
      <c r="N234" s="32">
        <v>0</v>
      </c>
      <c r="O234" s="32">
        <v>0</v>
      </c>
      <c r="P234" s="32">
        <v>0</v>
      </c>
      <c r="Q234" s="32">
        <v>0</v>
      </c>
      <c r="R234" s="13">
        <v>12600</v>
      </c>
    </row>
    <row r="235" spans="1:18" ht="17.5" thickBot="1" x14ac:dyDescent="0.65">
      <c r="A235" s="33" t="s">
        <v>348</v>
      </c>
      <c r="B235" s="29" t="s">
        <v>483</v>
      </c>
      <c r="C235" s="29" t="s">
        <v>488</v>
      </c>
      <c r="D235" s="33" t="s">
        <v>489</v>
      </c>
      <c r="E235" s="31" t="s">
        <v>694</v>
      </c>
      <c r="F235" s="32">
        <v>1650</v>
      </c>
      <c r="G235" s="32">
        <v>1650</v>
      </c>
      <c r="H235" s="32">
        <v>1897.4999999999995</v>
      </c>
      <c r="I235" s="32">
        <v>1402.5</v>
      </c>
      <c r="J235" s="32">
        <v>1650</v>
      </c>
      <c r="K235" s="32">
        <v>1650</v>
      </c>
      <c r="L235" s="32">
        <v>1650</v>
      </c>
      <c r="M235" s="32">
        <v>1650</v>
      </c>
      <c r="N235" s="32">
        <v>0</v>
      </c>
      <c r="O235" s="32">
        <v>0</v>
      </c>
      <c r="P235" s="32">
        <v>0</v>
      </c>
      <c r="Q235" s="32">
        <v>0</v>
      </c>
      <c r="R235" s="13">
        <v>13200</v>
      </c>
    </row>
    <row r="236" spans="1:18" ht="17.5" thickBot="1" x14ac:dyDescent="0.65">
      <c r="A236" s="33" t="s">
        <v>348</v>
      </c>
      <c r="B236" s="29" t="s">
        <v>483</v>
      </c>
      <c r="C236" s="29" t="s">
        <v>486</v>
      </c>
      <c r="D236" s="33" t="s">
        <v>487</v>
      </c>
      <c r="E236" s="31" t="s">
        <v>694</v>
      </c>
      <c r="F236" s="32">
        <v>1700</v>
      </c>
      <c r="G236" s="32">
        <v>1700</v>
      </c>
      <c r="H236" s="32">
        <v>1955</v>
      </c>
      <c r="I236" s="32">
        <v>1445</v>
      </c>
      <c r="J236" s="32">
        <v>1700</v>
      </c>
      <c r="K236" s="32">
        <v>1700</v>
      </c>
      <c r="L236" s="32">
        <v>1700</v>
      </c>
      <c r="M236" s="32">
        <v>1700</v>
      </c>
      <c r="N236" s="32">
        <v>0</v>
      </c>
      <c r="O236" s="32">
        <v>0</v>
      </c>
      <c r="P236" s="32">
        <v>0</v>
      </c>
      <c r="Q236" s="32">
        <v>0</v>
      </c>
      <c r="R236" s="13">
        <v>13600</v>
      </c>
    </row>
    <row r="237" spans="1:18" ht="17.5" thickBot="1" x14ac:dyDescent="0.65">
      <c r="A237" s="33" t="s">
        <v>348</v>
      </c>
      <c r="B237" s="29" t="s">
        <v>586</v>
      </c>
      <c r="C237" s="29" t="s">
        <v>589</v>
      </c>
      <c r="D237" s="33" t="s">
        <v>763</v>
      </c>
      <c r="E237" s="31" t="s">
        <v>694</v>
      </c>
      <c r="F237" s="32">
        <v>1700</v>
      </c>
      <c r="G237" s="32">
        <v>1700</v>
      </c>
      <c r="H237" s="32">
        <v>1955</v>
      </c>
      <c r="I237" s="32">
        <v>1445</v>
      </c>
      <c r="J237" s="32">
        <v>1700</v>
      </c>
      <c r="K237" s="32">
        <v>1700</v>
      </c>
      <c r="L237" s="32">
        <v>1700</v>
      </c>
      <c r="M237" s="32">
        <v>1700</v>
      </c>
      <c r="N237" s="32">
        <v>0</v>
      </c>
      <c r="O237" s="32">
        <v>0</v>
      </c>
      <c r="P237" s="32">
        <v>0</v>
      </c>
      <c r="Q237" s="32">
        <v>0</v>
      </c>
      <c r="R237" s="13">
        <v>13600</v>
      </c>
    </row>
    <row r="238" spans="1:18" ht="17.5" thickBot="1" x14ac:dyDescent="0.65">
      <c r="A238" s="33" t="s">
        <v>348</v>
      </c>
      <c r="B238" s="29" t="s">
        <v>425</v>
      </c>
      <c r="C238" s="29" t="s">
        <v>434</v>
      </c>
      <c r="D238" s="33" t="s">
        <v>435</v>
      </c>
      <c r="E238" s="31" t="s">
        <v>695</v>
      </c>
      <c r="F238" s="32">
        <v>1500</v>
      </c>
      <c r="G238" s="32">
        <v>1500</v>
      </c>
      <c r="H238" s="32">
        <v>1700</v>
      </c>
      <c r="I238" s="32">
        <v>1500</v>
      </c>
      <c r="J238" s="32">
        <v>1500</v>
      </c>
      <c r="K238" s="32">
        <v>1500</v>
      </c>
      <c r="L238" s="32">
        <v>2000</v>
      </c>
      <c r="M238" s="32">
        <v>2000</v>
      </c>
      <c r="N238" s="32">
        <v>0</v>
      </c>
      <c r="O238" s="32">
        <v>0</v>
      </c>
      <c r="P238" s="32">
        <v>0</v>
      </c>
      <c r="Q238" s="32">
        <v>0</v>
      </c>
      <c r="R238" s="13">
        <v>13200</v>
      </c>
    </row>
    <row r="239" spans="1:18" ht="17.5" thickBot="1" x14ac:dyDescent="0.65">
      <c r="A239" s="33" t="s">
        <v>348</v>
      </c>
      <c r="B239" s="29" t="s">
        <v>546</v>
      </c>
      <c r="C239" s="29" t="s">
        <v>547</v>
      </c>
      <c r="D239" s="33" t="s">
        <v>764</v>
      </c>
      <c r="E239" s="31" t="s">
        <v>695</v>
      </c>
      <c r="F239" s="32">
        <v>1700</v>
      </c>
      <c r="G239" s="32">
        <v>1700</v>
      </c>
      <c r="H239" s="32">
        <v>1900</v>
      </c>
      <c r="I239" s="32">
        <v>1700</v>
      </c>
      <c r="J239" s="32">
        <v>1900</v>
      </c>
      <c r="K239" s="32">
        <v>1900</v>
      </c>
      <c r="L239" s="32">
        <v>1700</v>
      </c>
      <c r="M239" s="32">
        <v>1700</v>
      </c>
      <c r="N239" s="32">
        <v>0</v>
      </c>
      <c r="O239" s="32">
        <v>0</v>
      </c>
      <c r="P239" s="32">
        <v>0</v>
      </c>
      <c r="Q239" s="32">
        <v>0</v>
      </c>
      <c r="R239" s="13">
        <v>14200</v>
      </c>
    </row>
    <row r="240" spans="1:18" ht="17.5" thickBot="1" x14ac:dyDescent="0.65">
      <c r="A240" s="33" t="s">
        <v>348</v>
      </c>
      <c r="B240" s="29" t="s">
        <v>458</v>
      </c>
      <c r="C240" s="29" t="s">
        <v>459</v>
      </c>
      <c r="D240" s="33" t="s">
        <v>460</v>
      </c>
      <c r="E240" s="31" t="s">
        <v>694</v>
      </c>
      <c r="F240" s="32">
        <v>1900</v>
      </c>
      <c r="G240" s="32">
        <v>1900</v>
      </c>
      <c r="H240" s="32">
        <v>2184.9999999999995</v>
      </c>
      <c r="I240" s="32">
        <v>1615</v>
      </c>
      <c r="J240" s="32">
        <v>1900</v>
      </c>
      <c r="K240" s="32">
        <v>1900</v>
      </c>
      <c r="L240" s="32">
        <v>1900</v>
      </c>
      <c r="M240" s="32">
        <v>1900</v>
      </c>
      <c r="N240" s="32">
        <v>0</v>
      </c>
      <c r="O240" s="32">
        <v>0</v>
      </c>
      <c r="P240" s="32">
        <v>0</v>
      </c>
      <c r="Q240" s="32">
        <v>0</v>
      </c>
      <c r="R240" s="13">
        <v>15200</v>
      </c>
    </row>
    <row r="241" spans="1:18" ht="17.5" thickBot="1" x14ac:dyDescent="0.65">
      <c r="A241" s="33" t="s">
        <v>348</v>
      </c>
      <c r="B241" s="29" t="s">
        <v>592</v>
      </c>
      <c r="C241" s="29" t="s">
        <v>593</v>
      </c>
      <c r="D241" s="33" t="s">
        <v>594</v>
      </c>
      <c r="E241" s="31" t="s">
        <v>694</v>
      </c>
      <c r="F241" s="32">
        <v>2000</v>
      </c>
      <c r="G241" s="32">
        <v>2000</v>
      </c>
      <c r="H241" s="32">
        <v>2300</v>
      </c>
      <c r="I241" s="32">
        <v>1700</v>
      </c>
      <c r="J241" s="32">
        <v>2000</v>
      </c>
      <c r="K241" s="32">
        <v>2000</v>
      </c>
      <c r="L241" s="32">
        <v>2000</v>
      </c>
      <c r="M241" s="32">
        <v>2000</v>
      </c>
      <c r="N241" s="32">
        <v>0</v>
      </c>
      <c r="O241" s="32">
        <v>0</v>
      </c>
      <c r="P241" s="32">
        <v>0</v>
      </c>
      <c r="Q241" s="32">
        <v>0</v>
      </c>
      <c r="R241" s="13">
        <v>16000</v>
      </c>
    </row>
    <row r="242" spans="1:18" ht="17.5" thickBot="1" x14ac:dyDescent="0.65">
      <c r="A242" s="33" t="s">
        <v>348</v>
      </c>
      <c r="B242" s="29" t="s">
        <v>399</v>
      </c>
      <c r="C242" s="29" t="s">
        <v>409</v>
      </c>
      <c r="D242" s="33" t="s">
        <v>765</v>
      </c>
      <c r="E242" s="31" t="s">
        <v>695</v>
      </c>
      <c r="F242" s="32">
        <v>2000</v>
      </c>
      <c r="G242" s="32">
        <v>2000</v>
      </c>
      <c r="H242" s="32">
        <v>2000</v>
      </c>
      <c r="I242" s="32">
        <v>2000</v>
      </c>
      <c r="J242" s="32">
        <v>2000</v>
      </c>
      <c r="K242" s="32">
        <v>2000</v>
      </c>
      <c r="L242" s="32">
        <v>2000</v>
      </c>
      <c r="M242" s="32">
        <v>2000</v>
      </c>
      <c r="N242" s="32">
        <v>0</v>
      </c>
      <c r="O242" s="32">
        <v>0</v>
      </c>
      <c r="P242" s="32">
        <v>0</v>
      </c>
      <c r="Q242" s="32">
        <v>0</v>
      </c>
      <c r="R242" s="13">
        <v>16000</v>
      </c>
    </row>
    <row r="243" spans="1:18" ht="17.5" thickBot="1" x14ac:dyDescent="0.65">
      <c r="A243" s="33" t="s">
        <v>348</v>
      </c>
      <c r="B243" s="29" t="s">
        <v>410</v>
      </c>
      <c r="C243" s="29" t="s">
        <v>411</v>
      </c>
      <c r="D243" s="33" t="s">
        <v>766</v>
      </c>
      <c r="E243" s="31" t="s">
        <v>695</v>
      </c>
      <c r="F243" s="32">
        <v>1700</v>
      </c>
      <c r="G243" s="32">
        <v>1700</v>
      </c>
      <c r="H243" s="32">
        <v>1700</v>
      </c>
      <c r="I243" s="32">
        <v>1700</v>
      </c>
      <c r="J243" s="32">
        <v>1700</v>
      </c>
      <c r="K243" s="32">
        <v>1700</v>
      </c>
      <c r="L243" s="32">
        <v>2300</v>
      </c>
      <c r="M243" s="32">
        <v>2300</v>
      </c>
      <c r="N243" s="32">
        <v>0</v>
      </c>
      <c r="O243" s="32">
        <v>0</v>
      </c>
      <c r="P243" s="32">
        <v>0</v>
      </c>
      <c r="Q243" s="32">
        <v>0</v>
      </c>
      <c r="R243" s="13">
        <v>14800</v>
      </c>
    </row>
    <row r="244" spans="1:18" ht="17.5" thickBot="1" x14ac:dyDescent="0.65">
      <c r="A244" s="33" t="s">
        <v>348</v>
      </c>
      <c r="B244" s="29" t="s">
        <v>586</v>
      </c>
      <c r="C244" s="29" t="s">
        <v>587</v>
      </c>
      <c r="D244" s="33" t="s">
        <v>767</v>
      </c>
      <c r="E244" s="31" t="s">
        <v>695</v>
      </c>
      <c r="F244" s="32">
        <v>2000</v>
      </c>
      <c r="G244" s="32">
        <v>2000</v>
      </c>
      <c r="H244" s="32">
        <v>2000</v>
      </c>
      <c r="I244" s="32">
        <v>2000</v>
      </c>
      <c r="J244" s="32">
        <v>2000</v>
      </c>
      <c r="K244" s="32">
        <v>2000</v>
      </c>
      <c r="L244" s="32">
        <v>2000</v>
      </c>
      <c r="M244" s="32">
        <v>2000</v>
      </c>
      <c r="N244" s="32">
        <v>0</v>
      </c>
      <c r="O244" s="32">
        <v>0</v>
      </c>
      <c r="P244" s="32">
        <v>0</v>
      </c>
      <c r="Q244" s="32">
        <v>0</v>
      </c>
      <c r="R244" s="13">
        <v>16000</v>
      </c>
    </row>
    <row r="245" spans="1:18" ht="17.5" thickBot="1" x14ac:dyDescent="0.65">
      <c r="A245" s="33" t="s">
        <v>348</v>
      </c>
      <c r="B245" s="29" t="s">
        <v>513</v>
      </c>
      <c r="C245" s="29" t="s">
        <v>517</v>
      </c>
      <c r="D245" s="33" t="s">
        <v>768</v>
      </c>
      <c r="E245" s="31" t="s">
        <v>695</v>
      </c>
      <c r="F245" s="32">
        <v>1900</v>
      </c>
      <c r="G245" s="32">
        <v>1900</v>
      </c>
      <c r="H245" s="32">
        <v>2100</v>
      </c>
      <c r="I245" s="32">
        <v>1900</v>
      </c>
      <c r="J245" s="32">
        <v>1900</v>
      </c>
      <c r="K245" s="32">
        <v>1900</v>
      </c>
      <c r="L245" s="32">
        <v>2100</v>
      </c>
      <c r="M245" s="32">
        <v>2100</v>
      </c>
      <c r="N245" s="32">
        <v>0</v>
      </c>
      <c r="O245" s="32">
        <v>0</v>
      </c>
      <c r="P245" s="32">
        <v>0</v>
      </c>
      <c r="Q245" s="32">
        <v>0</v>
      </c>
      <c r="R245" s="13">
        <v>15800</v>
      </c>
    </row>
    <row r="246" spans="1:18" ht="17.5" thickBot="1" x14ac:dyDescent="0.65">
      <c r="A246" s="35" t="s">
        <v>348</v>
      </c>
      <c r="B246" s="36"/>
      <c r="C246" s="36" t="s">
        <v>705</v>
      </c>
      <c r="D246" s="35" t="s">
        <v>769</v>
      </c>
      <c r="E246" s="31" t="s">
        <v>695</v>
      </c>
      <c r="F246" s="32">
        <v>2000</v>
      </c>
      <c r="G246" s="32">
        <v>2200</v>
      </c>
      <c r="H246" s="32">
        <v>2300</v>
      </c>
      <c r="I246" s="32">
        <v>1700</v>
      </c>
      <c r="J246" s="32">
        <v>2100</v>
      </c>
      <c r="K246" s="32">
        <v>2000</v>
      </c>
      <c r="L246" s="32">
        <v>1900</v>
      </c>
      <c r="M246" s="32">
        <v>1800</v>
      </c>
      <c r="N246" s="32">
        <v>0</v>
      </c>
      <c r="O246" s="32">
        <v>0</v>
      </c>
      <c r="P246" s="32">
        <v>0</v>
      </c>
      <c r="Q246" s="32">
        <v>0</v>
      </c>
      <c r="R246" s="13">
        <v>16000</v>
      </c>
    </row>
    <row r="247" spans="1:18" ht="17.5" thickBot="1" x14ac:dyDescent="0.65">
      <c r="A247" s="33" t="s">
        <v>348</v>
      </c>
      <c r="B247" s="29" t="s">
        <v>586</v>
      </c>
      <c r="C247" s="29" t="s">
        <v>588</v>
      </c>
      <c r="D247" s="33" t="s">
        <v>770</v>
      </c>
      <c r="E247" s="31" t="s">
        <v>695</v>
      </c>
      <c r="F247" s="32">
        <v>2000</v>
      </c>
      <c r="G247" s="32">
        <v>2000</v>
      </c>
      <c r="H247" s="32">
        <v>2000</v>
      </c>
      <c r="I247" s="32">
        <v>1900</v>
      </c>
      <c r="J247" s="32">
        <v>2000</v>
      </c>
      <c r="K247" s="32">
        <v>2000</v>
      </c>
      <c r="L247" s="32">
        <v>2200</v>
      </c>
      <c r="M247" s="32">
        <v>2200</v>
      </c>
      <c r="N247" s="32">
        <v>0</v>
      </c>
      <c r="O247" s="32">
        <v>0</v>
      </c>
      <c r="P247" s="32">
        <v>0</v>
      </c>
      <c r="Q247" s="32">
        <v>0</v>
      </c>
      <c r="R247" s="13">
        <v>16300</v>
      </c>
    </row>
    <row r="248" spans="1:18" ht="17.5" thickBot="1" x14ac:dyDescent="0.65">
      <c r="A248" s="33" t="s">
        <v>348</v>
      </c>
      <c r="B248" s="29" t="s">
        <v>357</v>
      </c>
      <c r="C248" s="29" t="s">
        <v>358</v>
      </c>
      <c r="D248" s="33" t="s">
        <v>359</v>
      </c>
      <c r="E248" s="31" t="s">
        <v>694</v>
      </c>
      <c r="F248" s="32">
        <v>2300</v>
      </c>
      <c r="G248" s="32">
        <v>2300</v>
      </c>
      <c r="H248" s="32">
        <v>2645</v>
      </c>
      <c r="I248" s="32">
        <v>1955</v>
      </c>
      <c r="J248" s="32">
        <v>2300</v>
      </c>
      <c r="K248" s="32">
        <v>2300</v>
      </c>
      <c r="L248" s="32">
        <v>2300</v>
      </c>
      <c r="M248" s="32">
        <v>2300</v>
      </c>
      <c r="N248" s="32">
        <v>0</v>
      </c>
      <c r="O248" s="32">
        <v>0</v>
      </c>
      <c r="P248" s="32">
        <v>0</v>
      </c>
      <c r="Q248" s="32">
        <v>0</v>
      </c>
      <c r="R248" s="13">
        <v>18400</v>
      </c>
    </row>
    <row r="249" spans="1:18" ht="17.5" thickBot="1" x14ac:dyDescent="0.65">
      <c r="A249" s="33" t="s">
        <v>348</v>
      </c>
      <c r="B249" s="29" t="s">
        <v>557</v>
      </c>
      <c r="C249" s="29" t="s">
        <v>558</v>
      </c>
      <c r="D249" s="33" t="s">
        <v>559</v>
      </c>
      <c r="E249" s="31" t="s">
        <v>694</v>
      </c>
      <c r="F249" s="32">
        <v>2500</v>
      </c>
      <c r="G249" s="32">
        <v>2500</v>
      </c>
      <c r="H249" s="32">
        <v>2875</v>
      </c>
      <c r="I249" s="32">
        <v>2125</v>
      </c>
      <c r="J249" s="32">
        <v>2500</v>
      </c>
      <c r="K249" s="32">
        <v>2500</v>
      </c>
      <c r="L249" s="32">
        <v>2500</v>
      </c>
      <c r="M249" s="32">
        <v>2500</v>
      </c>
      <c r="N249" s="32">
        <v>0</v>
      </c>
      <c r="O249" s="32">
        <v>0</v>
      </c>
      <c r="P249" s="32">
        <v>0</v>
      </c>
      <c r="Q249" s="32">
        <v>0</v>
      </c>
      <c r="R249" s="13">
        <v>20000</v>
      </c>
    </row>
    <row r="250" spans="1:18" ht="17.5" thickBot="1" x14ac:dyDescent="0.65">
      <c r="A250" s="33" t="s">
        <v>348</v>
      </c>
      <c r="B250" s="29" t="s">
        <v>518</v>
      </c>
      <c r="C250" s="29" t="s">
        <v>519</v>
      </c>
      <c r="D250" s="33" t="s">
        <v>520</v>
      </c>
      <c r="E250" s="31" t="s">
        <v>694</v>
      </c>
      <c r="F250" s="32">
        <v>2500</v>
      </c>
      <c r="G250" s="32">
        <v>2500</v>
      </c>
      <c r="H250" s="32">
        <v>2874.9999999999995</v>
      </c>
      <c r="I250" s="32">
        <v>2125</v>
      </c>
      <c r="J250" s="32">
        <v>2500</v>
      </c>
      <c r="K250" s="32">
        <v>2500</v>
      </c>
      <c r="L250" s="32">
        <v>2500</v>
      </c>
      <c r="M250" s="32">
        <v>2500</v>
      </c>
      <c r="N250" s="32">
        <v>0</v>
      </c>
      <c r="O250" s="32">
        <v>0</v>
      </c>
      <c r="P250" s="32">
        <v>0</v>
      </c>
      <c r="Q250" s="32">
        <v>0</v>
      </c>
      <c r="R250" s="13">
        <v>20000</v>
      </c>
    </row>
    <row r="251" spans="1:18" ht="17.5" thickBot="1" x14ac:dyDescent="0.65">
      <c r="A251" s="33" t="s">
        <v>348</v>
      </c>
      <c r="B251" s="29" t="s">
        <v>425</v>
      </c>
      <c r="C251" s="29" t="s">
        <v>426</v>
      </c>
      <c r="D251" s="33" t="s">
        <v>427</v>
      </c>
      <c r="E251" s="31" t="s">
        <v>695</v>
      </c>
      <c r="F251" s="32">
        <v>1600</v>
      </c>
      <c r="G251" s="32">
        <v>1800</v>
      </c>
      <c r="H251" s="32">
        <v>1800</v>
      </c>
      <c r="I251" s="32">
        <v>1500</v>
      </c>
      <c r="J251" s="32">
        <v>1800</v>
      </c>
      <c r="K251" s="32">
        <v>1800</v>
      </c>
      <c r="L251" s="32">
        <v>3500</v>
      </c>
      <c r="M251" s="32">
        <v>3500</v>
      </c>
      <c r="N251" s="32">
        <v>0</v>
      </c>
      <c r="O251" s="32">
        <v>0</v>
      </c>
      <c r="P251" s="32">
        <v>0</v>
      </c>
      <c r="Q251" s="32">
        <v>0</v>
      </c>
      <c r="R251" s="13">
        <v>17300</v>
      </c>
    </row>
    <row r="252" spans="1:18" ht="17.5" thickBot="1" x14ac:dyDescent="0.65">
      <c r="A252" s="33" t="s">
        <v>348</v>
      </c>
      <c r="B252" s="29" t="s">
        <v>447</v>
      </c>
      <c r="C252" s="29" t="s">
        <v>448</v>
      </c>
      <c r="D252" s="33" t="s">
        <v>449</v>
      </c>
      <c r="E252" s="31" t="s">
        <v>694</v>
      </c>
      <c r="F252" s="32">
        <v>2700</v>
      </c>
      <c r="G252" s="32">
        <v>2700</v>
      </c>
      <c r="H252" s="32">
        <v>3105</v>
      </c>
      <c r="I252" s="32">
        <v>2295</v>
      </c>
      <c r="J252" s="32">
        <v>2700</v>
      </c>
      <c r="K252" s="32">
        <v>2700</v>
      </c>
      <c r="L252" s="32">
        <v>2700</v>
      </c>
      <c r="M252" s="32">
        <v>2700</v>
      </c>
      <c r="N252" s="32">
        <v>0</v>
      </c>
      <c r="O252" s="32">
        <v>0</v>
      </c>
      <c r="P252" s="32">
        <v>0</v>
      </c>
      <c r="Q252" s="32">
        <v>0</v>
      </c>
      <c r="R252" s="13">
        <v>21600</v>
      </c>
    </row>
    <row r="253" spans="1:18" ht="17.5" thickBot="1" x14ac:dyDescent="0.65">
      <c r="A253" s="33" t="s">
        <v>348</v>
      </c>
      <c r="B253" s="29" t="s">
        <v>425</v>
      </c>
      <c r="C253" s="29" t="s">
        <v>430</v>
      </c>
      <c r="D253" s="33" t="s">
        <v>431</v>
      </c>
      <c r="E253" s="31" t="s">
        <v>695</v>
      </c>
      <c r="F253" s="32">
        <v>2600</v>
      </c>
      <c r="G253" s="32">
        <v>2600</v>
      </c>
      <c r="H253" s="32">
        <v>2900</v>
      </c>
      <c r="I253" s="32">
        <v>2600</v>
      </c>
      <c r="J253" s="32">
        <v>2600</v>
      </c>
      <c r="K253" s="32">
        <v>2600</v>
      </c>
      <c r="L253" s="32">
        <v>2800</v>
      </c>
      <c r="M253" s="32">
        <v>2800</v>
      </c>
      <c r="N253" s="32">
        <v>0</v>
      </c>
      <c r="O253" s="32">
        <v>0</v>
      </c>
      <c r="P253" s="32">
        <v>0</v>
      </c>
      <c r="Q253" s="32">
        <v>0</v>
      </c>
      <c r="R253" s="13">
        <v>21500</v>
      </c>
    </row>
    <row r="254" spans="1:18" ht="17.5" thickBot="1" x14ac:dyDescent="0.65">
      <c r="A254" s="33" t="s">
        <v>348</v>
      </c>
      <c r="B254" s="29" t="s">
        <v>425</v>
      </c>
      <c r="C254" s="29" t="s">
        <v>437</v>
      </c>
      <c r="D254" s="33" t="s">
        <v>771</v>
      </c>
      <c r="E254" s="31" t="s">
        <v>695</v>
      </c>
      <c r="F254" s="32">
        <v>2800</v>
      </c>
      <c r="G254" s="32">
        <v>3000</v>
      </c>
      <c r="H254" s="32">
        <v>3000</v>
      </c>
      <c r="I254" s="32">
        <v>2700</v>
      </c>
      <c r="J254" s="32">
        <v>3000</v>
      </c>
      <c r="K254" s="32">
        <v>3000</v>
      </c>
      <c r="L254" s="32">
        <v>3700</v>
      </c>
      <c r="M254" s="32">
        <v>3700</v>
      </c>
      <c r="N254" s="32">
        <v>0</v>
      </c>
      <c r="O254" s="32">
        <v>0</v>
      </c>
      <c r="P254" s="32">
        <v>0</v>
      </c>
      <c r="Q254" s="32">
        <v>0</v>
      </c>
      <c r="R254" s="13">
        <v>24900</v>
      </c>
    </row>
    <row r="255" spans="1:18" ht="17.5" thickBot="1" x14ac:dyDescent="0.65">
      <c r="A255" s="33" t="s">
        <v>348</v>
      </c>
      <c r="B255" s="29" t="s">
        <v>425</v>
      </c>
      <c r="C255" s="29" t="s">
        <v>428</v>
      </c>
      <c r="D255" s="33" t="s">
        <v>429</v>
      </c>
      <c r="E255" s="31" t="s">
        <v>695</v>
      </c>
      <c r="F255" s="32">
        <v>3800</v>
      </c>
      <c r="G255" s="32">
        <v>3800</v>
      </c>
      <c r="H255" s="32">
        <v>3800</v>
      </c>
      <c r="I255" s="32">
        <v>3600</v>
      </c>
      <c r="J255" s="32">
        <v>3700</v>
      </c>
      <c r="K255" s="32">
        <v>3700</v>
      </c>
      <c r="L255" s="32">
        <v>4400</v>
      </c>
      <c r="M255" s="32">
        <v>4400</v>
      </c>
      <c r="N255" s="32">
        <v>0</v>
      </c>
      <c r="O255" s="32">
        <v>0</v>
      </c>
      <c r="P255" s="32">
        <v>0</v>
      </c>
      <c r="Q255" s="32">
        <v>0</v>
      </c>
      <c r="R255" s="13">
        <v>31200</v>
      </c>
    </row>
    <row r="256" spans="1:18" ht="17.5" thickBot="1" x14ac:dyDescent="0.65">
      <c r="A256" s="35" t="s">
        <v>348</v>
      </c>
      <c r="B256" s="36"/>
      <c r="C256" s="36" t="s">
        <v>706</v>
      </c>
      <c r="D256" s="35" t="s">
        <v>772</v>
      </c>
      <c r="E256" s="31" t="s">
        <v>695</v>
      </c>
      <c r="F256" s="32">
        <v>300</v>
      </c>
      <c r="G256" s="32">
        <v>300</v>
      </c>
      <c r="H256" s="32">
        <v>400</v>
      </c>
      <c r="I256" s="32">
        <v>300</v>
      </c>
      <c r="J256" s="32">
        <v>300</v>
      </c>
      <c r="K256" s="32">
        <v>300</v>
      </c>
      <c r="L256" s="32">
        <v>300</v>
      </c>
      <c r="M256" s="32">
        <v>300</v>
      </c>
      <c r="N256" s="32">
        <v>0</v>
      </c>
      <c r="O256" s="32">
        <v>0</v>
      </c>
      <c r="P256" s="32">
        <v>0</v>
      </c>
      <c r="Q256" s="32">
        <v>0</v>
      </c>
      <c r="R256" s="13">
        <v>2500</v>
      </c>
    </row>
    <row r="257" spans="1:18" ht="17.5" thickBot="1" x14ac:dyDescent="0.65">
      <c r="A257" s="33" t="s">
        <v>599</v>
      </c>
      <c r="B257" s="29" t="s">
        <v>619</v>
      </c>
      <c r="C257" s="29" t="s">
        <v>626</v>
      </c>
      <c r="D257" s="33" t="s">
        <v>627</v>
      </c>
      <c r="E257" s="31" t="s">
        <v>694</v>
      </c>
      <c r="F257" s="32">
        <v>100</v>
      </c>
      <c r="G257" s="32">
        <v>100</v>
      </c>
      <c r="H257" s="32">
        <v>100</v>
      </c>
      <c r="I257" s="32">
        <v>100</v>
      </c>
      <c r="J257" s="32">
        <v>100</v>
      </c>
      <c r="K257" s="32">
        <v>100</v>
      </c>
      <c r="L257" s="32">
        <v>100</v>
      </c>
      <c r="M257" s="32">
        <v>150</v>
      </c>
      <c r="N257" s="32">
        <v>0</v>
      </c>
      <c r="O257" s="32">
        <v>0</v>
      </c>
      <c r="P257" s="32">
        <v>0</v>
      </c>
      <c r="Q257" s="32">
        <v>0</v>
      </c>
      <c r="R257" s="13">
        <v>850</v>
      </c>
    </row>
    <row r="258" spans="1:18" ht="17.5" thickBot="1" x14ac:dyDescent="0.65">
      <c r="A258" s="33" t="s">
        <v>599</v>
      </c>
      <c r="B258" s="29" t="s">
        <v>675</v>
      </c>
      <c r="C258" s="29" t="s">
        <v>676</v>
      </c>
      <c r="D258" s="33" t="s">
        <v>773</v>
      </c>
      <c r="E258" s="31" t="s">
        <v>695</v>
      </c>
      <c r="F258" s="32">
        <v>550</v>
      </c>
      <c r="G258" s="32">
        <v>650</v>
      </c>
      <c r="H258" s="32">
        <v>650</v>
      </c>
      <c r="I258" s="32">
        <v>550</v>
      </c>
      <c r="J258" s="32">
        <v>650</v>
      </c>
      <c r="K258" s="32">
        <v>700</v>
      </c>
      <c r="L258" s="32">
        <v>650</v>
      </c>
      <c r="M258" s="32">
        <v>700</v>
      </c>
      <c r="N258" s="32">
        <v>0</v>
      </c>
      <c r="O258" s="32">
        <v>0</v>
      </c>
      <c r="P258" s="32">
        <v>0</v>
      </c>
      <c r="Q258" s="32">
        <v>0</v>
      </c>
      <c r="R258" s="13">
        <v>5100</v>
      </c>
    </row>
    <row r="259" spans="1:18" ht="17.5" thickBot="1" x14ac:dyDescent="0.65">
      <c r="A259" s="33" t="s">
        <v>599</v>
      </c>
      <c r="B259" s="29" t="s">
        <v>630</v>
      </c>
      <c r="C259" s="29" t="s">
        <v>633</v>
      </c>
      <c r="D259" s="33" t="s">
        <v>634</v>
      </c>
      <c r="E259" s="31" t="s">
        <v>694</v>
      </c>
      <c r="F259" s="32">
        <v>300</v>
      </c>
      <c r="G259" s="32">
        <v>300</v>
      </c>
      <c r="H259" s="32">
        <v>300</v>
      </c>
      <c r="I259" s="32">
        <v>300</v>
      </c>
      <c r="J259" s="32">
        <v>300</v>
      </c>
      <c r="K259" s="32">
        <v>300</v>
      </c>
      <c r="L259" s="32">
        <v>300</v>
      </c>
      <c r="M259" s="32">
        <v>300</v>
      </c>
      <c r="N259" s="32">
        <v>0</v>
      </c>
      <c r="O259" s="32">
        <v>0</v>
      </c>
      <c r="P259" s="32">
        <v>0</v>
      </c>
      <c r="Q259" s="32">
        <v>0</v>
      </c>
      <c r="R259" s="13">
        <v>2400</v>
      </c>
    </row>
    <row r="260" spans="1:18" ht="17.5" thickBot="1" x14ac:dyDescent="0.65">
      <c r="A260" s="33" t="s">
        <v>599</v>
      </c>
      <c r="B260" s="29" t="s">
        <v>688</v>
      </c>
      <c r="C260" s="29" t="s">
        <v>691</v>
      </c>
      <c r="D260" s="33" t="s">
        <v>692</v>
      </c>
      <c r="E260" s="31" t="s">
        <v>694</v>
      </c>
      <c r="F260" s="32">
        <v>0</v>
      </c>
      <c r="G260" s="32">
        <v>0</v>
      </c>
      <c r="H260" s="32">
        <v>0</v>
      </c>
      <c r="I260" s="32">
        <v>0</v>
      </c>
      <c r="J260" s="32">
        <v>0</v>
      </c>
      <c r="K260" s="32">
        <v>500</v>
      </c>
      <c r="L260" s="32">
        <v>600</v>
      </c>
      <c r="M260" s="32">
        <v>550</v>
      </c>
      <c r="N260" s="32">
        <v>0</v>
      </c>
      <c r="O260" s="32">
        <v>0</v>
      </c>
      <c r="P260" s="32">
        <v>0</v>
      </c>
      <c r="Q260" s="32">
        <v>0</v>
      </c>
      <c r="R260" s="13">
        <v>1650</v>
      </c>
    </row>
    <row r="261" spans="1:18" ht="17.5" thickBot="1" x14ac:dyDescent="0.65">
      <c r="A261" s="33" t="s">
        <v>599</v>
      </c>
      <c r="B261" s="29" t="s">
        <v>630</v>
      </c>
      <c r="C261" s="29" t="s">
        <v>631</v>
      </c>
      <c r="D261" s="33" t="s">
        <v>632</v>
      </c>
      <c r="E261" s="31" t="s">
        <v>694</v>
      </c>
      <c r="F261" s="32">
        <v>500</v>
      </c>
      <c r="G261" s="32">
        <v>500</v>
      </c>
      <c r="H261" s="32">
        <v>500</v>
      </c>
      <c r="I261" s="32">
        <v>400</v>
      </c>
      <c r="J261" s="32">
        <v>600</v>
      </c>
      <c r="K261" s="32">
        <v>600</v>
      </c>
      <c r="L261" s="32">
        <v>400</v>
      </c>
      <c r="M261" s="32">
        <v>500</v>
      </c>
      <c r="N261" s="32">
        <v>0</v>
      </c>
      <c r="O261" s="32">
        <v>0</v>
      </c>
      <c r="P261" s="32">
        <v>0</v>
      </c>
      <c r="Q261" s="32">
        <v>0</v>
      </c>
      <c r="R261" s="13">
        <v>4000</v>
      </c>
    </row>
    <row r="262" spans="1:18" ht="17.5" thickBot="1" x14ac:dyDescent="0.65">
      <c r="A262" s="33" t="s">
        <v>599</v>
      </c>
      <c r="B262" s="29" t="s">
        <v>635</v>
      </c>
      <c r="C262" s="29" t="s">
        <v>636</v>
      </c>
      <c r="D262" s="33" t="s">
        <v>637</v>
      </c>
      <c r="E262" s="31" t="s">
        <v>694</v>
      </c>
      <c r="F262" s="32">
        <v>500</v>
      </c>
      <c r="G262" s="32">
        <v>500</v>
      </c>
      <c r="H262" s="32">
        <v>600</v>
      </c>
      <c r="I262" s="32">
        <v>400</v>
      </c>
      <c r="J262" s="32">
        <v>500</v>
      </c>
      <c r="K262" s="32">
        <v>500</v>
      </c>
      <c r="L262" s="32">
        <v>500</v>
      </c>
      <c r="M262" s="32">
        <v>600</v>
      </c>
      <c r="N262" s="32">
        <v>0</v>
      </c>
      <c r="O262" s="32">
        <v>0</v>
      </c>
      <c r="P262" s="32">
        <v>0</v>
      </c>
      <c r="Q262" s="32">
        <v>0</v>
      </c>
      <c r="R262" s="13">
        <v>4100</v>
      </c>
    </row>
    <row r="263" spans="1:18" ht="17.5" thickBot="1" x14ac:dyDescent="0.65">
      <c r="A263" s="33" t="s">
        <v>599</v>
      </c>
      <c r="B263" s="29" t="s">
        <v>635</v>
      </c>
      <c r="C263" s="29" t="s">
        <v>642</v>
      </c>
      <c r="D263" s="33" t="s">
        <v>643</v>
      </c>
      <c r="E263" s="31" t="s">
        <v>694</v>
      </c>
      <c r="F263" s="32">
        <v>500</v>
      </c>
      <c r="G263" s="32">
        <v>500</v>
      </c>
      <c r="H263" s="32">
        <v>500</v>
      </c>
      <c r="I263" s="32">
        <v>500</v>
      </c>
      <c r="J263" s="32">
        <v>500</v>
      </c>
      <c r="K263" s="32">
        <v>500</v>
      </c>
      <c r="L263" s="32">
        <v>500</v>
      </c>
      <c r="M263" s="32">
        <v>500</v>
      </c>
      <c r="N263" s="32">
        <v>0</v>
      </c>
      <c r="O263" s="32">
        <v>0</v>
      </c>
      <c r="P263" s="32">
        <v>0</v>
      </c>
      <c r="Q263" s="32">
        <v>0</v>
      </c>
      <c r="R263" s="13">
        <v>4000</v>
      </c>
    </row>
    <row r="264" spans="1:18" ht="17.5" thickBot="1" x14ac:dyDescent="0.65">
      <c r="A264" s="33" t="s">
        <v>599</v>
      </c>
      <c r="B264" s="29" t="s">
        <v>635</v>
      </c>
      <c r="C264" s="29" t="s">
        <v>646</v>
      </c>
      <c r="D264" s="33" t="s">
        <v>647</v>
      </c>
      <c r="E264" s="31" t="s">
        <v>694</v>
      </c>
      <c r="F264" s="32">
        <v>500</v>
      </c>
      <c r="G264" s="32">
        <v>500</v>
      </c>
      <c r="H264" s="32">
        <v>500</v>
      </c>
      <c r="I264" s="32">
        <v>500</v>
      </c>
      <c r="J264" s="32">
        <v>500</v>
      </c>
      <c r="K264" s="32">
        <v>500</v>
      </c>
      <c r="L264" s="32">
        <v>500</v>
      </c>
      <c r="M264" s="32">
        <v>500</v>
      </c>
      <c r="N264" s="32">
        <v>0</v>
      </c>
      <c r="O264" s="32">
        <v>0</v>
      </c>
      <c r="P264" s="32">
        <v>0</v>
      </c>
      <c r="Q264" s="32">
        <v>0</v>
      </c>
      <c r="R264" s="13">
        <v>4000</v>
      </c>
    </row>
    <row r="265" spans="1:18" ht="17.5" thickBot="1" x14ac:dyDescent="0.65">
      <c r="A265" s="33" t="s">
        <v>599</v>
      </c>
      <c r="B265" s="29" t="s">
        <v>635</v>
      </c>
      <c r="C265" s="29" t="s">
        <v>648</v>
      </c>
      <c r="D265" s="33" t="s">
        <v>649</v>
      </c>
      <c r="E265" s="31" t="s">
        <v>694</v>
      </c>
      <c r="F265" s="32">
        <v>500</v>
      </c>
      <c r="G265" s="32">
        <v>500</v>
      </c>
      <c r="H265" s="32">
        <v>500</v>
      </c>
      <c r="I265" s="32">
        <v>500</v>
      </c>
      <c r="J265" s="32">
        <v>500</v>
      </c>
      <c r="K265" s="32">
        <v>500</v>
      </c>
      <c r="L265" s="32">
        <v>500</v>
      </c>
      <c r="M265" s="32">
        <v>500</v>
      </c>
      <c r="N265" s="32">
        <v>0</v>
      </c>
      <c r="O265" s="32">
        <v>0</v>
      </c>
      <c r="P265" s="32">
        <v>0</v>
      </c>
      <c r="Q265" s="32">
        <v>0</v>
      </c>
      <c r="R265" s="13">
        <v>4000</v>
      </c>
    </row>
    <row r="266" spans="1:18" ht="17.5" thickBot="1" x14ac:dyDescent="0.65">
      <c r="A266" s="33" t="s">
        <v>599</v>
      </c>
      <c r="B266" s="29" t="s">
        <v>662</v>
      </c>
      <c r="C266" s="29" t="s">
        <v>665</v>
      </c>
      <c r="D266" s="33" t="s">
        <v>666</v>
      </c>
      <c r="E266" s="31" t="s">
        <v>694</v>
      </c>
      <c r="F266" s="32">
        <v>350</v>
      </c>
      <c r="G266" s="32">
        <v>450</v>
      </c>
      <c r="H266" s="32">
        <v>550</v>
      </c>
      <c r="I266" s="32">
        <v>400</v>
      </c>
      <c r="J266" s="32">
        <v>500</v>
      </c>
      <c r="K266" s="32">
        <v>550</v>
      </c>
      <c r="L266" s="32">
        <v>600</v>
      </c>
      <c r="M266" s="32">
        <v>600</v>
      </c>
      <c r="N266" s="32">
        <v>0</v>
      </c>
      <c r="O266" s="32">
        <v>0</v>
      </c>
      <c r="P266" s="32">
        <v>0</v>
      </c>
      <c r="Q266" s="32">
        <v>0</v>
      </c>
      <c r="R266" s="13">
        <v>4000</v>
      </c>
    </row>
    <row r="267" spans="1:18" ht="17.5" thickBot="1" x14ac:dyDescent="0.65">
      <c r="A267" s="33" t="s">
        <v>599</v>
      </c>
      <c r="B267" s="29" t="s">
        <v>605</v>
      </c>
      <c r="C267" s="29" t="s">
        <v>707</v>
      </c>
      <c r="D267" s="33" t="s">
        <v>774</v>
      </c>
      <c r="E267" s="31" t="s">
        <v>695</v>
      </c>
      <c r="F267" s="32">
        <v>500</v>
      </c>
      <c r="G267" s="32">
        <v>500</v>
      </c>
      <c r="H267" s="32">
        <v>500</v>
      </c>
      <c r="I267" s="32">
        <v>500</v>
      </c>
      <c r="J267" s="32">
        <v>500</v>
      </c>
      <c r="K267" s="32">
        <v>500</v>
      </c>
      <c r="L267" s="32">
        <v>500</v>
      </c>
      <c r="M267" s="32">
        <v>500</v>
      </c>
      <c r="N267" s="32">
        <v>0</v>
      </c>
      <c r="O267" s="32">
        <v>0</v>
      </c>
      <c r="P267" s="32">
        <v>0</v>
      </c>
      <c r="Q267" s="32">
        <v>0</v>
      </c>
      <c r="R267" s="13">
        <v>4000</v>
      </c>
    </row>
    <row r="268" spans="1:18" ht="17.5" thickBot="1" x14ac:dyDescent="0.65">
      <c r="A268" s="33" t="s">
        <v>599</v>
      </c>
      <c r="B268" s="29" t="s">
        <v>672</v>
      </c>
      <c r="C268" s="29" t="s">
        <v>673</v>
      </c>
      <c r="D268" s="33" t="s">
        <v>674</v>
      </c>
      <c r="E268" s="31" t="s">
        <v>694</v>
      </c>
      <c r="F268" s="32">
        <v>400</v>
      </c>
      <c r="G268" s="32">
        <v>500</v>
      </c>
      <c r="H268" s="32">
        <v>500</v>
      </c>
      <c r="I268" s="32">
        <v>400</v>
      </c>
      <c r="J268" s="32">
        <v>600</v>
      </c>
      <c r="K268" s="32">
        <v>500</v>
      </c>
      <c r="L268" s="32">
        <v>600</v>
      </c>
      <c r="M268" s="32">
        <v>600</v>
      </c>
      <c r="N268" s="32">
        <v>0</v>
      </c>
      <c r="O268" s="32">
        <v>0</v>
      </c>
      <c r="P268" s="32">
        <v>0</v>
      </c>
      <c r="Q268" s="32">
        <v>0</v>
      </c>
      <c r="R268" s="13">
        <v>4100</v>
      </c>
    </row>
    <row r="269" spans="1:18" ht="17.5" thickBot="1" x14ac:dyDescent="0.65">
      <c r="A269" s="33" t="s">
        <v>599</v>
      </c>
      <c r="B269" s="29" t="s">
        <v>600</v>
      </c>
      <c r="C269" s="29" t="s">
        <v>601</v>
      </c>
      <c r="D269" s="33" t="s">
        <v>602</v>
      </c>
      <c r="E269" s="31" t="s">
        <v>694</v>
      </c>
      <c r="F269" s="32">
        <v>650</v>
      </c>
      <c r="G269" s="32">
        <v>600</v>
      </c>
      <c r="H269" s="32">
        <v>700</v>
      </c>
      <c r="I269" s="32">
        <v>550</v>
      </c>
      <c r="J269" s="32">
        <v>700</v>
      </c>
      <c r="K269" s="32">
        <v>750</v>
      </c>
      <c r="L269" s="32">
        <v>700</v>
      </c>
      <c r="M269" s="32">
        <v>650</v>
      </c>
      <c r="N269" s="32">
        <v>0</v>
      </c>
      <c r="O269" s="32">
        <v>0</v>
      </c>
      <c r="P269" s="32">
        <v>0</v>
      </c>
      <c r="Q269" s="32">
        <v>0</v>
      </c>
      <c r="R269" s="13">
        <v>5300</v>
      </c>
    </row>
    <row r="270" spans="1:18" ht="17.5" thickBot="1" x14ac:dyDescent="0.65">
      <c r="A270" s="33" t="s">
        <v>599</v>
      </c>
      <c r="B270" s="29" t="s">
        <v>605</v>
      </c>
      <c r="C270" s="29" t="s">
        <v>606</v>
      </c>
      <c r="D270" s="33" t="s">
        <v>607</v>
      </c>
      <c r="E270" s="31" t="s">
        <v>694</v>
      </c>
      <c r="F270" s="32">
        <v>550</v>
      </c>
      <c r="G270" s="32">
        <v>600</v>
      </c>
      <c r="H270" s="32">
        <v>650</v>
      </c>
      <c r="I270" s="32">
        <v>550</v>
      </c>
      <c r="J270" s="32">
        <v>700</v>
      </c>
      <c r="K270" s="32">
        <v>700</v>
      </c>
      <c r="L270" s="32">
        <v>750</v>
      </c>
      <c r="M270" s="32">
        <v>750</v>
      </c>
      <c r="N270" s="32">
        <v>0</v>
      </c>
      <c r="O270" s="32">
        <v>0</v>
      </c>
      <c r="P270" s="32">
        <v>0</v>
      </c>
      <c r="Q270" s="32">
        <v>0</v>
      </c>
      <c r="R270" s="13">
        <v>5250</v>
      </c>
    </row>
    <row r="271" spans="1:18" ht="17.5" thickBot="1" x14ac:dyDescent="0.65">
      <c r="A271" s="33" t="s">
        <v>599</v>
      </c>
      <c r="B271" s="29" t="s">
        <v>667</v>
      </c>
      <c r="C271" s="29" t="s">
        <v>668</v>
      </c>
      <c r="D271" s="33" t="s">
        <v>669</v>
      </c>
      <c r="E271" s="31" t="s">
        <v>694</v>
      </c>
      <c r="F271" s="32">
        <v>400</v>
      </c>
      <c r="G271" s="32">
        <v>600</v>
      </c>
      <c r="H271" s="32">
        <v>850</v>
      </c>
      <c r="I271" s="32">
        <v>500</v>
      </c>
      <c r="J271" s="32">
        <v>950</v>
      </c>
      <c r="K271" s="32">
        <v>950</v>
      </c>
      <c r="L271" s="32">
        <v>900</v>
      </c>
      <c r="M271" s="32">
        <v>850</v>
      </c>
      <c r="N271" s="32">
        <v>0</v>
      </c>
      <c r="O271" s="32">
        <v>0</v>
      </c>
      <c r="P271" s="32">
        <v>0</v>
      </c>
      <c r="Q271" s="32">
        <v>0</v>
      </c>
      <c r="R271" s="13">
        <v>6000</v>
      </c>
    </row>
    <row r="272" spans="1:18" ht="17.5" thickBot="1" x14ac:dyDescent="0.65">
      <c r="A272" s="33" t="s">
        <v>599</v>
      </c>
      <c r="B272" s="29" t="s">
        <v>635</v>
      </c>
      <c r="C272" s="29" t="s">
        <v>638</v>
      </c>
      <c r="D272" s="33" t="s">
        <v>639</v>
      </c>
      <c r="E272" s="31" t="s">
        <v>694</v>
      </c>
      <c r="F272" s="32">
        <v>800</v>
      </c>
      <c r="G272" s="32">
        <v>800</v>
      </c>
      <c r="H272" s="32">
        <v>800</v>
      </c>
      <c r="I272" s="32">
        <v>700</v>
      </c>
      <c r="J272" s="32">
        <v>900</v>
      </c>
      <c r="K272" s="32">
        <v>800</v>
      </c>
      <c r="L272" s="32">
        <v>800</v>
      </c>
      <c r="M272" s="32">
        <v>800</v>
      </c>
      <c r="N272" s="32">
        <v>0</v>
      </c>
      <c r="O272" s="32">
        <v>0</v>
      </c>
      <c r="P272" s="32">
        <v>0</v>
      </c>
      <c r="Q272" s="32">
        <v>0</v>
      </c>
      <c r="R272" s="13">
        <v>6400</v>
      </c>
    </row>
    <row r="273" spans="1:18" ht="17.5" thickBot="1" x14ac:dyDescent="0.65">
      <c r="A273" s="33" t="s">
        <v>599</v>
      </c>
      <c r="B273" s="29" t="s">
        <v>611</v>
      </c>
      <c r="C273" s="29">
        <v>3165</v>
      </c>
      <c r="D273" s="33" t="s">
        <v>775</v>
      </c>
      <c r="E273" s="31" t="s">
        <v>695</v>
      </c>
      <c r="F273" s="32">
        <v>800</v>
      </c>
      <c r="G273" s="32">
        <v>800</v>
      </c>
      <c r="H273" s="32">
        <v>800</v>
      </c>
      <c r="I273" s="32">
        <v>800</v>
      </c>
      <c r="J273" s="32">
        <v>800</v>
      </c>
      <c r="K273" s="32">
        <v>800</v>
      </c>
      <c r="L273" s="32">
        <v>800</v>
      </c>
      <c r="M273" s="32">
        <v>800</v>
      </c>
      <c r="N273" s="32">
        <v>0</v>
      </c>
      <c r="O273" s="32">
        <v>0</v>
      </c>
      <c r="P273" s="32">
        <v>0</v>
      </c>
      <c r="Q273" s="32">
        <v>0</v>
      </c>
      <c r="R273" s="13">
        <v>6400</v>
      </c>
    </row>
    <row r="274" spans="1:18" ht="17.5" thickBot="1" x14ac:dyDescent="0.65">
      <c r="A274" s="35" t="s">
        <v>599</v>
      </c>
      <c r="B274" s="36"/>
      <c r="C274" s="36" t="s">
        <v>708</v>
      </c>
      <c r="D274" s="35" t="s">
        <v>709</v>
      </c>
      <c r="E274" s="31" t="s">
        <v>695</v>
      </c>
      <c r="F274" s="32">
        <v>800</v>
      </c>
      <c r="G274" s="32">
        <v>800</v>
      </c>
      <c r="H274" s="32">
        <v>1000</v>
      </c>
      <c r="I274" s="32">
        <v>800</v>
      </c>
      <c r="J274" s="32">
        <v>1000</v>
      </c>
      <c r="K274" s="32">
        <v>1000</v>
      </c>
      <c r="L274" s="32">
        <v>1000</v>
      </c>
      <c r="M274" s="32">
        <v>900</v>
      </c>
      <c r="N274" s="32">
        <v>0</v>
      </c>
      <c r="O274" s="32">
        <v>0</v>
      </c>
      <c r="P274" s="32">
        <v>0</v>
      </c>
      <c r="Q274" s="32">
        <v>0</v>
      </c>
      <c r="R274" s="13">
        <v>7300</v>
      </c>
    </row>
    <row r="275" spans="1:18" ht="17.5" thickBot="1" x14ac:dyDescent="0.65">
      <c r="A275" s="33" t="s">
        <v>599</v>
      </c>
      <c r="B275" s="29" t="s">
        <v>650</v>
      </c>
      <c r="C275" s="29" t="s">
        <v>651</v>
      </c>
      <c r="D275" s="33" t="s">
        <v>652</v>
      </c>
      <c r="E275" s="31" t="s">
        <v>694</v>
      </c>
      <c r="F275" s="32">
        <v>900</v>
      </c>
      <c r="G275" s="32">
        <v>850</v>
      </c>
      <c r="H275" s="32">
        <v>950</v>
      </c>
      <c r="I275" s="32">
        <v>800</v>
      </c>
      <c r="J275" s="32">
        <v>1000</v>
      </c>
      <c r="K275" s="32">
        <v>900</v>
      </c>
      <c r="L275" s="32">
        <v>900</v>
      </c>
      <c r="M275" s="32">
        <v>900</v>
      </c>
      <c r="N275" s="32">
        <v>0</v>
      </c>
      <c r="O275" s="32">
        <v>0</v>
      </c>
      <c r="P275" s="32">
        <v>0</v>
      </c>
      <c r="Q275" s="32">
        <v>0</v>
      </c>
      <c r="R275" s="13">
        <v>7200</v>
      </c>
    </row>
    <row r="276" spans="1:18" ht="17.5" thickBot="1" x14ac:dyDescent="0.65">
      <c r="A276" s="33" t="s">
        <v>599</v>
      </c>
      <c r="B276" s="29" t="s">
        <v>688</v>
      </c>
      <c r="C276" s="29" t="s">
        <v>689</v>
      </c>
      <c r="D276" s="33" t="s">
        <v>690</v>
      </c>
      <c r="E276" s="31" t="s">
        <v>694</v>
      </c>
      <c r="F276" s="32">
        <v>900</v>
      </c>
      <c r="G276" s="32">
        <v>900</v>
      </c>
      <c r="H276" s="32">
        <v>1000</v>
      </c>
      <c r="I276" s="32">
        <v>800</v>
      </c>
      <c r="J276" s="32">
        <v>1000</v>
      </c>
      <c r="K276" s="32">
        <v>1000</v>
      </c>
      <c r="L276" s="32">
        <v>950</v>
      </c>
      <c r="M276" s="32">
        <v>950</v>
      </c>
      <c r="N276" s="32">
        <v>0</v>
      </c>
      <c r="O276" s="32">
        <v>0</v>
      </c>
      <c r="P276" s="32">
        <v>0</v>
      </c>
      <c r="Q276" s="32">
        <v>0</v>
      </c>
      <c r="R276" s="13">
        <v>7500</v>
      </c>
    </row>
    <row r="277" spans="1:18" ht="17.5" thickBot="1" x14ac:dyDescent="0.65">
      <c r="A277" s="33" t="s">
        <v>599</v>
      </c>
      <c r="B277" s="29" t="s">
        <v>667</v>
      </c>
      <c r="C277" s="29" t="s">
        <v>670</v>
      </c>
      <c r="D277" s="33" t="s">
        <v>671</v>
      </c>
      <c r="E277" s="31" t="s">
        <v>694</v>
      </c>
      <c r="F277" s="32">
        <v>550</v>
      </c>
      <c r="G277" s="32">
        <v>800</v>
      </c>
      <c r="H277" s="32">
        <v>1000</v>
      </c>
      <c r="I277" s="32">
        <v>650</v>
      </c>
      <c r="J277" s="32">
        <v>1150</v>
      </c>
      <c r="K277" s="32">
        <v>1250</v>
      </c>
      <c r="L277" s="32">
        <v>1250</v>
      </c>
      <c r="M277" s="32">
        <v>1200</v>
      </c>
      <c r="N277" s="32">
        <v>0</v>
      </c>
      <c r="O277" s="32">
        <v>0</v>
      </c>
      <c r="P277" s="32">
        <v>0</v>
      </c>
      <c r="Q277" s="32">
        <v>0</v>
      </c>
      <c r="R277" s="13">
        <v>7850</v>
      </c>
    </row>
    <row r="278" spans="1:18" ht="17.5" thickBot="1" x14ac:dyDescent="0.65">
      <c r="A278" s="33" t="s">
        <v>599</v>
      </c>
      <c r="B278" s="29" t="s">
        <v>653</v>
      </c>
      <c r="C278" s="29" t="s">
        <v>660</v>
      </c>
      <c r="D278" s="33" t="s">
        <v>661</v>
      </c>
      <c r="E278" s="31" t="s">
        <v>694</v>
      </c>
      <c r="F278" s="32">
        <v>750</v>
      </c>
      <c r="G278" s="32">
        <v>1000</v>
      </c>
      <c r="H278" s="32">
        <v>1000</v>
      </c>
      <c r="I278" s="32">
        <v>750</v>
      </c>
      <c r="J278" s="32">
        <v>1000</v>
      </c>
      <c r="K278" s="32">
        <v>950</v>
      </c>
      <c r="L278" s="32">
        <v>1050</v>
      </c>
      <c r="M278" s="32">
        <v>1000</v>
      </c>
      <c r="N278" s="32">
        <v>0</v>
      </c>
      <c r="O278" s="32">
        <v>0</v>
      </c>
      <c r="P278" s="32">
        <v>0</v>
      </c>
      <c r="Q278" s="32">
        <v>0</v>
      </c>
      <c r="R278" s="13">
        <v>7500</v>
      </c>
    </row>
    <row r="279" spans="1:18" ht="17.5" thickBot="1" x14ac:dyDescent="0.65">
      <c r="A279" s="33" t="s">
        <v>599</v>
      </c>
      <c r="B279" s="29" t="s">
        <v>635</v>
      </c>
      <c r="C279" s="29" t="s">
        <v>640</v>
      </c>
      <c r="D279" s="33" t="s">
        <v>641</v>
      </c>
      <c r="E279" s="31" t="s">
        <v>694</v>
      </c>
      <c r="F279" s="32">
        <v>1050</v>
      </c>
      <c r="G279" s="32">
        <v>1000</v>
      </c>
      <c r="H279" s="32">
        <v>1100</v>
      </c>
      <c r="I279" s="32">
        <v>1000</v>
      </c>
      <c r="J279" s="32">
        <v>1100</v>
      </c>
      <c r="K279" s="32">
        <v>1050</v>
      </c>
      <c r="L279" s="32">
        <v>1050</v>
      </c>
      <c r="M279" s="32">
        <v>1050</v>
      </c>
      <c r="N279" s="32">
        <v>0</v>
      </c>
      <c r="O279" s="32">
        <v>0</v>
      </c>
      <c r="P279" s="32">
        <v>0</v>
      </c>
      <c r="Q279" s="32">
        <v>0</v>
      </c>
      <c r="R279" s="13">
        <v>8400</v>
      </c>
    </row>
    <row r="280" spans="1:18" ht="17.5" thickBot="1" x14ac:dyDescent="0.65">
      <c r="A280" s="33" t="s">
        <v>599</v>
      </c>
      <c r="B280" s="29" t="s">
        <v>617</v>
      </c>
      <c r="C280" s="29">
        <v>3168</v>
      </c>
      <c r="D280" s="33" t="s">
        <v>776</v>
      </c>
      <c r="E280" s="31" t="s">
        <v>695</v>
      </c>
      <c r="F280" s="32">
        <v>1100</v>
      </c>
      <c r="G280" s="32">
        <v>1100</v>
      </c>
      <c r="H280" s="32">
        <v>1100</v>
      </c>
      <c r="I280" s="32">
        <v>1000</v>
      </c>
      <c r="J280" s="32">
        <v>1100</v>
      </c>
      <c r="K280" s="32">
        <v>1100</v>
      </c>
      <c r="L280" s="32">
        <v>1100</v>
      </c>
      <c r="M280" s="32">
        <v>1100</v>
      </c>
      <c r="N280" s="32">
        <v>0</v>
      </c>
      <c r="O280" s="32">
        <v>0</v>
      </c>
      <c r="P280" s="32">
        <v>0</v>
      </c>
      <c r="Q280" s="32">
        <v>0</v>
      </c>
      <c r="R280" s="13">
        <v>8700</v>
      </c>
    </row>
    <row r="281" spans="1:18" ht="17.5" thickBot="1" x14ac:dyDescent="0.65">
      <c r="A281" s="33" t="s">
        <v>599</v>
      </c>
      <c r="B281" s="29" t="s">
        <v>653</v>
      </c>
      <c r="C281" s="29" t="s">
        <v>658</v>
      </c>
      <c r="D281" s="33" t="s">
        <v>659</v>
      </c>
      <c r="E281" s="31" t="s">
        <v>694</v>
      </c>
      <c r="F281" s="32">
        <v>1050</v>
      </c>
      <c r="G281" s="32">
        <v>1200</v>
      </c>
      <c r="H281" s="32">
        <v>1200</v>
      </c>
      <c r="I281" s="32">
        <v>950</v>
      </c>
      <c r="J281" s="32">
        <v>1100</v>
      </c>
      <c r="K281" s="32">
        <v>1050</v>
      </c>
      <c r="L281" s="32">
        <v>1050</v>
      </c>
      <c r="M281" s="32">
        <v>1050</v>
      </c>
      <c r="N281" s="32">
        <v>0</v>
      </c>
      <c r="O281" s="32">
        <v>0</v>
      </c>
      <c r="P281" s="32">
        <v>0</v>
      </c>
      <c r="Q281" s="32">
        <v>0</v>
      </c>
      <c r="R281" s="13">
        <v>8650</v>
      </c>
    </row>
    <row r="282" spans="1:18" ht="17.5" thickBot="1" x14ac:dyDescent="0.65">
      <c r="A282" s="33" t="s">
        <v>599</v>
      </c>
      <c r="B282" s="29" t="s">
        <v>608</v>
      </c>
      <c r="C282" s="29" t="s">
        <v>609</v>
      </c>
      <c r="D282" s="33" t="s">
        <v>610</v>
      </c>
      <c r="E282" s="31" t="s">
        <v>694</v>
      </c>
      <c r="F282" s="32">
        <v>1000</v>
      </c>
      <c r="G282" s="32">
        <v>1250</v>
      </c>
      <c r="H282" s="32">
        <v>1250</v>
      </c>
      <c r="I282" s="32">
        <v>1100</v>
      </c>
      <c r="J282" s="32">
        <v>1150</v>
      </c>
      <c r="K282" s="32">
        <v>1150</v>
      </c>
      <c r="L282" s="32">
        <v>1200</v>
      </c>
      <c r="M282" s="32">
        <v>1250</v>
      </c>
      <c r="N282" s="32">
        <v>0</v>
      </c>
      <c r="O282" s="32">
        <v>0</v>
      </c>
      <c r="P282" s="32">
        <v>0</v>
      </c>
      <c r="Q282" s="32">
        <v>0</v>
      </c>
      <c r="R282" s="13">
        <v>9350</v>
      </c>
    </row>
    <row r="283" spans="1:18" ht="17.5" thickBot="1" x14ac:dyDescent="0.65">
      <c r="A283" s="33" t="s">
        <v>599</v>
      </c>
      <c r="B283" s="29" t="s">
        <v>635</v>
      </c>
      <c r="C283" s="29" t="s">
        <v>644</v>
      </c>
      <c r="D283" s="33" t="s">
        <v>645</v>
      </c>
      <c r="E283" s="31" t="s">
        <v>694</v>
      </c>
      <c r="F283" s="32">
        <v>1250</v>
      </c>
      <c r="G283" s="32">
        <v>1250</v>
      </c>
      <c r="H283" s="32">
        <v>1300</v>
      </c>
      <c r="I283" s="32">
        <v>1200</v>
      </c>
      <c r="J283" s="32">
        <v>1250</v>
      </c>
      <c r="K283" s="32">
        <v>1250</v>
      </c>
      <c r="L283" s="32">
        <v>1300</v>
      </c>
      <c r="M283" s="32">
        <v>1200</v>
      </c>
      <c r="N283" s="32">
        <v>0</v>
      </c>
      <c r="O283" s="32">
        <v>0</v>
      </c>
      <c r="P283" s="32">
        <v>0</v>
      </c>
      <c r="Q283" s="32">
        <v>0</v>
      </c>
      <c r="R283" s="13">
        <v>10000</v>
      </c>
    </row>
    <row r="284" spans="1:18" ht="17.5" thickBot="1" x14ac:dyDescent="0.65">
      <c r="A284" s="33" t="s">
        <v>599</v>
      </c>
      <c r="B284" s="29" t="s">
        <v>685</v>
      </c>
      <c r="C284" s="29" t="s">
        <v>686</v>
      </c>
      <c r="D284" s="33" t="s">
        <v>687</v>
      </c>
      <c r="E284" s="31" t="s">
        <v>694</v>
      </c>
      <c r="F284" s="32">
        <v>900</v>
      </c>
      <c r="G284" s="32">
        <v>1200</v>
      </c>
      <c r="H284" s="32">
        <v>1400</v>
      </c>
      <c r="I284" s="32">
        <v>1050</v>
      </c>
      <c r="J284" s="32">
        <v>1400</v>
      </c>
      <c r="K284" s="32">
        <v>1500</v>
      </c>
      <c r="L284" s="32">
        <v>1500</v>
      </c>
      <c r="M284" s="32">
        <v>1550</v>
      </c>
      <c r="N284" s="32">
        <v>0</v>
      </c>
      <c r="O284" s="32">
        <v>0</v>
      </c>
      <c r="P284" s="32">
        <v>0</v>
      </c>
      <c r="Q284" s="32">
        <v>0</v>
      </c>
      <c r="R284" s="13">
        <v>10500</v>
      </c>
    </row>
    <row r="285" spans="1:18" ht="17.5" thickBot="1" x14ac:dyDescent="0.65">
      <c r="A285" s="33" t="s">
        <v>599</v>
      </c>
      <c r="B285" s="29" t="s">
        <v>619</v>
      </c>
      <c r="C285" s="29" t="s">
        <v>624</v>
      </c>
      <c r="D285" s="33" t="s">
        <v>625</v>
      </c>
      <c r="E285" s="31" t="s">
        <v>694</v>
      </c>
      <c r="F285" s="32">
        <v>1050</v>
      </c>
      <c r="G285" s="32">
        <v>1300</v>
      </c>
      <c r="H285" s="32">
        <v>1300</v>
      </c>
      <c r="I285" s="32">
        <v>950</v>
      </c>
      <c r="J285" s="32">
        <v>1400</v>
      </c>
      <c r="K285" s="32">
        <v>1400</v>
      </c>
      <c r="L285" s="32">
        <v>1450</v>
      </c>
      <c r="M285" s="32">
        <v>1450</v>
      </c>
      <c r="N285" s="32">
        <v>0</v>
      </c>
      <c r="O285" s="32">
        <v>0</v>
      </c>
      <c r="P285" s="32">
        <v>0</v>
      </c>
      <c r="Q285" s="32">
        <v>0</v>
      </c>
      <c r="R285" s="13">
        <v>10300</v>
      </c>
    </row>
    <row r="286" spans="1:18" ht="17.5" thickBot="1" x14ac:dyDescent="0.65">
      <c r="A286" s="37" t="s">
        <v>599</v>
      </c>
      <c r="B286" s="38"/>
      <c r="C286" s="38" t="s">
        <v>656</v>
      </c>
      <c r="D286" s="37" t="s">
        <v>657</v>
      </c>
      <c r="E286" s="31" t="s">
        <v>694</v>
      </c>
      <c r="F286" s="32">
        <v>1100</v>
      </c>
      <c r="G286" s="32">
        <v>1550</v>
      </c>
      <c r="H286" s="32">
        <v>1550</v>
      </c>
      <c r="I286" s="32">
        <v>900</v>
      </c>
      <c r="J286" s="32">
        <v>1200</v>
      </c>
      <c r="K286" s="32">
        <v>1300</v>
      </c>
      <c r="L286" s="32">
        <v>1300</v>
      </c>
      <c r="M286" s="32">
        <v>1350</v>
      </c>
      <c r="N286" s="32">
        <v>0</v>
      </c>
      <c r="O286" s="32">
        <v>0</v>
      </c>
      <c r="P286" s="32">
        <v>0</v>
      </c>
      <c r="Q286" s="32">
        <v>0</v>
      </c>
      <c r="R286" s="13">
        <v>10250</v>
      </c>
    </row>
    <row r="287" spans="1:18" ht="17.5" thickBot="1" x14ac:dyDescent="0.65">
      <c r="A287" s="33" t="s">
        <v>599</v>
      </c>
      <c r="B287" s="29" t="s">
        <v>611</v>
      </c>
      <c r="C287" s="29">
        <v>3166</v>
      </c>
      <c r="D287" s="33" t="s">
        <v>777</v>
      </c>
      <c r="E287" s="31" t="s">
        <v>695</v>
      </c>
      <c r="F287" s="32">
        <v>1300</v>
      </c>
      <c r="G287" s="32">
        <v>1300</v>
      </c>
      <c r="H287" s="32">
        <v>1300</v>
      </c>
      <c r="I287" s="32">
        <v>1200</v>
      </c>
      <c r="J287" s="32">
        <v>1300</v>
      </c>
      <c r="K287" s="32">
        <v>1300</v>
      </c>
      <c r="L287" s="32">
        <v>1300</v>
      </c>
      <c r="M287" s="32">
        <v>1300</v>
      </c>
      <c r="N287" s="32">
        <v>0</v>
      </c>
      <c r="O287" s="32">
        <v>0</v>
      </c>
      <c r="P287" s="32">
        <v>0</v>
      </c>
      <c r="Q287" s="32">
        <v>0</v>
      </c>
      <c r="R287" s="13">
        <v>10300</v>
      </c>
    </row>
    <row r="288" spans="1:18" ht="17.5" thickBot="1" x14ac:dyDescent="0.65">
      <c r="A288" s="33" t="s">
        <v>599</v>
      </c>
      <c r="B288" s="29" t="s">
        <v>662</v>
      </c>
      <c r="C288" s="29" t="s">
        <v>663</v>
      </c>
      <c r="D288" s="33" t="s">
        <v>664</v>
      </c>
      <c r="E288" s="31" t="s">
        <v>694</v>
      </c>
      <c r="F288" s="32">
        <v>850</v>
      </c>
      <c r="G288" s="32">
        <v>1130</v>
      </c>
      <c r="H288" s="32">
        <v>1430</v>
      </c>
      <c r="I288" s="32">
        <v>850</v>
      </c>
      <c r="J288" s="32">
        <v>1350</v>
      </c>
      <c r="K288" s="32">
        <v>1550</v>
      </c>
      <c r="L288" s="32">
        <v>1550</v>
      </c>
      <c r="M288" s="32">
        <v>1650</v>
      </c>
      <c r="N288" s="32">
        <v>0</v>
      </c>
      <c r="O288" s="32">
        <v>0</v>
      </c>
      <c r="P288" s="32">
        <v>0</v>
      </c>
      <c r="Q288" s="32">
        <v>0</v>
      </c>
      <c r="R288" s="13">
        <v>10360</v>
      </c>
    </row>
    <row r="289" spans="1:18" ht="17.5" thickBot="1" x14ac:dyDescent="0.65">
      <c r="A289" s="33" t="s">
        <v>599</v>
      </c>
      <c r="B289" s="29" t="s">
        <v>619</v>
      </c>
      <c r="C289" s="29" t="s">
        <v>622</v>
      </c>
      <c r="D289" s="33" t="s">
        <v>623</v>
      </c>
      <c r="E289" s="31" t="s">
        <v>694</v>
      </c>
      <c r="F289" s="32">
        <v>1200</v>
      </c>
      <c r="G289" s="32">
        <v>1350</v>
      </c>
      <c r="H289" s="32">
        <v>1450</v>
      </c>
      <c r="I289" s="32">
        <v>1100</v>
      </c>
      <c r="J289" s="32">
        <v>1500</v>
      </c>
      <c r="K289" s="32">
        <v>1400</v>
      </c>
      <c r="L289" s="32">
        <v>1400</v>
      </c>
      <c r="M289" s="32">
        <v>1450</v>
      </c>
      <c r="N289" s="32">
        <v>0</v>
      </c>
      <c r="O289" s="32">
        <v>0</v>
      </c>
      <c r="P289" s="32">
        <v>0</v>
      </c>
      <c r="Q289" s="32">
        <v>0</v>
      </c>
      <c r="R289" s="13">
        <v>10850</v>
      </c>
    </row>
    <row r="290" spans="1:18" ht="17.5" thickBot="1" x14ac:dyDescent="0.65">
      <c r="A290" s="33" t="s">
        <v>599</v>
      </c>
      <c r="B290" s="29" t="s">
        <v>680</v>
      </c>
      <c r="C290" s="29" t="s">
        <v>683</v>
      </c>
      <c r="D290" s="33" t="s">
        <v>684</v>
      </c>
      <c r="E290" s="31" t="s">
        <v>694</v>
      </c>
      <c r="F290" s="32">
        <v>1150</v>
      </c>
      <c r="G290" s="32">
        <v>1510</v>
      </c>
      <c r="H290" s="32">
        <v>1510</v>
      </c>
      <c r="I290" s="32">
        <v>1240</v>
      </c>
      <c r="J290" s="32">
        <v>1520</v>
      </c>
      <c r="K290" s="32">
        <v>1570</v>
      </c>
      <c r="L290" s="32">
        <v>1560</v>
      </c>
      <c r="M290" s="32">
        <v>1530</v>
      </c>
      <c r="N290" s="32">
        <v>0</v>
      </c>
      <c r="O290" s="32">
        <v>0</v>
      </c>
      <c r="P290" s="32">
        <v>0</v>
      </c>
      <c r="Q290" s="32">
        <v>0</v>
      </c>
      <c r="R290" s="13">
        <v>11590</v>
      </c>
    </row>
    <row r="291" spans="1:18" ht="17.5" thickBot="1" x14ac:dyDescent="0.65">
      <c r="A291" s="33" t="s">
        <v>599</v>
      </c>
      <c r="B291" s="29" t="s">
        <v>619</v>
      </c>
      <c r="C291" s="29" t="s">
        <v>628</v>
      </c>
      <c r="D291" s="33" t="s">
        <v>629</v>
      </c>
      <c r="E291" s="31" t="s">
        <v>694</v>
      </c>
      <c r="F291" s="32">
        <v>1200</v>
      </c>
      <c r="G291" s="32">
        <v>1500</v>
      </c>
      <c r="H291" s="32">
        <v>1600</v>
      </c>
      <c r="I291" s="32">
        <v>1100</v>
      </c>
      <c r="J291" s="32">
        <v>1450</v>
      </c>
      <c r="K291" s="32">
        <v>1550</v>
      </c>
      <c r="L291" s="32">
        <v>1550</v>
      </c>
      <c r="M291" s="32">
        <v>1700</v>
      </c>
      <c r="N291" s="32">
        <v>0</v>
      </c>
      <c r="O291" s="32">
        <v>0</v>
      </c>
      <c r="P291" s="32">
        <v>0</v>
      </c>
      <c r="Q291" s="32">
        <v>0</v>
      </c>
      <c r="R291" s="13">
        <v>11650</v>
      </c>
    </row>
    <row r="292" spans="1:18" ht="17.5" thickBot="1" x14ac:dyDescent="0.65">
      <c r="A292" s="33" t="s">
        <v>599</v>
      </c>
      <c r="B292" s="29" t="s">
        <v>614</v>
      </c>
      <c r="C292" s="29" t="s">
        <v>615</v>
      </c>
      <c r="D292" s="33" t="s">
        <v>616</v>
      </c>
      <c r="E292" s="31" t="s">
        <v>694</v>
      </c>
      <c r="F292" s="32">
        <v>1200</v>
      </c>
      <c r="G292" s="32">
        <v>1600</v>
      </c>
      <c r="H292" s="32">
        <v>1700</v>
      </c>
      <c r="I292" s="32">
        <v>1400</v>
      </c>
      <c r="J292" s="32">
        <v>1800</v>
      </c>
      <c r="K292" s="32">
        <v>1700</v>
      </c>
      <c r="L292" s="32">
        <v>1700</v>
      </c>
      <c r="M292" s="32">
        <v>1700</v>
      </c>
      <c r="N292" s="32">
        <v>0</v>
      </c>
      <c r="O292" s="32">
        <v>0</v>
      </c>
      <c r="P292" s="32">
        <v>0</v>
      </c>
      <c r="Q292" s="32">
        <v>0</v>
      </c>
      <c r="R292" s="13">
        <v>12800</v>
      </c>
    </row>
    <row r="293" spans="1:18" ht="17.5" thickBot="1" x14ac:dyDescent="0.65">
      <c r="A293" s="33" t="s">
        <v>599</v>
      </c>
      <c r="B293" s="29" t="s">
        <v>619</v>
      </c>
      <c r="C293" s="29" t="s">
        <v>620</v>
      </c>
      <c r="D293" s="33" t="s">
        <v>621</v>
      </c>
      <c r="E293" s="31" t="s">
        <v>694</v>
      </c>
      <c r="F293" s="32">
        <v>1500</v>
      </c>
      <c r="G293" s="32">
        <v>1700</v>
      </c>
      <c r="H293" s="32">
        <v>1800</v>
      </c>
      <c r="I293" s="32">
        <v>1300</v>
      </c>
      <c r="J293" s="32">
        <v>1800</v>
      </c>
      <c r="K293" s="32">
        <v>1850</v>
      </c>
      <c r="L293" s="32">
        <v>1800</v>
      </c>
      <c r="M293" s="32">
        <v>1750</v>
      </c>
      <c r="N293" s="32">
        <v>0</v>
      </c>
      <c r="O293" s="32">
        <v>0</v>
      </c>
      <c r="P293" s="32">
        <v>0</v>
      </c>
      <c r="Q293" s="32">
        <v>0</v>
      </c>
      <c r="R293" s="13">
        <v>13500</v>
      </c>
    </row>
    <row r="294" spans="1:18" ht="17.5" thickBot="1" x14ac:dyDescent="0.65">
      <c r="A294" s="33" t="s">
        <v>599</v>
      </c>
      <c r="B294" s="29" t="s">
        <v>600</v>
      </c>
      <c r="C294" s="29" t="s">
        <v>603</v>
      </c>
      <c r="D294" s="33" t="s">
        <v>604</v>
      </c>
      <c r="E294" s="31" t="s">
        <v>694</v>
      </c>
      <c r="F294" s="32">
        <v>1550</v>
      </c>
      <c r="G294" s="32">
        <v>1750</v>
      </c>
      <c r="H294" s="32">
        <v>1750</v>
      </c>
      <c r="I294" s="32">
        <v>1550</v>
      </c>
      <c r="J294" s="32">
        <v>1800</v>
      </c>
      <c r="K294" s="32">
        <v>1750</v>
      </c>
      <c r="L294" s="32">
        <v>1850</v>
      </c>
      <c r="M294" s="32">
        <v>1850</v>
      </c>
      <c r="N294" s="32">
        <v>0</v>
      </c>
      <c r="O294" s="32">
        <v>0</v>
      </c>
      <c r="P294" s="32">
        <v>0</v>
      </c>
      <c r="Q294" s="32">
        <v>0</v>
      </c>
      <c r="R294" s="13">
        <v>13850</v>
      </c>
    </row>
    <row r="295" spans="1:18" ht="17.5" thickBot="1" x14ac:dyDescent="0.65">
      <c r="A295" s="33" t="s">
        <v>599</v>
      </c>
      <c r="B295" s="29" t="s">
        <v>677</v>
      </c>
      <c r="C295" s="29" t="s">
        <v>678</v>
      </c>
      <c r="D295" s="33" t="s">
        <v>679</v>
      </c>
      <c r="E295" s="31" t="s">
        <v>694</v>
      </c>
      <c r="F295" s="32">
        <v>1200</v>
      </c>
      <c r="G295" s="32">
        <v>1900</v>
      </c>
      <c r="H295" s="32">
        <v>2250</v>
      </c>
      <c r="I295" s="32">
        <v>1500</v>
      </c>
      <c r="J295" s="32">
        <v>2430</v>
      </c>
      <c r="K295" s="32">
        <v>2430</v>
      </c>
      <c r="L295" s="32">
        <v>2380</v>
      </c>
      <c r="M295" s="32">
        <v>2240</v>
      </c>
      <c r="N295" s="32">
        <v>0</v>
      </c>
      <c r="O295" s="32">
        <v>0</v>
      </c>
      <c r="P295" s="32">
        <v>0</v>
      </c>
      <c r="Q295" s="32">
        <v>0</v>
      </c>
      <c r="R295" s="13">
        <v>16330</v>
      </c>
    </row>
    <row r="296" spans="1:18" ht="17.5" thickBot="1" x14ac:dyDescent="0.65">
      <c r="A296" s="33" t="s">
        <v>599</v>
      </c>
      <c r="B296" s="29" t="s">
        <v>653</v>
      </c>
      <c r="C296" s="29" t="s">
        <v>654</v>
      </c>
      <c r="D296" s="33" t="s">
        <v>655</v>
      </c>
      <c r="E296" s="31" t="s">
        <v>694</v>
      </c>
      <c r="F296" s="32">
        <v>1900</v>
      </c>
      <c r="G296" s="32">
        <v>2000</v>
      </c>
      <c r="H296" s="32">
        <v>2200</v>
      </c>
      <c r="I296" s="32">
        <v>1900</v>
      </c>
      <c r="J296" s="32">
        <v>2300</v>
      </c>
      <c r="K296" s="32">
        <v>1900</v>
      </c>
      <c r="L296" s="32">
        <v>2100</v>
      </c>
      <c r="M296" s="32">
        <v>2150</v>
      </c>
      <c r="N296" s="32">
        <v>0</v>
      </c>
      <c r="O296" s="32">
        <v>0</v>
      </c>
      <c r="P296" s="32">
        <v>0</v>
      </c>
      <c r="Q296" s="32">
        <v>0</v>
      </c>
      <c r="R296" s="13">
        <v>16450</v>
      </c>
    </row>
    <row r="297" spans="1:18" ht="17.5" thickBot="1" x14ac:dyDescent="0.65">
      <c r="A297" s="33" t="s">
        <v>599</v>
      </c>
      <c r="B297" s="29" t="s">
        <v>680</v>
      </c>
      <c r="C297" s="29" t="s">
        <v>681</v>
      </c>
      <c r="D297" s="33" t="s">
        <v>682</v>
      </c>
      <c r="E297" s="31" t="s">
        <v>694</v>
      </c>
      <c r="F297" s="32">
        <v>4200</v>
      </c>
      <c r="G297" s="32">
        <v>5780</v>
      </c>
      <c r="H297" s="32">
        <v>6660</v>
      </c>
      <c r="I297" s="32">
        <v>5000</v>
      </c>
      <c r="J297" s="32">
        <v>6850</v>
      </c>
      <c r="K297" s="32">
        <v>6800</v>
      </c>
      <c r="L297" s="32">
        <v>6900</v>
      </c>
      <c r="M297" s="32">
        <v>6980</v>
      </c>
      <c r="N297" s="32">
        <v>0</v>
      </c>
      <c r="O297" s="32">
        <v>0</v>
      </c>
      <c r="P297" s="32">
        <v>0</v>
      </c>
      <c r="Q297" s="32">
        <v>0</v>
      </c>
      <c r="R297" s="13">
        <v>49170</v>
      </c>
    </row>
    <row r="298" spans="1:18" x14ac:dyDescent="0.35">
      <c r="R298" s="40">
        <f>SUM(R2:R297)</f>
        <v>2998725</v>
      </c>
    </row>
  </sheetData>
  <autoFilter ref="A1:R296" xr:uid="{A7D57442-172B-4DDD-9D50-547C79477BD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81832-DA06-4C36-B0B4-F15D627E640C}">
  <dimension ref="A1:C3"/>
  <sheetViews>
    <sheetView workbookViewId="0">
      <selection activeCell="C12" sqref="C12"/>
    </sheetView>
  </sheetViews>
  <sheetFormatPr defaultRowHeight="14.5" x14ac:dyDescent="0.35"/>
  <cols>
    <col min="2" max="2" width="21.90625" customWidth="1"/>
  </cols>
  <sheetData>
    <row r="1" spans="1:3" ht="17.5" thickBot="1" x14ac:dyDescent="0.4">
      <c r="A1" s="4" t="s">
        <v>1</v>
      </c>
      <c r="B1" s="4" t="s">
        <v>2</v>
      </c>
      <c r="C1" s="4" t="s">
        <v>717</v>
      </c>
    </row>
    <row r="2" spans="1:3" ht="17.5" thickBot="1" x14ac:dyDescent="0.4">
      <c r="A2" s="9" t="s">
        <v>562</v>
      </c>
      <c r="B2" s="9" t="s">
        <v>563</v>
      </c>
      <c r="C2" s="45" t="s">
        <v>104</v>
      </c>
    </row>
    <row r="3" spans="1:3" ht="17.5" thickBot="1" x14ac:dyDescent="0.4">
      <c r="A3" s="9" t="s">
        <v>555</v>
      </c>
      <c r="B3" s="9" t="s">
        <v>556</v>
      </c>
      <c r="C3" s="4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12BCC-6D3F-4412-AF7A-504EF43B9006}">
  <dimension ref="A1:N8"/>
  <sheetViews>
    <sheetView tabSelected="1" workbookViewId="0">
      <selection activeCell="E14" sqref="E14"/>
    </sheetView>
  </sheetViews>
  <sheetFormatPr defaultRowHeight="14.5" x14ac:dyDescent="0.35"/>
  <cols>
    <col min="1" max="1" width="9.08984375" style="46" bestFit="1" customWidth="1"/>
    <col min="2" max="16384" width="8.7265625" style="46"/>
  </cols>
  <sheetData>
    <row r="1" spans="1:14" x14ac:dyDescent="0.35">
      <c r="B1" s="46" t="s">
        <v>5</v>
      </c>
      <c r="C1" s="46" t="s">
        <v>6</v>
      </c>
      <c r="D1" s="46" t="s">
        <v>7</v>
      </c>
      <c r="E1" s="46" t="s">
        <v>8</v>
      </c>
      <c r="F1" s="46" t="s">
        <v>9</v>
      </c>
      <c r="G1" s="46" t="s">
        <v>10</v>
      </c>
      <c r="H1" s="46" t="s">
        <v>11</v>
      </c>
      <c r="I1" s="46" t="s">
        <v>12</v>
      </c>
      <c r="J1" s="46" t="s">
        <v>13</v>
      </c>
      <c r="K1" s="46" t="s">
        <v>14</v>
      </c>
      <c r="L1" s="46" t="s">
        <v>15</v>
      </c>
      <c r="M1" s="46" t="s">
        <v>16</v>
      </c>
      <c r="N1" s="46" t="s">
        <v>17</v>
      </c>
    </row>
    <row r="2" spans="1:14" x14ac:dyDescent="0.35">
      <c r="A2" s="46" t="s">
        <v>18</v>
      </c>
      <c r="B2" s="47">
        <f>SUMIF('[1]CPAC 2026-WEB'!$A:$A,$A2,'[1]CPAC 2026-WEB'!C:C)</f>
        <v>190200</v>
      </c>
      <c r="C2" s="47">
        <f>SUMIF('[1]CPAC 2026-WEB'!$A:$A,$A2,'[1]CPAC 2026-WEB'!E:E)</f>
        <v>219954</v>
      </c>
      <c r="D2" s="47">
        <f>SUMIF('[1]CPAC 2026-WEB'!$A:$A,$A2,'[1]CPAC 2026-WEB'!G:G)</f>
        <v>260272</v>
      </c>
      <c r="E2" s="47">
        <f>SUMIF('[1]CPAC 2026-WEB'!$A:$A,$A2,'[1]CPAC 2026-WEB'!I:I)</f>
        <v>192174</v>
      </c>
      <c r="F2" s="47">
        <f>SUMIF('[1]CPAC 2026-WEB'!$A:$A,$A2,'[1]CPAC 2026-WEB'!K:K)</f>
        <v>214257</v>
      </c>
      <c r="G2" s="47">
        <f>SUMIF('[1]CPAC 2026-WEB'!$A:$A,$A2,'[1]CPAC 2026-WEB'!M:M)</f>
        <v>208327</v>
      </c>
      <c r="H2" s="47">
        <f>SUMIF('[1]CPAC 2026-WEB'!$A:$A,$A2,'[1]CPAC 2026-WEB'!O:O)</f>
        <v>219159</v>
      </c>
      <c r="I2" s="47">
        <f>SUMIF('[1]CPAC 2026-WEB'!$A:$A,$A2,'[1]CPAC 2026-WEB'!Q:Q)</f>
        <v>215373</v>
      </c>
      <c r="J2" s="47">
        <f>SUMIF('[1]CPAC 2026-WEB'!$A:$A,$A2,'[1]CPAC 2026-WEB'!S:S)</f>
        <v>0</v>
      </c>
      <c r="K2" s="47">
        <f>SUMIF('[1]CPAC 2026-WEB'!$A:$A,$A2,'[1]CPAC 2026-WEB'!U:U)</f>
        <v>0</v>
      </c>
      <c r="L2" s="47">
        <f>SUMIF('[1]CPAC 2026-WEB'!$A:$A,$A2,'[1]CPAC 2026-WEB'!W:W)</f>
        <v>0</v>
      </c>
      <c r="M2" s="47">
        <f>SUMIF('[1]CPAC 2026-WEB'!$A:$A,$A2,'[1]CPAC 2026-WEB'!Y:Y)</f>
        <v>0</v>
      </c>
      <c r="N2" s="47">
        <f>SUM(B2:M2)</f>
        <v>1719716</v>
      </c>
    </row>
    <row r="3" spans="1:14" x14ac:dyDescent="0.35">
      <c r="A3" s="46" t="s">
        <v>32</v>
      </c>
      <c r="B3" s="47">
        <f>SUMIF('[1]CPAC 2026-WEB'!$A:$A,$A3,'[1]CPAC 2026-WEB'!C:C)</f>
        <v>160382</v>
      </c>
      <c r="C3" s="47">
        <f>SUMIF('[1]CPAC 2026-WEB'!$A:$A,$A3,'[1]CPAC 2026-WEB'!E:E)</f>
        <v>171181</v>
      </c>
      <c r="D3" s="47">
        <f>SUMIF('[1]CPAC 2026-WEB'!$A:$A,$A3,'[1]CPAC 2026-WEB'!G:G)</f>
        <v>193873</v>
      </c>
      <c r="E3" s="47">
        <f>SUMIF('[1]CPAC 2026-WEB'!$A:$A,$A3,'[1]CPAC 2026-WEB'!I:I)</f>
        <v>131725</v>
      </c>
      <c r="F3" s="47">
        <f>SUMIF('[1]CPAC 2026-WEB'!$A:$A,$A3,'[1]CPAC 2026-WEB'!K:K)</f>
        <v>156343</v>
      </c>
      <c r="G3" s="47">
        <f>SUMIF('[1]CPAC 2026-WEB'!$A:$A,$A3,'[1]CPAC 2026-WEB'!M:M)</f>
        <v>161950</v>
      </c>
      <c r="H3" s="47">
        <f>SUMIF('[1]CPAC 2026-WEB'!$A:$A,$A3,'[1]CPAC 2026-WEB'!O:O)</f>
        <v>175011</v>
      </c>
      <c r="I3" s="47">
        <f>SUMIF('[1]CPAC 2026-WEB'!$A:$A,$A3,'[1]CPAC 2026-WEB'!Q:Q)</f>
        <v>183407</v>
      </c>
      <c r="J3" s="47">
        <f>SUMIF('[1]CPAC 2026-WEB'!$A:$A,$A3,'[1]CPAC 2026-WEB'!S:S)</f>
        <v>0</v>
      </c>
      <c r="K3" s="47">
        <f>SUMIF('[1]CPAC 2026-WEB'!$A:$A,$A3,'[1]CPAC 2026-WEB'!U:U)</f>
        <v>0</v>
      </c>
      <c r="L3" s="47">
        <f>SUMIF('[1]CPAC 2026-WEB'!$A:$A,$A3,'[1]CPAC 2026-WEB'!W:W)</f>
        <v>0</v>
      </c>
      <c r="M3" s="47">
        <f>SUMIF('[1]CPAC 2026-WEB'!$A:$A,$A3,'[1]CPAC 2026-WEB'!Y:Y)</f>
        <v>0</v>
      </c>
      <c r="N3" s="47">
        <f>SUM(B3:M3)</f>
        <v>1333872</v>
      </c>
    </row>
    <row r="4" spans="1:14" x14ac:dyDescent="0.35">
      <c r="A4" s="46" t="s">
        <v>129</v>
      </c>
      <c r="B4" s="47">
        <f>SUMIF('[1]CPAC 2026-WEB'!$A:$A,$A4,'[1]CPAC 2026-WEB'!C:C)</f>
        <v>86684</v>
      </c>
      <c r="C4" s="47">
        <f>SUMIF('[1]CPAC 2026-WEB'!$A:$A,$A4,'[1]CPAC 2026-WEB'!E:E)</f>
        <v>102154</v>
      </c>
      <c r="D4" s="47">
        <f>SUMIF('[1]CPAC 2026-WEB'!$A:$A,$A4,'[1]CPAC 2026-WEB'!G:G)</f>
        <v>115805</v>
      </c>
      <c r="E4" s="47">
        <f>SUMIF('[1]CPAC 2026-WEB'!$A:$A,$A4,'[1]CPAC 2026-WEB'!I:I)</f>
        <v>80877</v>
      </c>
      <c r="F4" s="47">
        <f>SUMIF('[1]CPAC 2026-WEB'!$A:$A,$A4,'[1]CPAC 2026-WEB'!K:K)</f>
        <v>98781</v>
      </c>
      <c r="G4" s="47">
        <f>SUMIF('[1]CPAC 2026-WEB'!$A:$A,$A4,'[1]CPAC 2026-WEB'!M:M)</f>
        <v>90261</v>
      </c>
      <c r="H4" s="47">
        <f>SUMIF('[1]CPAC 2026-WEB'!$A:$A,$A4,'[1]CPAC 2026-WEB'!O:O)</f>
        <v>105339</v>
      </c>
      <c r="I4" s="47">
        <f>SUMIF('[1]CPAC 2026-WEB'!$A:$A,$A4,'[1]CPAC 2026-WEB'!Q:Q)</f>
        <v>94434</v>
      </c>
      <c r="J4" s="47">
        <f>SUMIF('[1]CPAC 2026-WEB'!$A:$A,$A4,'[1]CPAC 2026-WEB'!S:S)</f>
        <v>0</v>
      </c>
      <c r="K4" s="47">
        <f>SUMIF('[1]CPAC 2026-WEB'!$A:$A,$A4,'[1]CPAC 2026-WEB'!U:U)</f>
        <v>0</v>
      </c>
      <c r="L4" s="47">
        <f>SUMIF('[1]CPAC 2026-WEB'!$A:$A,$A4,'[1]CPAC 2026-WEB'!W:W)</f>
        <v>0</v>
      </c>
      <c r="M4" s="47">
        <f>SUMIF('[1]CPAC 2026-WEB'!$A:$A,$A4,'[1]CPAC 2026-WEB'!Y:Y)</f>
        <v>0</v>
      </c>
      <c r="N4" s="47">
        <f>SUM(B4:M4)</f>
        <v>774335</v>
      </c>
    </row>
    <row r="5" spans="1:14" x14ac:dyDescent="0.35">
      <c r="A5" s="46" t="s">
        <v>179</v>
      </c>
      <c r="B5" s="47">
        <f>SUMIF('[1]CPAC 2026-WEB'!$A:$A,$A5,'[1]CPAC 2026-WEB'!C:C)</f>
        <v>92632</v>
      </c>
      <c r="C5" s="47">
        <f>SUMIF('[1]CPAC 2026-WEB'!$A:$A,$A5,'[1]CPAC 2026-WEB'!E:E)</f>
        <v>95678</v>
      </c>
      <c r="D5" s="47">
        <f>SUMIF('[1]CPAC 2026-WEB'!$A:$A,$A5,'[1]CPAC 2026-WEB'!G:G)</f>
        <v>112490</v>
      </c>
      <c r="E5" s="47">
        <f>SUMIF('[1]CPAC 2026-WEB'!$A:$A,$A5,'[1]CPAC 2026-WEB'!I:I)</f>
        <v>73709</v>
      </c>
      <c r="F5" s="47">
        <f>SUMIF('[1]CPAC 2026-WEB'!$A:$A,$A5,'[1]CPAC 2026-WEB'!K:K)</f>
        <v>103374</v>
      </c>
      <c r="G5" s="47">
        <f>SUMIF('[1]CPAC 2026-WEB'!$A:$A,$A5,'[1]CPAC 2026-WEB'!M:M)</f>
        <v>100869</v>
      </c>
      <c r="H5" s="47">
        <f>SUMIF('[1]CPAC 2026-WEB'!$A:$A,$A5,'[1]CPAC 2026-WEB'!O:O)</f>
        <v>92912</v>
      </c>
      <c r="I5" s="47">
        <f>SUMIF('[1]CPAC 2026-WEB'!$A:$A,$A5,'[1]CPAC 2026-WEB'!Q:Q)</f>
        <v>98607</v>
      </c>
      <c r="J5" s="47">
        <f>SUMIF('[1]CPAC 2026-WEB'!$A:$A,$A5,'[1]CPAC 2026-WEB'!S:S)</f>
        <v>0</v>
      </c>
      <c r="K5" s="47">
        <f>SUMIF('[1]CPAC 2026-WEB'!$A:$A,$A5,'[1]CPAC 2026-WEB'!U:U)</f>
        <v>0</v>
      </c>
      <c r="L5" s="47">
        <f>SUMIF('[1]CPAC 2026-WEB'!$A:$A,$A5,'[1]CPAC 2026-WEB'!W:W)</f>
        <v>0</v>
      </c>
      <c r="M5" s="47">
        <f>SUMIF('[1]CPAC 2026-WEB'!$A:$A,$A5,'[1]CPAC 2026-WEB'!Y:Y)</f>
        <v>0</v>
      </c>
      <c r="N5" s="47">
        <f>SUM(B5:M5)</f>
        <v>770271</v>
      </c>
    </row>
    <row r="6" spans="1:14" x14ac:dyDescent="0.35">
      <c r="A6" s="46" t="s">
        <v>348</v>
      </c>
      <c r="B6" s="47">
        <f>SUMIF('[1]CPAC 2026-WEB'!$A:$A,$A6,'[1]CPAC 2026-WEB'!C:C)</f>
        <v>69073</v>
      </c>
      <c r="C6" s="47">
        <f>SUMIF('[1]CPAC 2026-WEB'!$A:$A,$A6,'[1]CPAC 2026-WEB'!E:E)</f>
        <v>73598</v>
      </c>
      <c r="D6" s="47">
        <f>SUMIF('[1]CPAC 2026-WEB'!$A:$A,$A6,'[1]CPAC 2026-WEB'!G:G)</f>
        <v>99432</v>
      </c>
      <c r="E6" s="47">
        <f>SUMIF('[1]CPAC 2026-WEB'!$A:$A,$A6,'[1]CPAC 2026-WEB'!I:I)</f>
        <v>68047</v>
      </c>
      <c r="F6" s="47">
        <f>SUMIF('[1]CPAC 2026-WEB'!$A:$A,$A6,'[1]CPAC 2026-WEB'!K:K)</f>
        <v>67717</v>
      </c>
      <c r="G6" s="47">
        <f>SUMIF('[1]CPAC 2026-WEB'!$A:$A,$A6,'[1]CPAC 2026-WEB'!M:M)</f>
        <v>70374</v>
      </c>
      <c r="H6" s="47">
        <f>SUMIF('[1]CPAC 2026-WEB'!$A:$A,$A6,'[1]CPAC 2026-WEB'!O:O)</f>
        <v>73141</v>
      </c>
      <c r="I6" s="47">
        <f>SUMIF('[1]CPAC 2026-WEB'!$A:$A,$A6,'[1]CPAC 2026-WEB'!Q:Q)</f>
        <v>66304</v>
      </c>
      <c r="J6" s="47">
        <f>SUMIF('[1]CPAC 2026-WEB'!$A:$A,$A6,'[1]CPAC 2026-WEB'!S:S)</f>
        <v>0</v>
      </c>
      <c r="K6" s="47">
        <f>SUMIF('[1]CPAC 2026-WEB'!$A:$A,$A6,'[1]CPAC 2026-WEB'!U:U)</f>
        <v>0</v>
      </c>
      <c r="L6" s="47">
        <f>SUMIF('[1]CPAC 2026-WEB'!$A:$A,$A6,'[1]CPAC 2026-WEB'!W:W)</f>
        <v>0</v>
      </c>
      <c r="M6" s="47">
        <f>SUMIF('[1]CPAC 2026-WEB'!$A:$A,$A6,'[1]CPAC 2026-WEB'!Y:Y)</f>
        <v>0</v>
      </c>
      <c r="N6" s="47">
        <f>SUM(B6:M6)</f>
        <v>587686</v>
      </c>
    </row>
    <row r="7" spans="1:14" x14ac:dyDescent="0.35">
      <c r="A7" s="46" t="s">
        <v>599</v>
      </c>
      <c r="B7" s="47">
        <f>SUMIF('[1]CPAC 2026-WEB'!$A:$A,$A7,'[1]CPAC 2026-WEB'!C:C)</f>
        <v>90495</v>
      </c>
      <c r="C7" s="47">
        <f>SUMIF('[1]CPAC 2026-WEB'!$A:$A,$A7,'[1]CPAC 2026-WEB'!E:E)</f>
        <v>87159</v>
      </c>
      <c r="D7" s="47">
        <f>SUMIF('[1]CPAC 2026-WEB'!$A:$A,$A7,'[1]CPAC 2026-WEB'!G:G)</f>
        <v>100721</v>
      </c>
      <c r="E7" s="47">
        <f>SUMIF('[1]CPAC 2026-WEB'!$A:$A,$A7,'[1]CPAC 2026-WEB'!I:I)</f>
        <v>74766</v>
      </c>
      <c r="F7" s="47">
        <f>SUMIF('[1]CPAC 2026-WEB'!$A:$A,$A7,'[1]CPAC 2026-WEB'!K:K)</f>
        <v>85556</v>
      </c>
      <c r="G7" s="47">
        <f>SUMIF('[1]CPAC 2026-WEB'!$A:$A,$A7,'[1]CPAC 2026-WEB'!M:M)</f>
        <v>88261</v>
      </c>
      <c r="H7" s="47">
        <f>SUMIF('[1]CPAC 2026-WEB'!$A:$A,$A7,'[1]CPAC 2026-WEB'!O:O)</f>
        <v>90419</v>
      </c>
      <c r="I7" s="47">
        <f>SUMIF('[1]CPAC 2026-WEB'!$A:$A,$A7,'[1]CPAC 2026-WEB'!Q:Q)</f>
        <v>99113</v>
      </c>
      <c r="J7" s="47">
        <f>SUMIF('[1]CPAC 2026-WEB'!$A:$A,$A7,'[1]CPAC 2026-WEB'!S:S)</f>
        <v>0</v>
      </c>
      <c r="K7" s="47">
        <f>SUMIF('[1]CPAC 2026-WEB'!$A:$A,$A7,'[1]CPAC 2026-WEB'!U:U)</f>
        <v>0</v>
      </c>
      <c r="L7" s="47">
        <f>SUMIF('[1]CPAC 2026-WEB'!$A:$A,$A7,'[1]CPAC 2026-WEB'!W:W)</f>
        <v>0</v>
      </c>
      <c r="M7" s="47">
        <f>SUMIF('[1]CPAC 2026-WEB'!$A:$A,$A7,'[1]CPAC 2026-WEB'!Y:Y)</f>
        <v>0</v>
      </c>
      <c r="N7" s="47">
        <f>SUM(B7:M7)</f>
        <v>716490</v>
      </c>
    </row>
    <row r="8" spans="1:14" x14ac:dyDescent="0.35">
      <c r="B8" s="47">
        <f>SUM(B2:B7)</f>
        <v>689466</v>
      </c>
      <c r="C8" s="47">
        <f>SUM(C2:C7)</f>
        <v>749724</v>
      </c>
      <c r="D8" s="47">
        <f>SUM(D2:D7)</f>
        <v>882593</v>
      </c>
      <c r="E8" s="47">
        <f>SUM(E2:E7)</f>
        <v>621298</v>
      </c>
      <c r="F8" s="47">
        <f>SUM(F2:F7)</f>
        <v>726028</v>
      </c>
      <c r="G8" s="47">
        <f>SUM(G2:G7)</f>
        <v>720042</v>
      </c>
      <c r="H8" s="47">
        <f>SUM(H2:H7)</f>
        <v>755981</v>
      </c>
      <c r="I8" s="47">
        <f>SUM(I2:I7)</f>
        <v>757238</v>
      </c>
      <c r="J8" s="47">
        <f>SUM(J2:J7)</f>
        <v>0</v>
      </c>
      <c r="K8" s="47">
        <f>SUM(K2:K7)</f>
        <v>0</v>
      </c>
      <c r="L8" s="47">
        <f>SUM(L2:L7)</f>
        <v>0</v>
      </c>
      <c r="M8" s="47">
        <f>SUM(M2:M7)</f>
        <v>0</v>
      </c>
      <c r="N8" s="47">
        <f>SUM(N2:N7)</f>
        <v>5902370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480D2-A47D-4B4E-BC6F-84CB2036ED0B}">
  <dimension ref="A1:N8"/>
  <sheetViews>
    <sheetView workbookViewId="0">
      <selection activeCell="B8" sqref="B8:N8"/>
    </sheetView>
  </sheetViews>
  <sheetFormatPr defaultRowHeight="14.5" x14ac:dyDescent="0.35"/>
  <cols>
    <col min="1" max="1" width="9.08984375" style="46" bestFit="1" customWidth="1"/>
    <col min="2" max="16384" width="8.7265625" style="46"/>
  </cols>
  <sheetData>
    <row r="1" spans="1:14" x14ac:dyDescent="0.35">
      <c r="B1" s="46" t="s">
        <v>5</v>
      </c>
      <c r="C1" s="46" t="s">
        <v>6</v>
      </c>
      <c r="D1" s="46" t="s">
        <v>7</v>
      </c>
      <c r="E1" s="46" t="s">
        <v>8</v>
      </c>
      <c r="F1" s="46" t="s">
        <v>9</v>
      </c>
      <c r="G1" s="46" t="s">
        <v>10</v>
      </c>
      <c r="H1" s="46" t="s">
        <v>11</v>
      </c>
      <c r="I1" s="46" t="s">
        <v>12</v>
      </c>
      <c r="J1" s="46" t="s">
        <v>13</v>
      </c>
      <c r="K1" s="46" t="s">
        <v>14</v>
      </c>
      <c r="L1" s="46" t="s">
        <v>15</v>
      </c>
      <c r="M1" s="46" t="s">
        <v>16</v>
      </c>
      <c r="N1" s="46" t="s">
        <v>17</v>
      </c>
    </row>
    <row r="2" spans="1:14" x14ac:dyDescent="0.35">
      <c r="A2" s="46" t="s">
        <v>18</v>
      </c>
      <c r="B2" s="47">
        <f>SUMIF('[1]CPAC 2026-WEB'!$A:$A,$A2,'[1]CPAC 2026-WEB'!D:D)</f>
        <v>214300</v>
      </c>
      <c r="C2" s="47">
        <f>SUMIF('[1]CPAC 2026-WEB'!$A:$A,$A2,'[1]CPAC 2026-WEB'!F:F)</f>
        <v>239200</v>
      </c>
      <c r="D2" s="47">
        <f>SUMIF('[1]CPAC 2026-WEB'!$A:$A,$A2,'[1]CPAC 2026-WEB'!H:H)</f>
        <v>265100</v>
      </c>
      <c r="E2" s="47">
        <f>SUMIF('[1]CPAC 2026-WEB'!$A:$A,$A2,'[1]CPAC 2026-WEB'!J:J)</f>
        <v>175100</v>
      </c>
      <c r="F2" s="47">
        <f>SUMIF('[1]CPAC 2026-WEB'!$A:$A,$A2,'[1]CPAC 2026-WEB'!L:L)</f>
        <v>211400</v>
      </c>
      <c r="G2" s="47">
        <f>SUMIF('[1]CPAC 2026-WEB'!$A:$A,$A2,'[1]CPAC 2026-WEB'!N:N)</f>
        <v>234300</v>
      </c>
      <c r="H2" s="47">
        <f>SUMIF('[1]CPAC 2026-WEB'!$A:$A,$A2,'[1]CPAC 2026-WEB'!P:P)</f>
        <v>239300</v>
      </c>
      <c r="I2" s="47">
        <f>SUMIF('[1]CPAC 2026-WEB'!$A:$A,$A2,'[1]CPAC 2026-WEB'!R:R)</f>
        <v>214500</v>
      </c>
      <c r="J2" s="47">
        <f>SUMIF('[1]CPAC 2026-WEB'!$A:$A,$A2,'[1]CPAC 2026-WEB'!T:T)</f>
        <v>0</v>
      </c>
      <c r="K2" s="47">
        <f>SUMIF('[1]CPAC 2026-WEB'!$A:$A,$A2,'[1]CPAC 2026-WEB'!V:V)</f>
        <v>0</v>
      </c>
      <c r="L2" s="47">
        <f>SUMIF('[1]CPAC 2026-WEB'!$A:$A,$A2,'[1]CPAC 2026-WEB'!X:X)</f>
        <v>0</v>
      </c>
      <c r="M2" s="47">
        <f>SUMIF('[1]CPAC 2026-WEB'!$A:$A,$A2,'[1]CPAC 2026-WEB'!Z:Z)</f>
        <v>0</v>
      </c>
      <c r="N2" s="47">
        <f>SUM(B2:M2)</f>
        <v>1793200</v>
      </c>
    </row>
    <row r="3" spans="1:14" x14ac:dyDescent="0.35">
      <c r="A3" s="46" t="s">
        <v>32</v>
      </c>
      <c r="B3" s="47">
        <f>SUMIF('[1]CPAC 2026-WEB'!$A:$A,$A3,'[1]CPAC 2026-WEB'!D:D)</f>
        <v>149850</v>
      </c>
      <c r="C3" s="47">
        <f>SUMIF('[1]CPAC 2026-WEB'!$A:$A,$A3,'[1]CPAC 2026-WEB'!F:F)</f>
        <v>158950</v>
      </c>
      <c r="D3" s="47">
        <f>SUMIF('[1]CPAC 2026-WEB'!$A:$A,$A3,'[1]CPAC 2026-WEB'!H:H)</f>
        <v>175470</v>
      </c>
      <c r="E3" s="47">
        <f>SUMIF('[1]CPAC 2026-WEB'!$A:$A,$A3,'[1]CPAC 2026-WEB'!J:J)</f>
        <v>136800</v>
      </c>
      <c r="F3" s="47">
        <f>SUMIF('[1]CPAC 2026-WEB'!$A:$A,$A3,'[1]CPAC 2026-WEB'!L:L)</f>
        <v>169370</v>
      </c>
      <c r="G3" s="47">
        <f>SUMIF('[1]CPAC 2026-WEB'!$A:$A,$A3,'[1]CPAC 2026-WEB'!N:N)</f>
        <v>178420</v>
      </c>
      <c r="H3" s="47">
        <f>SUMIF('[1]CPAC 2026-WEB'!$A:$A,$A3,'[1]CPAC 2026-WEB'!P:P)</f>
        <v>184340</v>
      </c>
      <c r="I3" s="47">
        <f>SUMIF('[1]CPAC 2026-WEB'!$A:$A,$A3,'[1]CPAC 2026-WEB'!R:R)</f>
        <v>185770</v>
      </c>
      <c r="J3" s="47">
        <f>SUMIF('[1]CPAC 2026-WEB'!$A:$A,$A3,'[1]CPAC 2026-WEB'!T:T)</f>
        <v>0</v>
      </c>
      <c r="K3" s="47">
        <f>SUMIF('[1]CPAC 2026-WEB'!$A:$A,$A3,'[1]CPAC 2026-WEB'!V:V)</f>
        <v>0</v>
      </c>
      <c r="L3" s="47">
        <f>SUMIF('[1]CPAC 2026-WEB'!$A:$A,$A3,'[1]CPAC 2026-WEB'!X:X)</f>
        <v>0</v>
      </c>
      <c r="M3" s="47">
        <f>SUMIF('[1]CPAC 2026-WEB'!$A:$A,$A3,'[1]CPAC 2026-WEB'!Z:Z)</f>
        <v>0</v>
      </c>
      <c r="N3" s="47">
        <f>SUM(B3:M3)</f>
        <v>1338970</v>
      </c>
    </row>
    <row r="4" spans="1:14" x14ac:dyDescent="0.35">
      <c r="A4" s="46" t="s">
        <v>129</v>
      </c>
      <c r="B4" s="47">
        <f>SUMIF('[1]CPAC 2026-WEB'!$A:$A,$A4,'[1]CPAC 2026-WEB'!D:D)</f>
        <v>83500</v>
      </c>
      <c r="C4" s="47">
        <f>SUMIF('[1]CPAC 2026-WEB'!$A:$A,$A4,'[1]CPAC 2026-WEB'!F:F)</f>
        <v>88000</v>
      </c>
      <c r="D4" s="47">
        <f>SUMIF('[1]CPAC 2026-WEB'!$A:$A,$A4,'[1]CPAC 2026-WEB'!H:H)</f>
        <v>95100</v>
      </c>
      <c r="E4" s="47">
        <f>SUMIF('[1]CPAC 2026-WEB'!$A:$A,$A4,'[1]CPAC 2026-WEB'!J:J)</f>
        <v>73700</v>
      </c>
      <c r="F4" s="47">
        <f>SUMIF('[1]CPAC 2026-WEB'!$A:$A,$A4,'[1]CPAC 2026-WEB'!L:L)</f>
        <v>96200</v>
      </c>
      <c r="G4" s="47">
        <f>SUMIF('[1]CPAC 2026-WEB'!$A:$A,$A4,'[1]CPAC 2026-WEB'!N:N)</f>
        <v>91700</v>
      </c>
      <c r="H4" s="47">
        <f>SUMIF('[1]CPAC 2026-WEB'!$A:$A,$A4,'[1]CPAC 2026-WEB'!P:P)</f>
        <v>96500</v>
      </c>
      <c r="I4" s="47">
        <f>SUMIF('[1]CPAC 2026-WEB'!$A:$A,$A4,'[1]CPAC 2026-WEB'!R:R)</f>
        <v>93200</v>
      </c>
      <c r="J4" s="47">
        <f>SUMIF('[1]CPAC 2026-WEB'!$A:$A,$A4,'[1]CPAC 2026-WEB'!T:T)</f>
        <v>0</v>
      </c>
      <c r="K4" s="47">
        <f>SUMIF('[1]CPAC 2026-WEB'!$A:$A,$A4,'[1]CPAC 2026-WEB'!V:V)</f>
        <v>0</v>
      </c>
      <c r="L4" s="47">
        <f>SUMIF('[1]CPAC 2026-WEB'!$A:$A,$A4,'[1]CPAC 2026-WEB'!X:X)</f>
        <v>0</v>
      </c>
      <c r="M4" s="47">
        <f>SUMIF('[1]CPAC 2026-WEB'!$A:$A,$A4,'[1]CPAC 2026-WEB'!Z:Z)</f>
        <v>0</v>
      </c>
      <c r="N4" s="47">
        <f>SUM(B4:M4)</f>
        <v>717900</v>
      </c>
    </row>
    <row r="5" spans="1:14" x14ac:dyDescent="0.35">
      <c r="A5" s="46" t="s">
        <v>179</v>
      </c>
      <c r="B5" s="47">
        <f>SUMIF('[1]CPAC 2026-WEB'!$A:$A,$A5,'[1]CPAC 2026-WEB'!D:D)</f>
        <v>97150</v>
      </c>
      <c r="C5" s="47">
        <f>SUMIF('[1]CPAC 2026-WEB'!$A:$A,$A5,'[1]CPAC 2026-WEB'!F:F)</f>
        <v>99150</v>
      </c>
      <c r="D5" s="47">
        <f>SUMIF('[1]CPAC 2026-WEB'!$A:$A,$A5,'[1]CPAC 2026-WEB'!H:H)</f>
        <v>113800</v>
      </c>
      <c r="E5" s="47">
        <f>SUMIF('[1]CPAC 2026-WEB'!$A:$A,$A5,'[1]CPAC 2026-WEB'!J:J)</f>
        <v>80600</v>
      </c>
      <c r="F5" s="47">
        <f>SUMIF('[1]CPAC 2026-WEB'!$A:$A,$A5,'[1]CPAC 2026-WEB'!L:L)</f>
        <v>96300</v>
      </c>
      <c r="G5" s="47">
        <f>SUMIF('[1]CPAC 2026-WEB'!$A:$A,$A5,'[1]CPAC 2026-WEB'!N:N)</f>
        <v>100400</v>
      </c>
      <c r="H5" s="47">
        <f>SUMIF('[1]CPAC 2026-WEB'!$A:$A,$A5,'[1]CPAC 2026-WEB'!P:P)</f>
        <v>100550</v>
      </c>
      <c r="I5" s="47">
        <f>SUMIF('[1]CPAC 2026-WEB'!$A:$A,$A5,'[1]CPAC 2026-WEB'!R:R)</f>
        <v>94100</v>
      </c>
      <c r="J5" s="47">
        <f>SUMIF('[1]CPAC 2026-WEB'!$A:$A,$A5,'[1]CPAC 2026-WEB'!T:T)</f>
        <v>0</v>
      </c>
      <c r="K5" s="47">
        <f>SUMIF('[1]CPAC 2026-WEB'!$A:$A,$A5,'[1]CPAC 2026-WEB'!V:V)</f>
        <v>0</v>
      </c>
      <c r="L5" s="47">
        <f>SUMIF('[1]CPAC 2026-WEB'!$A:$A,$A5,'[1]CPAC 2026-WEB'!X:X)</f>
        <v>0</v>
      </c>
      <c r="M5" s="47">
        <f>SUMIF('[1]CPAC 2026-WEB'!$A:$A,$A5,'[1]CPAC 2026-WEB'!Z:Z)</f>
        <v>0</v>
      </c>
      <c r="N5" s="47">
        <f>SUM(B5:M5)</f>
        <v>782050</v>
      </c>
    </row>
    <row r="6" spans="1:14" x14ac:dyDescent="0.35">
      <c r="A6" s="46" t="s">
        <v>348</v>
      </c>
      <c r="B6" s="47">
        <f>SUMIF('[1]CPAC 2026-WEB'!$A:$A,$A6,'[1]CPAC 2026-WEB'!D:D)</f>
        <v>83225</v>
      </c>
      <c r="C6" s="47">
        <f>SUMIF('[1]CPAC 2026-WEB'!$A:$A,$A6,'[1]CPAC 2026-WEB'!F:F)</f>
        <v>83925</v>
      </c>
      <c r="D6" s="47">
        <f>SUMIF('[1]CPAC 2026-WEB'!$A:$A,$A6,'[1]CPAC 2026-WEB'!H:H)</f>
        <v>92889</v>
      </c>
      <c r="E6" s="47">
        <f>SUMIF('[1]CPAC 2026-WEB'!$A:$A,$A6,'[1]CPAC 2026-WEB'!J:J)</f>
        <v>76954</v>
      </c>
      <c r="F6" s="47">
        <f>SUMIF('[1]CPAC 2026-WEB'!$A:$A,$A6,'[1]CPAC 2026-WEB'!L:L)</f>
        <v>84370</v>
      </c>
      <c r="G6" s="47">
        <f>SUMIF('[1]CPAC 2026-WEB'!$A:$A,$A6,'[1]CPAC 2026-WEB'!N:N)</f>
        <v>84225</v>
      </c>
      <c r="H6" s="47">
        <f>SUMIF('[1]CPAC 2026-WEB'!$A:$A,$A6,'[1]CPAC 2026-WEB'!P:P)</f>
        <v>86925</v>
      </c>
      <c r="I6" s="47">
        <f>SUMIF('[1]CPAC 2026-WEB'!$A:$A,$A6,'[1]CPAC 2026-WEB'!R:R)</f>
        <v>87025</v>
      </c>
      <c r="J6" s="47">
        <f>SUMIF('[1]CPAC 2026-WEB'!$A:$A,$A6,'[1]CPAC 2026-WEB'!T:T)</f>
        <v>0</v>
      </c>
      <c r="K6" s="47">
        <f>SUMIF('[1]CPAC 2026-WEB'!$A:$A,$A6,'[1]CPAC 2026-WEB'!V:V)</f>
        <v>0</v>
      </c>
      <c r="L6" s="47">
        <f>SUMIF('[1]CPAC 2026-WEB'!$A:$A,$A6,'[1]CPAC 2026-WEB'!X:X)</f>
        <v>0</v>
      </c>
      <c r="M6" s="47">
        <f>SUMIF('[1]CPAC 2026-WEB'!$A:$A,$A6,'[1]CPAC 2026-WEB'!Z:Z)</f>
        <v>0</v>
      </c>
      <c r="N6" s="47">
        <f>SUM(B6:M6)</f>
        <v>679538</v>
      </c>
    </row>
    <row r="7" spans="1:14" x14ac:dyDescent="0.35">
      <c r="A7" s="46" t="s">
        <v>599</v>
      </c>
      <c r="B7" s="47">
        <f>SUMIF('[1]CPAC 2026-WEB'!$A:$A,$A7,'[1]CPAC 2026-WEB'!D:D)</f>
        <v>93800</v>
      </c>
      <c r="C7" s="47">
        <f>SUMIF('[1]CPAC 2026-WEB'!$A:$A,$A7,'[1]CPAC 2026-WEB'!F:F)</f>
        <v>94700</v>
      </c>
      <c r="D7" s="47">
        <f>SUMIF('[1]CPAC 2026-WEB'!$A:$A,$A7,'[1]CPAC 2026-WEB'!H:H)</f>
        <v>107900</v>
      </c>
      <c r="E7" s="47">
        <f>SUMIF('[1]CPAC 2026-WEB'!$A:$A,$A7,'[1]CPAC 2026-WEB'!J:J)</f>
        <v>91600</v>
      </c>
      <c r="F7" s="47">
        <f>SUMIF('[1]CPAC 2026-WEB'!$A:$A,$A7,'[1]CPAC 2026-WEB'!L:L)</f>
        <v>104000</v>
      </c>
      <c r="G7" s="47">
        <f>SUMIF('[1]CPAC 2026-WEB'!$A:$A,$A7,'[1]CPAC 2026-WEB'!N:N)</f>
        <v>102200</v>
      </c>
      <c r="H7" s="47">
        <f>SUMIF('[1]CPAC 2026-WEB'!$A:$A,$A7,'[1]CPAC 2026-WEB'!P:P)</f>
        <v>103800</v>
      </c>
      <c r="I7" s="47">
        <f>SUMIF('[1]CPAC 2026-WEB'!$A:$A,$A7,'[1]CPAC 2026-WEB'!R:R)</f>
        <v>100900</v>
      </c>
      <c r="J7" s="47">
        <f>SUMIF('[1]CPAC 2026-WEB'!$A:$A,$A7,'[1]CPAC 2026-WEB'!T:T)</f>
        <v>0</v>
      </c>
      <c r="K7" s="47">
        <f>SUMIF('[1]CPAC 2026-WEB'!$A:$A,$A7,'[1]CPAC 2026-WEB'!V:V)</f>
        <v>0</v>
      </c>
      <c r="L7" s="47">
        <f>SUMIF('[1]CPAC 2026-WEB'!$A:$A,$A7,'[1]CPAC 2026-WEB'!X:X)</f>
        <v>0</v>
      </c>
      <c r="M7" s="47">
        <f>SUMIF('[1]CPAC 2026-WEB'!$A:$A,$A7,'[1]CPAC 2026-WEB'!Z:Z)</f>
        <v>0</v>
      </c>
      <c r="N7" s="47">
        <f>SUM(B7:M7)</f>
        <v>798900</v>
      </c>
    </row>
    <row r="8" spans="1:14" x14ac:dyDescent="0.35">
      <c r="B8" s="47">
        <f>SUM(B2:B7)</f>
        <v>721825</v>
      </c>
      <c r="C8" s="47">
        <f>SUM(C2:C7)</f>
        <v>763925</v>
      </c>
      <c r="D8" s="47">
        <f>SUM(D2:D7)</f>
        <v>850259</v>
      </c>
      <c r="E8" s="47">
        <f>SUM(E2:E7)</f>
        <v>634754</v>
      </c>
      <c r="F8" s="47">
        <f>SUM(F2:F7)</f>
        <v>761640</v>
      </c>
      <c r="G8" s="47">
        <f>SUM(G2:G7)</f>
        <v>791245</v>
      </c>
      <c r="H8" s="47">
        <f>SUM(H2:H7)</f>
        <v>811415</v>
      </c>
      <c r="I8" s="47">
        <f>SUM(I2:I7)</f>
        <v>775495</v>
      </c>
      <c r="J8" s="47">
        <f>SUM(J2:J7)</f>
        <v>0</v>
      </c>
      <c r="K8" s="47">
        <f>SUM(K2:K7)</f>
        <v>0</v>
      </c>
      <c r="L8" s="47">
        <f>SUM(L2:L7)</f>
        <v>0</v>
      </c>
      <c r="M8" s="47">
        <f>SUM(M2:M7)</f>
        <v>0</v>
      </c>
      <c r="N8" s="47">
        <f>SUM(N2:N7)</f>
        <v>6110558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5496-F79B-4896-B284-DB9209C1997D}">
  <dimension ref="A1:N8"/>
  <sheetViews>
    <sheetView workbookViewId="0">
      <selection activeCell="B8" sqref="B8:N8"/>
    </sheetView>
  </sheetViews>
  <sheetFormatPr defaultRowHeight="14.5" x14ac:dyDescent="0.35"/>
  <cols>
    <col min="1" max="1" width="9.08984375" style="46" bestFit="1" customWidth="1"/>
    <col min="2" max="16384" width="8.7265625" style="46"/>
  </cols>
  <sheetData>
    <row r="1" spans="1:14" x14ac:dyDescent="0.35">
      <c r="B1" s="46" t="s">
        <v>5</v>
      </c>
      <c r="C1" s="46" t="s">
        <v>6</v>
      </c>
      <c r="D1" s="46" t="s">
        <v>7</v>
      </c>
      <c r="E1" s="46" t="s">
        <v>8</v>
      </c>
      <c r="F1" s="46" t="s">
        <v>9</v>
      </c>
      <c r="G1" s="46" t="s">
        <v>10</v>
      </c>
      <c r="H1" s="46" t="s">
        <v>11</v>
      </c>
      <c r="I1" s="46" t="s">
        <v>12</v>
      </c>
      <c r="J1" s="46" t="s">
        <v>13</v>
      </c>
      <c r="K1" s="46" t="s">
        <v>14</v>
      </c>
      <c r="L1" s="46" t="s">
        <v>15</v>
      </c>
      <c r="M1" s="46" t="s">
        <v>16</v>
      </c>
      <c r="N1" s="46" t="s">
        <v>17</v>
      </c>
    </row>
    <row r="2" spans="1:14" x14ac:dyDescent="0.35">
      <c r="A2" s="46" t="s">
        <v>18</v>
      </c>
      <c r="B2" s="47">
        <f>SUMIF('[1]CPAC 2025-WEB'!$A:$A,$A2,'[1]CPAC 2025-WEB'!C:C)</f>
        <v>200099</v>
      </c>
      <c r="C2" s="47">
        <f>SUMIF('[1]CPAC 2025-WEB'!$A:$A,$A2,'[1]CPAC 2025-WEB'!E:E)</f>
        <v>208536</v>
      </c>
      <c r="D2" s="47">
        <f>SUMIF('[1]CPAC 2025-WEB'!$A:$A,$A2,'[1]CPAC 2025-WEB'!G:G)</f>
        <v>239658</v>
      </c>
      <c r="E2" s="47">
        <f>SUMIF('[1]CPAC 2025-WEB'!$A:$A,$A2,'[1]CPAC 2025-WEB'!I:I)</f>
        <v>175649</v>
      </c>
      <c r="F2" s="47">
        <f>SUMIF('[1]CPAC 2025-WEB'!$A:$A,$A2,'[1]CPAC 2025-WEB'!K:K)</f>
        <v>212577</v>
      </c>
      <c r="G2" s="47">
        <f>SUMIF('[1]CPAC 2025-WEB'!$A:$A,$A2,'[1]CPAC 2025-WEB'!M:M)</f>
        <v>236605</v>
      </c>
      <c r="H2" s="47">
        <f>SUMIF('[1]CPAC 2025-WEB'!$A:$A,$A2,'[1]CPAC 2025-WEB'!O:O)</f>
        <v>228963</v>
      </c>
      <c r="I2" s="47">
        <f>SUMIF('[1]CPAC 2025-WEB'!$A:$A,$A2,'[1]CPAC 2025-WEB'!Q:Q)</f>
        <v>232783</v>
      </c>
      <c r="J2" s="47"/>
      <c r="K2" s="47"/>
      <c r="L2" s="47"/>
      <c r="M2" s="47"/>
      <c r="N2" s="47">
        <f>SUM(B2:M2)</f>
        <v>1734870</v>
      </c>
    </row>
    <row r="3" spans="1:14" x14ac:dyDescent="0.35">
      <c r="A3" s="46" t="s">
        <v>32</v>
      </c>
      <c r="B3" s="47">
        <f>SUMIF('[1]CPAC 2025-WEB'!$A:$A,$A3,'[1]CPAC 2025-WEB'!C:C)</f>
        <v>174828</v>
      </c>
      <c r="C3" s="47">
        <f>SUMIF('[1]CPAC 2025-WEB'!$A:$A,$A3,'[1]CPAC 2025-WEB'!E:E)</f>
        <v>165963</v>
      </c>
      <c r="D3" s="47">
        <f>SUMIF('[1]CPAC 2025-WEB'!$A:$A,$A3,'[1]CPAC 2025-WEB'!G:G)</f>
        <v>188666</v>
      </c>
      <c r="E3" s="47">
        <f>SUMIF('[1]CPAC 2025-WEB'!$A:$A,$A3,'[1]CPAC 2025-WEB'!I:I)</f>
        <v>138881</v>
      </c>
      <c r="F3" s="47">
        <f>SUMIF('[1]CPAC 2025-WEB'!$A:$A,$A3,'[1]CPAC 2025-WEB'!K:K)</f>
        <v>165051</v>
      </c>
      <c r="G3" s="47">
        <f>SUMIF('[1]CPAC 2025-WEB'!$A:$A,$A3,'[1]CPAC 2025-WEB'!M:M)</f>
        <v>178943</v>
      </c>
      <c r="H3" s="47">
        <f>SUMIF('[1]CPAC 2025-WEB'!$A:$A,$A3,'[1]CPAC 2025-WEB'!O:O)</f>
        <v>201263</v>
      </c>
      <c r="I3" s="47">
        <f>SUMIF('[1]CPAC 2025-WEB'!$A:$A,$A3,'[1]CPAC 2025-WEB'!Q:Q)</f>
        <v>184795</v>
      </c>
      <c r="J3" s="47"/>
      <c r="K3" s="47"/>
      <c r="L3" s="47"/>
      <c r="M3" s="47"/>
      <c r="N3" s="47">
        <f>SUM(B3:M3)</f>
        <v>1398390</v>
      </c>
    </row>
    <row r="4" spans="1:14" x14ac:dyDescent="0.35">
      <c r="A4" s="46" t="s">
        <v>129</v>
      </c>
      <c r="B4" s="47">
        <f>SUMIF('[1]CPAC 2025-WEB'!$A:$A,$A4,'[1]CPAC 2025-WEB'!C:C)</f>
        <v>89728</v>
      </c>
      <c r="C4" s="47">
        <f>SUMIF('[1]CPAC 2025-WEB'!$A:$A,$A4,'[1]CPAC 2025-WEB'!E:E)</f>
        <v>100483</v>
      </c>
      <c r="D4" s="47">
        <f>SUMIF('[1]CPAC 2025-WEB'!$A:$A,$A4,'[1]CPAC 2025-WEB'!G:G)</f>
        <v>108389</v>
      </c>
      <c r="E4" s="47">
        <f>SUMIF('[1]CPAC 2025-WEB'!$A:$A,$A4,'[1]CPAC 2025-WEB'!I:I)</f>
        <v>80176</v>
      </c>
      <c r="F4" s="47">
        <f>SUMIF('[1]CPAC 2025-WEB'!$A:$A,$A4,'[1]CPAC 2025-WEB'!K:K)</f>
        <v>86205</v>
      </c>
      <c r="G4" s="47">
        <f>SUMIF('[1]CPAC 2025-WEB'!$A:$A,$A4,'[1]CPAC 2025-WEB'!M:M)</f>
        <v>104123</v>
      </c>
      <c r="H4" s="47">
        <f>SUMIF('[1]CPAC 2025-WEB'!$A:$A,$A4,'[1]CPAC 2025-WEB'!O:O)</f>
        <v>104903</v>
      </c>
      <c r="I4" s="47">
        <f>SUMIF('[1]CPAC 2025-WEB'!$A:$A,$A4,'[1]CPAC 2025-WEB'!Q:Q)</f>
        <v>91478</v>
      </c>
      <c r="J4" s="47"/>
      <c r="K4" s="47"/>
      <c r="L4" s="47"/>
      <c r="M4" s="47"/>
      <c r="N4" s="47">
        <f>SUM(B4:M4)</f>
        <v>765485</v>
      </c>
    </row>
    <row r="5" spans="1:14" x14ac:dyDescent="0.35">
      <c r="A5" s="46" t="s">
        <v>179</v>
      </c>
      <c r="B5" s="47">
        <f>SUMIF('[1]CPAC 2025-WEB'!$A:$A,$A5,'[1]CPAC 2025-WEB'!C:C)</f>
        <v>94052</v>
      </c>
      <c r="C5" s="47">
        <f>SUMIF('[1]CPAC 2025-WEB'!$A:$A,$A5,'[1]CPAC 2025-WEB'!E:E)</f>
        <v>103220</v>
      </c>
      <c r="D5" s="47">
        <f>SUMIF('[1]CPAC 2025-WEB'!$A:$A,$A5,'[1]CPAC 2025-WEB'!G:G)</f>
        <v>124516</v>
      </c>
      <c r="E5" s="47">
        <f>SUMIF('[1]CPAC 2025-WEB'!$A:$A,$A5,'[1]CPAC 2025-WEB'!I:I)</f>
        <v>90073</v>
      </c>
      <c r="F5" s="47">
        <f>SUMIF('[1]CPAC 2025-WEB'!$A:$A,$A5,'[1]CPAC 2025-WEB'!K:K)</f>
        <v>100542</v>
      </c>
      <c r="G5" s="47">
        <f>SUMIF('[1]CPAC 2025-WEB'!$A:$A,$A5,'[1]CPAC 2025-WEB'!M:M)</f>
        <v>104712</v>
      </c>
      <c r="H5" s="47">
        <f>SUMIF('[1]CPAC 2025-WEB'!$A:$A,$A5,'[1]CPAC 2025-WEB'!O:O)</f>
        <v>105314</v>
      </c>
      <c r="I5" s="47">
        <f>SUMIF('[1]CPAC 2025-WEB'!$A:$A,$A5,'[1]CPAC 2025-WEB'!Q:Q)</f>
        <v>104706</v>
      </c>
      <c r="J5" s="47"/>
      <c r="K5" s="47"/>
      <c r="L5" s="47"/>
      <c r="M5" s="47"/>
      <c r="N5" s="47">
        <f>SUM(B5:M5)</f>
        <v>827135</v>
      </c>
    </row>
    <row r="6" spans="1:14" x14ac:dyDescent="0.35">
      <c r="A6" s="46" t="s">
        <v>348</v>
      </c>
      <c r="B6" s="47">
        <f>SUMIF('[1]CPAC 2025-WEB'!$A:$A,$A6,'[1]CPAC 2025-WEB'!C:C)</f>
        <v>77670</v>
      </c>
      <c r="C6" s="47">
        <f>SUMIF('[1]CPAC 2025-WEB'!$A:$A,$A6,'[1]CPAC 2025-WEB'!E:E)</f>
        <v>83917</v>
      </c>
      <c r="D6" s="47">
        <f>SUMIF('[1]CPAC 2025-WEB'!$A:$A,$A6,'[1]CPAC 2025-WEB'!G:G)</f>
        <v>98007</v>
      </c>
      <c r="E6" s="47">
        <f>SUMIF('[1]CPAC 2025-WEB'!$A:$A,$A6,'[1]CPAC 2025-WEB'!I:I)</f>
        <v>78176</v>
      </c>
      <c r="F6" s="47">
        <f>SUMIF('[1]CPAC 2025-WEB'!$A:$A,$A6,'[1]CPAC 2025-WEB'!K:K)</f>
        <v>85661</v>
      </c>
      <c r="G6" s="47">
        <f>SUMIF('[1]CPAC 2025-WEB'!$A:$A,$A6,'[1]CPAC 2025-WEB'!M:M)</f>
        <v>95308</v>
      </c>
      <c r="H6" s="47">
        <f>SUMIF('[1]CPAC 2025-WEB'!$A:$A,$A6,'[1]CPAC 2025-WEB'!O:O)</f>
        <v>100031</v>
      </c>
      <c r="I6" s="47">
        <f>SUMIF('[1]CPAC 2025-WEB'!$A:$A,$A6,'[1]CPAC 2025-WEB'!Q:Q)</f>
        <v>99787</v>
      </c>
      <c r="J6" s="47"/>
      <c r="K6" s="47"/>
      <c r="L6" s="47"/>
      <c r="M6" s="47"/>
      <c r="N6" s="47">
        <f>SUM(B6:M6)</f>
        <v>718557</v>
      </c>
    </row>
    <row r="7" spans="1:14" x14ac:dyDescent="0.35">
      <c r="A7" s="46" t="s">
        <v>599</v>
      </c>
      <c r="B7" s="47">
        <f>SUMIF('[1]CPAC 2025-WEB'!$A:$A,$A7,'[1]CPAC 2025-WEB'!C:C)</f>
        <v>93911</v>
      </c>
      <c r="C7" s="47">
        <f>SUMIF('[1]CPAC 2025-WEB'!$A:$A,$A7,'[1]CPAC 2025-WEB'!E:E)</f>
        <v>98125</v>
      </c>
      <c r="D7" s="47">
        <f>SUMIF('[1]CPAC 2025-WEB'!$A:$A,$A7,'[1]CPAC 2025-WEB'!G:G)</f>
        <v>123668</v>
      </c>
      <c r="E7" s="47">
        <f>SUMIF('[1]CPAC 2025-WEB'!$A:$A,$A7,'[1]CPAC 2025-WEB'!I:I)</f>
        <v>93882</v>
      </c>
      <c r="F7" s="47">
        <f>SUMIF('[1]CPAC 2025-WEB'!$A:$A,$A7,'[1]CPAC 2025-WEB'!K:K)</f>
        <v>100379</v>
      </c>
      <c r="G7" s="47">
        <f>SUMIF('[1]CPAC 2025-WEB'!$A:$A,$A7,'[1]CPAC 2025-WEB'!M:M)</f>
        <v>104470</v>
      </c>
      <c r="H7" s="47">
        <f>SUMIF('[1]CPAC 2025-WEB'!$A:$A,$A7,'[1]CPAC 2025-WEB'!O:O)</f>
        <v>108829</v>
      </c>
      <c r="I7" s="47">
        <f>SUMIF('[1]CPAC 2025-WEB'!$A:$A,$A7,'[1]CPAC 2025-WEB'!Q:Q)</f>
        <v>101242</v>
      </c>
      <c r="J7" s="47"/>
      <c r="K7" s="47"/>
      <c r="L7" s="47"/>
      <c r="M7" s="47"/>
      <c r="N7" s="47">
        <f>SUM(B7:M7)</f>
        <v>824506</v>
      </c>
    </row>
    <row r="8" spans="1:14" x14ac:dyDescent="0.35">
      <c r="B8" s="47">
        <f>SUM(B2:B7)</f>
        <v>730288</v>
      </c>
      <c r="C8" s="47">
        <f>SUM(C2:C7)</f>
        <v>760244</v>
      </c>
      <c r="D8" s="47">
        <f>SUM(D2:D7)</f>
        <v>882904</v>
      </c>
      <c r="E8" s="47">
        <f>SUM(E2:E7)</f>
        <v>656837</v>
      </c>
      <c r="F8" s="47">
        <f>SUM(F2:F7)</f>
        <v>750415</v>
      </c>
      <c r="G8" s="47">
        <f>SUM(G2:G7)</f>
        <v>824161</v>
      </c>
      <c r="H8" s="47">
        <f>SUM(H2:H7)</f>
        <v>849303</v>
      </c>
      <c r="I8" s="47">
        <f>SUM(I2:I7)</f>
        <v>814791</v>
      </c>
      <c r="J8" s="47">
        <f>SUM(J2:J7)</f>
        <v>0</v>
      </c>
      <c r="K8" s="47">
        <f>SUM(K2:K7)</f>
        <v>0</v>
      </c>
      <c r="L8" s="47">
        <f>SUM(L2:L7)</f>
        <v>0</v>
      </c>
      <c r="M8" s="47">
        <f>SUM(M2:M7)</f>
        <v>0</v>
      </c>
      <c r="N8" s="47">
        <f>SUM(N2:N7)</f>
        <v>6268943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</vt:lpstr>
      <vt:lpstr>2025</vt:lpstr>
      <vt:lpstr>PLAN2026</vt:lpstr>
      <vt:lpstr>Status</vt:lpstr>
      <vt:lpstr>CPAC2026</vt:lpstr>
      <vt:lpstr>PLANCPAC2026</vt:lpstr>
      <vt:lpstr>CPAC2025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2026-08-11T05:16:43Z</dcterms:created>
  <dcterms:modified xsi:type="dcterms:W3CDTF">2026-09-09T07:48:44Z</dcterms:modified>
</cp:coreProperties>
</file>